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_AUC" sheetId="1" r:id="rId4"/>
    <sheet state="visible" name="RF_GM" sheetId="2" r:id="rId5"/>
    <sheet state="visible" name="RF_F1" sheetId="3" r:id="rId6"/>
    <sheet state="visible" name="RF_MCC" sheetId="4" r:id="rId7"/>
    <sheet state="visible" name="LR_AUC" sheetId="5" r:id="rId8"/>
    <sheet state="visible" name="LR_GM" sheetId="6" r:id="rId9"/>
    <sheet state="visible" name="LR_F1" sheetId="7" r:id="rId10"/>
    <sheet state="visible" name="LR_MCC" sheetId="8" r:id="rId11"/>
    <sheet state="visible" name="F1" sheetId="9" r:id="rId12"/>
    <sheet state="visible" name="MCC" sheetId="10" r:id="rId13"/>
    <sheet state="visible" name="target_clustering" sheetId="11" r:id="rId14"/>
  </sheets>
  <definedNames/>
  <calcPr/>
  <extLst>
    <ext uri="GoogleSheetsCustomDataVersion2">
      <go:sheetsCustomData xmlns:go="http://customooxmlschemas.google.com/" r:id="rId15" roundtripDataChecksum="OybzUrfikbE7kYui9nOFqw2XCbgIZzfE9xIIHDzNKDE="/>
    </ext>
  </extLst>
</workbook>
</file>

<file path=xl/sharedStrings.xml><?xml version="1.0" encoding="utf-8"?>
<sst xmlns="http://schemas.openxmlformats.org/spreadsheetml/2006/main" count="5170" uniqueCount="3986">
  <si>
    <t>Source→Target</t>
  </si>
  <si>
    <t>OTOMO</t>
  </si>
  <si>
    <t>CORAL</t>
  </si>
  <si>
    <t>TCA+</t>
  </si>
  <si>
    <t>DPP</t>
  </si>
  <si>
    <t>ADASYN</t>
  </si>
  <si>
    <t>SMOTE</t>
  </si>
  <si>
    <t>TOMO</t>
  </si>
  <si>
    <t>Source</t>
  </si>
  <si>
    <t>NASA</t>
  </si>
  <si>
    <t>CM1→MW1</t>
  </si>
  <si>
    <t>0.7554 +/- 0.0103</t>
  </si>
  <si>
    <t>0.7272 +/- 0.0249</t>
  </si>
  <si>
    <t>0.7075 +/- 0.0174</t>
  </si>
  <si>
    <t>0.7927 +/- 0.0160</t>
  </si>
  <si>
    <t>0.7867 +/- 0.0107</t>
  </si>
  <si>
    <t>0.7815 +/- 0.0132</t>
  </si>
  <si>
    <t>0.5159 +/- 0.0234</t>
  </si>
  <si>
    <t>CM1→PC1</t>
  </si>
  <si>
    <t>0.7377 +/- 0.0074</t>
  </si>
  <si>
    <t>0.8017 +/- 0.0078</t>
  </si>
  <si>
    <t>0.7924 +/- 0.0111</t>
  </si>
  <si>
    <t>0.7657 +/- 0.0129</t>
  </si>
  <si>
    <t>0.7628 +/- 0.0105</t>
  </si>
  <si>
    <t>0.7631 +/- 0.0101</t>
  </si>
  <si>
    <t>0.7733 +/- 0.0179</t>
  </si>
  <si>
    <t>CM1→PC3</t>
  </si>
  <si>
    <t>0.7754 +/- 0.0069</t>
  </si>
  <si>
    <t>0.7576 +/- 0.0070</t>
  </si>
  <si>
    <t>0.7463 +/- 0.0080</t>
  </si>
  <si>
    <t>0.7498 +/- 0.0099</t>
  </si>
  <si>
    <t>0.7342 +/- 0.0092</t>
  </si>
  <si>
    <t>0.7437 +/- 0.0136</t>
  </si>
  <si>
    <t>0.7307 +/- 0.0123</t>
  </si>
  <si>
    <t>CM1→PC4</t>
  </si>
  <si>
    <t>0.6771 +/- 0.0115</t>
  </si>
  <si>
    <t>0.6684 +/- 0.0126</t>
  </si>
  <si>
    <t>0.6027 +/- 0.0186</t>
  </si>
  <si>
    <t>0.6411 +/- 0.0187</t>
  </si>
  <si>
    <t>0.6788 +/- 0.0124</t>
  </si>
  <si>
    <t>0.6819 +/- 0.0134</t>
  </si>
  <si>
    <t>0.5866 +/- 0.0220</t>
  </si>
  <si>
    <t>MW1→CM1</t>
  </si>
  <si>
    <t>0.6980 +/- 0.0185</t>
  </si>
  <si>
    <t>0.6556 +/- 0.0152</t>
  </si>
  <si>
    <t>0.5461 +/- 0.0181</t>
  </si>
  <si>
    <t>0.6945 +/- 0.0172</t>
  </si>
  <si>
    <t>0.6809 +/- 0.0155</t>
  </si>
  <si>
    <t>0.6997 +/- 0.0196</t>
  </si>
  <si>
    <t>0.6879 +/- 0.0098</t>
  </si>
  <si>
    <t>MW1→PC1</t>
  </si>
  <si>
    <t>0.7550 +/- 0.0207</t>
  </si>
  <si>
    <t>0.7642 +/- 0.0220</t>
  </si>
  <si>
    <t>0.7033 +/- 0.0211</t>
  </si>
  <si>
    <t>0.7510 +/- 0.0253</t>
  </si>
  <si>
    <t>0.6985 +/- 0.0312</t>
  </si>
  <si>
    <t>0.7223 +/- 0.0305</t>
  </si>
  <si>
    <t>0.7450 +/- 0.0144</t>
  </si>
  <si>
    <t>MW1→PC3</t>
  </si>
  <si>
    <t>0.7490 +/- 0.0245</t>
  </si>
  <si>
    <t>0.6535 +/- 0.0217</t>
  </si>
  <si>
    <t>0.6366 +/- 0.0266</t>
  </si>
  <si>
    <t>0.5836 +/- 0.0341</t>
  </si>
  <si>
    <t>0.5275 +/- 0.0186</t>
  </si>
  <si>
    <t>0.5280 +/- 0.0271</t>
  </si>
  <si>
    <t>0.6756 +/- 0.0242</t>
  </si>
  <si>
    <t>MW1→PC4</t>
  </si>
  <si>
    <t>0.6790 +/- 0.0180</t>
  </si>
  <si>
    <t>0.5528 +/- 0.0445</t>
  </si>
  <si>
    <t>0.6341 +/- 0.0128</t>
  </si>
  <si>
    <t>0.6183 +/- 0.0391</t>
  </si>
  <si>
    <t>0.5782 +/- 0.0280</t>
  </si>
  <si>
    <t>0.5782 +/- 0.0403</t>
  </si>
  <si>
    <t>0.5629 +/- 0.0256</t>
  </si>
  <si>
    <t>0.7393 +/- 0.0207</t>
  </si>
  <si>
    <t>0.1920 +/- 0.1061</t>
  </si>
  <si>
    <t>0.1322 +/- 0.1216</t>
  </si>
  <si>
    <t>0.6609 +/- 0.0453</t>
  </si>
  <si>
    <t>0.7568 +/- 0.0127</t>
  </si>
  <si>
    <t>PC1→CM1</t>
  </si>
  <si>
    <t>0.6814 +/- 0.0128</t>
  </si>
  <si>
    <t>0.6530 +/- 0.0127</t>
  </si>
  <si>
    <t>0.6670 +/- 0.0160</t>
  </si>
  <si>
    <t>0.6911 +/- 0.0146</t>
  </si>
  <si>
    <t>0.6942 +/- 0.0113</t>
  </si>
  <si>
    <t>0.6997 +/- 0.0103</t>
  </si>
  <si>
    <t>0.4643 +/- 0.0157</t>
  </si>
  <si>
    <t>0.3107 +/- 0.0250</t>
  </si>
  <si>
    <t>0.1254 +/- 0.0930</t>
  </si>
  <si>
    <t>0.0769 +/- 0.0909</t>
  </si>
  <si>
    <t>0.3102 +/- 0.0514</t>
  </si>
  <si>
    <t>0.3400 +/- 0.0208</t>
  </si>
  <si>
    <t>0.3387 +/- 0.0253</t>
  </si>
  <si>
    <t>0.0902 +/- 0.0466</t>
  </si>
  <si>
    <t>PC1→MW1</t>
  </si>
  <si>
    <t>0.7748 +/- 0.0098</t>
  </si>
  <si>
    <t>0.6795 +/- 0.0201</t>
  </si>
  <si>
    <t>0.6402 +/- 0.0278</t>
  </si>
  <si>
    <t>0.8043 +/- 0.0144</t>
  </si>
  <si>
    <t>0.7965 +/- 0.0107</t>
  </si>
  <si>
    <t>0.7954 +/- 0.0079</t>
  </si>
  <si>
    <t>0.5898 +/- 0.0212</t>
  </si>
  <si>
    <t>0.1479 +/- 0.0240</t>
  </si>
  <si>
    <t>0.1216 +/- 0.0396</t>
  </si>
  <si>
    <t>0.1380 +/- 0.0632</t>
  </si>
  <si>
    <t>0.0960 +/- 0.0356</t>
  </si>
  <si>
    <t>0.1677 +/- 0.0238</t>
  </si>
  <si>
    <t>0.1655 +/- 0.0244</t>
  </si>
  <si>
    <t>0.2744 +/- 0.0267</t>
  </si>
  <si>
    <t>PC1→PC3</t>
  </si>
  <si>
    <t>0.8083 +/- 0.0053</t>
  </si>
  <si>
    <t>0.7310 +/- 0.0160</t>
  </si>
  <si>
    <t>0.7504 +/- 0.0090</t>
  </si>
  <si>
    <t>0.8069 +/- 0.0067</t>
  </si>
  <si>
    <t>0.8130 +/- 0.0045</t>
  </si>
  <si>
    <t>0.8130 +/- 0.0044</t>
  </si>
  <si>
    <t>0.6929 +/- 0.0294</t>
  </si>
  <si>
    <t>0.2480 +/- 0.0200</t>
  </si>
  <si>
    <t>-0.0113 +/- 0.0189</t>
  </si>
  <si>
    <t>0.0649 +/- 0.0460</t>
  </si>
  <si>
    <t>0.1638 +/- 0.0366</t>
  </si>
  <si>
    <t>0.2138 +/- 0.0189</t>
  </si>
  <si>
    <t>0.2164 +/- 0.0278</t>
  </si>
  <si>
    <t>0.2342 +/- 0.0196</t>
  </si>
  <si>
    <t>PC1→PC4</t>
  </si>
  <si>
    <t>0.7304 +/- 0.0098</t>
  </si>
  <si>
    <t>0.7199 +/- 0.0179</t>
  </si>
  <si>
    <t>0.6489 +/- 0.0134</t>
  </si>
  <si>
    <t>0.7453 +/- 0.0123</t>
  </si>
  <si>
    <t>0.7688 +/- 0.0089</t>
  </si>
  <si>
    <t>0.7655 +/- 0.0063</t>
  </si>
  <si>
    <t>0.5144 +/- 0.0230</t>
  </si>
  <si>
    <t>0.1559 +/- 0.0141</t>
  </si>
  <si>
    <t>-0.0294 +/- 0.0126</t>
  </si>
  <si>
    <t>0.0111 +/- 0.0252</t>
  </si>
  <si>
    <t>0.1139 +/- 0.0249</t>
  </si>
  <si>
    <t>0.1510 +/- 0.0172</t>
  </si>
  <si>
    <t>0.1592 +/- 0.0208</t>
  </si>
  <si>
    <t>0.0735 +/- 0.0323</t>
  </si>
  <si>
    <t>PC3→CM1</t>
  </si>
  <si>
    <t>0.6499 +/- 0.0145</t>
  </si>
  <si>
    <t>0.6290 +/- 0.0134</t>
  </si>
  <si>
    <t>0.6636 +/- 0.0139</t>
  </si>
  <si>
    <t>0.6508 +/- 0.0088</t>
  </si>
  <si>
    <t>0.6776 +/- 0.0096</t>
  </si>
  <si>
    <t>0.6745 +/- 0.0103</t>
  </si>
  <si>
    <t>0.4884 +/- 0.0213</t>
  </si>
  <si>
    <t>0.1707 +/- 0.0426</t>
  </si>
  <si>
    <t>0.1258 +/- 0.0321</t>
  </si>
  <si>
    <t>0.0089 +/- 0.0470</t>
  </si>
  <si>
    <t>0.0992 +/- 0.0564</t>
  </si>
  <si>
    <t>0.1922 +/- 0.0277</t>
  </si>
  <si>
    <t>0.1753 +/- 0.0348</t>
  </si>
  <si>
    <t>0.1973 +/- 0.0306</t>
  </si>
  <si>
    <t>PC3→MW1</t>
  </si>
  <si>
    <t>0.7031 +/- 0.0096</t>
  </si>
  <si>
    <t>0.6075 +/- 0.0260</t>
  </si>
  <si>
    <t>0.7329 +/- 0.0210</t>
  </si>
  <si>
    <t>0.7162 +/- 0.0126</t>
  </si>
  <si>
    <t>0.7188 +/- 0.0098</t>
  </si>
  <si>
    <t>0.7217 +/- 0.0116</t>
  </si>
  <si>
    <t>0.4153 +/- 0.0202</t>
  </si>
  <si>
    <t>0.1436 +/- 0.0286</t>
  </si>
  <si>
    <t>0.1714 +/- 0.0269</t>
  </si>
  <si>
    <t>0.0507 +/- 0.0571</t>
  </si>
  <si>
    <t>0.1003 +/- 0.0363</t>
  </si>
  <si>
    <t>0.1057 +/- 0.0350</t>
  </si>
  <si>
    <t>0.1199 +/- 0.0327</t>
  </si>
  <si>
    <t>0.1766 +/- 0.0272</t>
  </si>
  <si>
    <t>PC3→PC1</t>
  </si>
  <si>
    <t>0.7729 +/- 0.0111</t>
  </si>
  <si>
    <t>0.8051 +/- 0.0065</t>
  </si>
  <si>
    <t>0.7806 +/- 0.0096</t>
  </si>
  <si>
    <t>0.8026 +/- 0.0097</t>
  </si>
  <si>
    <t>0.7931 +/- 0.0048</t>
  </si>
  <si>
    <t>0.7959 +/- 0.0072</t>
  </si>
  <si>
    <t>0.7727 +/- 0.0130</t>
  </si>
  <si>
    <t>0.1915 +/- 0.0394</t>
  </si>
  <si>
    <t>0.0388 +/- 0.0172</t>
  </si>
  <si>
    <t>0.0055 +/- 0.0226</t>
  </si>
  <si>
    <t>0.0883 +/- 0.0254</t>
  </si>
  <si>
    <t>-0.0298 +/- 0.0326</t>
  </si>
  <si>
    <t>-0.0129 +/- 0.0354</t>
  </si>
  <si>
    <t>0.1881 +/- 0.0217</t>
  </si>
  <si>
    <t>PC3→PC4</t>
  </si>
  <si>
    <t>0.7281 +/- 0.0086</t>
  </si>
  <si>
    <t>0.7087 +/- 0.0116</t>
  </si>
  <si>
    <t>0.6712 +/- 0.0097</t>
  </si>
  <si>
    <t>0.7485 +/- 0.0109</t>
  </si>
  <si>
    <t>0.7627 +/- 0.0054</t>
  </si>
  <si>
    <t>0.7600 +/- 0.0090</t>
  </si>
  <si>
    <t>0.5693 +/- 0.0305</t>
  </si>
  <si>
    <t>0.7543 +/- 0.0185</t>
  </si>
  <si>
    <t>0.5352 +/- 0.0365</t>
  </si>
  <si>
    <t>PC4→CM1</t>
  </si>
  <si>
    <t>0.1853 +/- 0.0202</t>
  </si>
  <si>
    <t>0.0188 +/- 0.0149</t>
  </si>
  <si>
    <t>-0.0084 +/- 0.0192</t>
  </si>
  <si>
    <t>0.1411 +/- 0.0256</t>
  </si>
  <si>
    <t>0.5959 +/- 0.0145</t>
  </si>
  <si>
    <t>0.1057 +/- 0.0326</t>
  </si>
  <si>
    <t>0.1053 +/- 0.0405</t>
  </si>
  <si>
    <t>0.5794 +/- 0.0186</t>
  </si>
  <si>
    <t>0.6266 +/- 0.0144</t>
  </si>
  <si>
    <t>0.6019 +/- 0.0153</t>
  </si>
  <si>
    <t>0.1242 +/- 0.0164</t>
  </si>
  <si>
    <t>0.6004 +/- 0.0144</t>
  </si>
  <si>
    <t>0.6034 +/- 0.0148</t>
  </si>
  <si>
    <t>0.5702 +/- 0.0179</t>
  </si>
  <si>
    <t>0.1255 +/- 0.0201</t>
  </si>
  <si>
    <t>0.0863 +/- 0.0311</t>
  </si>
  <si>
    <t>0.1381 +/- 0.0579</t>
  </si>
  <si>
    <t>0.0735 +/- 0.0215</t>
  </si>
  <si>
    <t>0.1345 +/- 0.0234</t>
  </si>
  <si>
    <t>0.1158 +/- 0.0261</t>
  </si>
  <si>
    <t>-0.0420 +/- 0.0268</t>
  </si>
  <si>
    <t>PC4→MW1</t>
  </si>
  <si>
    <t>0.6850 +/- 0.0151</t>
  </si>
  <si>
    <t>0.5361 +/- 0.0217</t>
  </si>
  <si>
    <t>0.7447 +/- 0.0201</t>
  </si>
  <si>
    <t>0.6593 +/- 0.0184</t>
  </si>
  <si>
    <t>0.6844 +/- 0.0184</t>
  </si>
  <si>
    <t>0.6914 +/- 0.0172</t>
  </si>
  <si>
    <t>0.3902 +/- 0.0132</t>
  </si>
  <si>
    <t>0.6017 +/- 0.0249</t>
  </si>
  <si>
    <t>0.2253 +/- 0.0475</t>
  </si>
  <si>
    <t>0.2438 +/- 0.0617</t>
  </si>
  <si>
    <t>0.3819 +/- 0.0542</t>
  </si>
  <si>
    <t>0.5886 +/- 0.0262</t>
  </si>
  <si>
    <t>0.5898 +/- 0.0340</t>
  </si>
  <si>
    <t>0.6654 +/- 0.0280</t>
  </si>
  <si>
    <t>0.3002 +/- 0.0336</t>
  </si>
  <si>
    <t>0.0686 +/- 0.0350</t>
  </si>
  <si>
    <t>0.0220 +/- 0.0501</t>
  </si>
  <si>
    <t>0.3485 +/- 0.0587</t>
  </si>
  <si>
    <t>0.3177 +/- 0.0403</t>
  </si>
  <si>
    <t>0.3492 +/- 0.0314</t>
  </si>
  <si>
    <t>0.0817 +/- 0.0231</t>
  </si>
  <si>
    <t>0.3606 +/- 0.0167</t>
  </si>
  <si>
    <t>0.0858 +/- 0.0562</t>
  </si>
  <si>
    <t>0.0568 +/- 0.0565</t>
  </si>
  <si>
    <t>0.3844 +/- 0.0433</t>
  </si>
  <si>
    <t>0.3859 +/- 0.0178</t>
  </si>
  <si>
    <t>0.3861 +/- 0.0193</t>
  </si>
  <si>
    <t>0.2078 +/- 0.0187</t>
  </si>
  <si>
    <t>PC4→PC1</t>
  </si>
  <si>
    <t>0.7764 +/- 0.0084</t>
  </si>
  <si>
    <t>0.7919 +/- 0.0120</t>
  </si>
  <si>
    <t>0.7655 +/- 0.0118</t>
  </si>
  <si>
    <t>0.7969 +/- 0.0103</t>
  </si>
  <si>
    <t>0.7724 +/- 0.0119</t>
  </si>
  <si>
    <t>0.7889 +/- 0.0142</t>
  </si>
  <si>
    <t>0.7690 +/- 0.0119</t>
  </si>
  <si>
    <t>0.6411 +/- 0.0179</t>
  </si>
  <si>
    <t>0.0232 +/- 0.0391</t>
  </si>
  <si>
    <t>0.1349 +/- 0.0547</t>
  </si>
  <si>
    <t>0.3938 +/- 0.0539</t>
  </si>
  <si>
    <t>0.6046 +/- 0.0227</t>
  </si>
  <si>
    <t>0.6043 +/- 0.0303</t>
  </si>
  <si>
    <t>0.5687 +/- 0.0224</t>
  </si>
  <si>
    <t>0.5749 +/- 0.0129</t>
  </si>
  <si>
    <t>0.0146 +/- 0.0337</t>
  </si>
  <si>
    <t>0.0992 +/- 0.0430</t>
  </si>
  <si>
    <t>0.4256 +/- 0.0283</t>
  </si>
  <si>
    <t>0.5625 +/- 0.0180</t>
  </si>
  <si>
    <t>0.5668 +/- 0.0192</t>
  </si>
  <si>
    <t>0.4801 +/- 0.0236</t>
  </si>
  <si>
    <t>PC4→PC3</t>
  </si>
  <si>
    <t>0.7962 +/- 0.0062</t>
  </si>
  <si>
    <t>0.7658 +/- 0.0082</t>
  </si>
  <si>
    <t>0.7128 +/- 0.0084</t>
  </si>
  <si>
    <t>0.7425 +/- 0.0079</t>
  </si>
  <si>
    <t>0.7234 +/- 0.0063</t>
  </si>
  <si>
    <t>0.7362 +/- 0.0060</t>
  </si>
  <si>
    <t>0.4359 +/- 0.0521</t>
  </si>
  <si>
    <t>0.2954 +/- 0.0327</t>
  </si>
  <si>
    <t>0.0154 +/- 0.0471</t>
  </si>
  <si>
    <t>0.2452 +/- 0.0734</t>
  </si>
  <si>
    <t>0.4941 +/- 0.0328</t>
  </si>
  <si>
    <t>0.4408 +/- 0.0482</t>
  </si>
  <si>
    <t>0.7314 +/- 0.0133</t>
  </si>
  <si>
    <t>0.5252 +/- 0.0240</t>
  </si>
  <si>
    <t>0.4361 +/- 0.0367</t>
  </si>
  <si>
    <t>0.3456 +/- 0.0263</t>
  </si>
  <si>
    <t>0.0935 +/- 0.0772</t>
  </si>
  <si>
    <t>0.2756 +/- 0.0419</t>
  </si>
  <si>
    <t>0.3928 +/- 0.0444</t>
  </si>
  <si>
    <t>0.4005 +/- 0.0438</t>
  </si>
  <si>
    <t>0.5522 +/- 0.0278</t>
  </si>
  <si>
    <t>0.4537 +/- 0.0467</t>
  </si>
  <si>
    <t>0.1615 +/- 0.0184</t>
  </si>
  <si>
    <t>0.0145 +/- 0.0330</t>
  </si>
  <si>
    <t>0.2307 +/- 0.0260</t>
  </si>
  <si>
    <t>0.3514 +/- 0.0525</t>
  </si>
  <si>
    <t>0.3456 +/- 0.0332</t>
  </si>
  <si>
    <t>0.5017 +/- 0.0257</t>
  </si>
  <si>
    <t>0.5142 +/- 0.0322</t>
  </si>
  <si>
    <t>0.1582 +/- 0.0210</t>
  </si>
  <si>
    <t>0.0326 +/- 0.0379</t>
  </si>
  <si>
    <t>0.3445 +/- 0.0361</t>
  </si>
  <si>
    <t>0.5494 +/- 0.0295</t>
  </si>
  <si>
    <t>0.5135 +/- 0.0398</t>
  </si>
  <si>
    <t>0.4492 +/- 0.0176</t>
  </si>
  <si>
    <t>0.4683 +/- 0.0213</t>
  </si>
  <si>
    <t>0.1624 +/- 0.0219</t>
  </si>
  <si>
    <t>0.2478 +/- 0.0381</t>
  </si>
  <si>
    <t>0.3301 +/- 0.0230</t>
  </si>
  <si>
    <t>0.4799 +/- 0.0251</t>
  </si>
  <si>
    <t>0.4563 +/- 0.0288</t>
  </si>
  <si>
    <t>0.4296 +/- 0.0180</t>
  </si>
  <si>
    <t>0.2801 +/- 0.0282</t>
  </si>
  <si>
    <t>-0.0093 +/- 0.0218</t>
  </si>
  <si>
    <t>0.0979 +/- 0.0327</t>
  </si>
  <si>
    <t>0.0756 +/- 0.0225</t>
  </si>
  <si>
    <t>0.2440 +/- 0.0173</t>
  </si>
  <si>
    <t>0.2368 +/- 0.0186</t>
  </si>
  <si>
    <t>0.1838 +/- 0.0351</t>
  </si>
  <si>
    <t>0.6881 +/- 0.0314</t>
  </si>
  <si>
    <t>0.1791 +/- 0.0607</t>
  </si>
  <si>
    <t>0.1413 +/- 0.0953</t>
  </si>
  <si>
    <t>0.5919 +/- 0.0620</t>
  </si>
  <si>
    <t>0.6518 +/- 0.0401</t>
  </si>
  <si>
    <t>0.6698 +/- 0.0335</t>
  </si>
  <si>
    <t>0.5109 +/- 0.0195</t>
  </si>
  <si>
    <t>0.2150 +/- 0.0151</t>
  </si>
  <si>
    <t>0.0387 +/- 0.0208</t>
  </si>
  <si>
    <t>0.0452 +/- 0.0315</t>
  </si>
  <si>
    <t>0.1818 +/- 0.0166</t>
  </si>
  <si>
    <t>0.2885 +/- 0.0106</t>
  </si>
  <si>
    <t>0.2803 +/- 0.0135</t>
  </si>
  <si>
    <t>-0.0140 +/- 0.0288</t>
  </si>
  <si>
    <t>0.5840 +/- 0.0304</t>
  </si>
  <si>
    <t>0.0935 +/- 0.0504</t>
  </si>
  <si>
    <t>0.1886 +/- 0.0327</t>
  </si>
  <si>
    <t>0.2641 +/- 0.0286</t>
  </si>
  <si>
    <t>0.5685 +/- 0.0188</t>
  </si>
  <si>
    <t>0.5531 +/- 0.0193</t>
  </si>
  <si>
    <t>0.5587 +/- 0.0319</t>
  </si>
  <si>
    <t>0.1533 +/- 0.0268</t>
  </si>
  <si>
    <t>0.0440 +/- 0.0506</t>
  </si>
  <si>
    <t>0.1074 +/- 0.0727</t>
  </si>
  <si>
    <t>0.0913 +/- 0.0476</t>
  </si>
  <si>
    <t>0.1398 +/- 0.0383</t>
  </si>
  <si>
    <t>0.1299 +/- 0.0481</t>
  </si>
  <si>
    <t>0.0082 +/- 0.0302</t>
  </si>
  <si>
    <t>0.6020 +/- 0.0133</t>
  </si>
  <si>
    <t>0.1647 +/- 0.0269</t>
  </si>
  <si>
    <t>0.1267 +/- 0.0360</t>
  </si>
  <si>
    <t>0.4446 +/- 0.0177</t>
  </si>
  <si>
    <t>0.6711 +/- 0.0076</t>
  </si>
  <si>
    <t>0.6544 +/- 0.0104</t>
  </si>
  <si>
    <t>0.4855 +/- 0.0218</t>
  </si>
  <si>
    <t>0.2516 +/- 0.0372</t>
  </si>
  <si>
    <t>0.0293 +/- 0.0212</t>
  </si>
  <si>
    <t>0.0788 +/- 0.0936</t>
  </si>
  <si>
    <t>0.2413 +/- 0.0562</t>
  </si>
  <si>
    <t>0.2513 +/- 0.0402</t>
  </si>
  <si>
    <t>0.2429 +/- 0.0326</t>
  </si>
  <si>
    <t>-0.0375 +/- 0.0358</t>
  </si>
  <si>
    <t>0.4923 +/- 0.0262</t>
  </si>
  <si>
    <t>0.1482 +/- 0.0699</t>
  </si>
  <si>
    <t>0.2235 +/- 0.0763</t>
  </si>
  <si>
    <t>0.3044 +/- 0.0513</t>
  </si>
  <si>
    <t>0.4972 +/- 0.0398</t>
  </si>
  <si>
    <t>0.4834 +/- 0.0487</t>
  </si>
  <si>
    <t>0.5039 +/- 0.0236</t>
  </si>
  <si>
    <t>0.2080 +/- 0.0211</t>
  </si>
  <si>
    <t>0.0821 +/- 0.0442</t>
  </si>
  <si>
    <t>0.1166 +/- 0.0586</t>
  </si>
  <si>
    <t>0.1840 +/- 0.0278</t>
  </si>
  <si>
    <t>0.2296 +/- 0.0224</t>
  </si>
  <si>
    <t>W/T/L</t>
  </si>
  <si>
    <t>0.6589 +/- 0.0305</t>
  </si>
  <si>
    <t>0.1974 +/- 0.0009</t>
  </si>
  <si>
    <t>0.2185 +/- 0.0252</t>
  </si>
  <si>
    <t>0.1586 +/- 0.1224</t>
  </si>
  <si>
    <t>0.2247 +/- 0.0167</t>
  </si>
  <si>
    <t>0.5354 +/- 0.0595</t>
  </si>
  <si>
    <t>0.2118 +/- 0.0217</t>
  </si>
  <si>
    <t>0.0930 +/- 0.0356</t>
  </si>
  <si>
    <t>0.1090 +/- 0.0504</t>
  </si>
  <si>
    <t>0.1631 +/- 0.0350</t>
  </si>
  <si>
    <t>0.2432 +/- 0.0186</t>
  </si>
  <si>
    <t>0.6668 +/- 0.0361</t>
  </si>
  <si>
    <t>0.6567 +/- 0.0258</t>
  </si>
  <si>
    <t>0.4360 +/- 0.0250</t>
  </si>
  <si>
    <t>0.2406 +/- 0.0187</t>
  </si>
  <si>
    <t>0.3318 +/- 0.0217</t>
  </si>
  <si>
    <t>16/0/4</t>
  </si>
  <si>
    <t>0.2426 +/- 0.0116</t>
  </si>
  <si>
    <t>0.0406 +/- 0.0292</t>
  </si>
  <si>
    <t>0.0397 +/- 0.0252</t>
  </si>
  <si>
    <t>14/0/6</t>
  </si>
  <si>
    <t>0.1778 +/- 0.0256</t>
  </si>
  <si>
    <t>0.2640 +/- 0.0114</t>
  </si>
  <si>
    <t>9/0/11</t>
  </si>
  <si>
    <t>0.2570 +/- 0.0135</t>
  </si>
  <si>
    <t>8/0/12</t>
  </si>
  <si>
    <t>0.0530 +/- 0.0362</t>
  </si>
  <si>
    <t>5/0/15</t>
  </si>
  <si>
    <t>19/0/1</t>
  </si>
  <si>
    <t>0.6138 +/- 0.0216</t>
  </si>
  <si>
    <t>0.2023 +/- 0.0542</t>
  </si>
  <si>
    <t>0.2043 +/- 0.0599</t>
  </si>
  <si>
    <t>0.4802 +/- 0.0271</t>
  </si>
  <si>
    <t>0.6518 +/- 0.0236</t>
  </si>
  <si>
    <t>0.3542 +/- 0.0157</t>
  </si>
  <si>
    <t>0.6355 +/- 0.0258</t>
  </si>
  <si>
    <t>0.0039 +/- 0.0066</t>
  </si>
  <si>
    <t>0.6736 +/- 0.0195</t>
  </si>
  <si>
    <t>0.0398 +/- 0.0249</t>
  </si>
  <si>
    <t>0.2192 +/- 0.0454</t>
  </si>
  <si>
    <t>0.3266 +/- 0.0156</t>
  </si>
  <si>
    <t>0.3283 +/- 0.0226</t>
  </si>
  <si>
    <t>0.3348 +/- 0.0169</t>
  </si>
  <si>
    <t>0.0877 +/- 0.0303</t>
  </si>
  <si>
    <t>-0.0234 +/- 0.0288</t>
  </si>
  <si>
    <t>-0.0044 +/- 0.0456</t>
  </si>
  <si>
    <t>0.0426 +/- 0.0342</t>
  </si>
  <si>
    <t>0.0652 +/- 0.0263</t>
  </si>
  <si>
    <t>0.0598 +/- 0.0300</t>
  </si>
  <si>
    <t>0.0660 +/- 0.0259</t>
  </si>
  <si>
    <t>0.2987 +/- 0.0110</t>
  </si>
  <si>
    <t>0.6048 +/- 0.0106</t>
  </si>
  <si>
    <t>0.0025 +/- 0.0060</t>
  </si>
  <si>
    <t>0.1533 +/- 0.0324</t>
  </si>
  <si>
    <t>0.1937 +/- 0.0291</t>
  </si>
  <si>
    <t>0.4256 +/- 0.0289</t>
  </si>
  <si>
    <t>0.6532 +/- 0.0096</t>
  </si>
  <si>
    <t>0.6459 +/- 0.0101</t>
  </si>
  <si>
    <t>0.5290 +/- 0.0214</t>
  </si>
  <si>
    <t>0.2001 +/- 0.0286</t>
  </si>
  <si>
    <t>-0.0110 +/- 0.0486</t>
  </si>
  <si>
    <t>0.0132 +/- 0.0506</t>
  </si>
  <si>
    <t>0.1253 +/- 0.0792</t>
  </si>
  <si>
    <t>0.1351 +/- 0.0528</t>
  </si>
  <si>
    <t>0.1859 +/- 0.0303</t>
  </si>
  <si>
    <t>-0.0955 +/- 0.0325</t>
  </si>
  <si>
    <t>0.4135 +/- 0.0313</t>
  </si>
  <si>
    <t>0.0964 +/- 0.0746</t>
  </si>
  <si>
    <t>0.0205 +/- 0.0532</t>
  </si>
  <si>
    <t>0.2523 +/- 0.0409</t>
  </si>
  <si>
    <t>0.3988 +/- 0.0270</t>
  </si>
  <si>
    <t>0.3848 +/- 0.0304</t>
  </si>
  <si>
    <t>0.5484 +/- 0.0189</t>
  </si>
  <si>
    <t>0.1427 +/- 0.0206</t>
  </si>
  <si>
    <t>0.2250 +/- 0.0395</t>
  </si>
  <si>
    <t>0.0676 +/- 0.0584</t>
  </si>
  <si>
    <t>0.2031 +/- 0.0420</t>
  </si>
  <si>
    <t>0.1861 +/- 0.0282</t>
  </si>
  <si>
    <t>0.2028 +/- 0.0264</t>
  </si>
  <si>
    <t>0.2035 +/- 0.0142</t>
  </si>
  <si>
    <t>0.5463 +/- 0.0265</t>
  </si>
  <si>
    <t>0.0464 +/- 0.0855</t>
  </si>
  <si>
    <t>0.1157 +/- 0.1142</t>
  </si>
  <si>
    <t>0.2784 +/- 0.0945</t>
  </si>
  <si>
    <t>0.4355 +/- 0.0633</t>
  </si>
  <si>
    <t>0.4820 +/- 0.0288</t>
  </si>
  <si>
    <t>0.4180 +/- 0.0291</t>
  </si>
  <si>
    <t>0.2066 +/- 0.0299</t>
  </si>
  <si>
    <t>0.0690 +/- 0.0333</t>
  </si>
  <si>
    <t>0.0638 +/- 0.0230</t>
  </si>
  <si>
    <t>0.1280 +/- 0.0216</t>
  </si>
  <si>
    <t>0.1059 +/- 0.0169</t>
  </si>
  <si>
    <t>0.1167 +/- 0.0175</t>
  </si>
  <si>
    <t>0.2139 +/- 0.0227</t>
  </si>
  <si>
    <t>0.5150 +/- 0.0205</t>
  </si>
  <si>
    <t>0.3269 +/- 0.0383</t>
  </si>
  <si>
    <t>0.1507 +/- 0.0873</t>
  </si>
  <si>
    <t>0.4068 +/- 0.0497</t>
  </si>
  <si>
    <t>0.5281 +/- 0.0283</t>
  </si>
  <si>
    <t>0.5197 +/- 0.0280</t>
  </si>
  <si>
    <t>0.6480 +/- 0.0108</t>
  </si>
  <si>
    <t>18/0/2</t>
  </si>
  <si>
    <t>11/0/9</t>
  </si>
  <si>
    <t>0.0219 +/- 0.0134</t>
  </si>
  <si>
    <t>0.4421 +/- 0.0323</t>
  </si>
  <si>
    <t>0.2222 +/- 0.0242</t>
  </si>
  <si>
    <t>0.1660 +/- 0.0393</t>
  </si>
  <si>
    <t>0.1563 +/- 0.0202</t>
  </si>
  <si>
    <t>0.3530 +/- 0.0217</t>
  </si>
  <si>
    <t>0.2929 +/- 0.0140</t>
  </si>
  <si>
    <t>0.4752 +/- 0.0206</t>
  </si>
  <si>
    <t>0.4486 +/- 0.0262</t>
  </si>
  <si>
    <t>0.2989 +/- 0.0164</t>
  </si>
  <si>
    <t>0.6291 +/- 0.0254</t>
  </si>
  <si>
    <t>0.2271 +/- 0.0214</t>
  </si>
  <si>
    <t>20/0/0</t>
  </si>
  <si>
    <t>13/0/7</t>
  </si>
  <si>
    <t>Average (%)</t>
  </si>
  <si>
    <t>19.83</t>
  </si>
  <si>
    <t>6.00</t>
  </si>
  <si>
    <t>5.67</t>
  </si>
  <si>
    <t>14.93</t>
  </si>
  <si>
    <t>18.04</t>
  </si>
  <si>
    <t>18.32</t>
  </si>
  <si>
    <t>10.96</t>
  </si>
  <si>
    <t>0.2484 +/- 0.0457</t>
  </si>
  <si>
    <t>0.1440 +/- 0.0277</t>
  </si>
  <si>
    <t>0.0047 +/- 0.0142</t>
  </si>
  <si>
    <t>0.1097 +/- 0.0484</t>
  </si>
  <si>
    <t>0.2868 +/- 0.0257</t>
  </si>
  <si>
    <t>0.2523 +/- 0.0389</t>
  </si>
  <si>
    <t>0.3027 +/- 0.0256</t>
  </si>
  <si>
    <t>RELINK</t>
  </si>
  <si>
    <t>A→S</t>
  </si>
  <si>
    <t>0.4975 +/- 0.0502</t>
  </si>
  <si>
    <t>0.2791 +/- 0.0896</t>
  </si>
  <si>
    <t>72.65</t>
  </si>
  <si>
    <t>68.94</t>
  </si>
  <si>
    <t>68.87</t>
  </si>
  <si>
    <t>71.82</t>
  </si>
  <si>
    <t>71.26</t>
  </si>
  <si>
    <t>71.72</t>
  </si>
  <si>
    <t>61.23</t>
  </si>
  <si>
    <t>0.2090 +/- 0.0278</t>
  </si>
  <si>
    <t>0.1818 +/- 0.0250</t>
  </si>
  <si>
    <t>0.0275 +/- 0.0286</t>
  </si>
  <si>
    <t>0.1189 +/- 0.0319</t>
  </si>
  <si>
    <t>0.1708 +/- 0.0290</t>
  </si>
  <si>
    <t>0.1828 +/- 0.0309</t>
  </si>
  <si>
    <t>0.2518 +/- 0.0233</t>
  </si>
  <si>
    <t>55.13</t>
  </si>
  <si>
    <t>16.76</t>
  </si>
  <si>
    <t>13.47</t>
  </si>
  <si>
    <t>38.13</t>
  </si>
  <si>
    <t>54.89</t>
  </si>
  <si>
    <t>54.03</t>
  </si>
  <si>
    <t>53.24</t>
  </si>
  <si>
    <t>A→Z</t>
  </si>
  <si>
    <t>0.2078 +/- 0.0394</t>
  </si>
  <si>
    <t>0.0423 +/- 0.0282</t>
  </si>
  <si>
    <t>0.2652 +/- 0.0416</t>
  </si>
  <si>
    <t>0.0478 +/- 0.0107</t>
  </si>
  <si>
    <t>0.0025 +/- 0.0056</t>
  </si>
  <si>
    <t>0.0932 +/- 0.0189</t>
  </si>
  <si>
    <t>0.1224 +/- 0.0240</t>
  </si>
  <si>
    <t>0.1262 +/- 0.0216</t>
  </si>
  <si>
    <t>0.2851 +/- 0.0218</t>
  </si>
  <si>
    <t>S→A</t>
  </si>
  <si>
    <t>0.4086 +/- 0.0194</t>
  </si>
  <si>
    <t>0.4129 +/- 0.0173</t>
  </si>
  <si>
    <t>0.2258 +/- 0.0380</t>
  </si>
  <si>
    <t>0.4215 +/- 0.0266</t>
  </si>
  <si>
    <t>0.4180 +/- 0.0244</t>
  </si>
  <si>
    <t>0.4092 +/- 0.0238</t>
  </si>
  <si>
    <t>0.4059 +/- 0.0204</t>
  </si>
  <si>
    <t>0.7517 +/- 0.0259</t>
  </si>
  <si>
    <t>0.6369 +/- 0.0506</t>
  </si>
  <si>
    <t>0.2971 +/- 0.0229</t>
  </si>
  <si>
    <t>0.0454 +/- 0.0111</t>
  </si>
  <si>
    <t>0.0048 +/- 0.0056</t>
  </si>
  <si>
    <t>0.1832 +/- 0.0309</t>
  </si>
  <si>
    <t>0.2650 +/- 0.0240</t>
  </si>
  <si>
    <t>0.2540 +/- 0.0314</t>
  </si>
  <si>
    <t>0.2382 +/- 0.0146</t>
  </si>
  <si>
    <t>S→Z</t>
  </si>
  <si>
    <t>0.1597 +/- 0.0178</t>
  </si>
  <si>
    <t>0.1345 +/- 0.0145</t>
  </si>
  <si>
    <t>0.0317 +/- 0.0476</t>
  </si>
  <si>
    <t>0.1592 +/- 0.0247</t>
  </si>
  <si>
    <t>0.2154 +/- 0.0230</t>
  </si>
  <si>
    <t>0.1996 +/- 0.0322</t>
  </si>
  <si>
    <t>0.1602 +/- 0.0213</t>
  </si>
  <si>
    <t>0.2414 +/- 0.0186</t>
  </si>
  <si>
    <t>0.0505 +/- 0.0140</t>
  </si>
  <si>
    <t>0.1114 +/- 0.0307</t>
  </si>
  <si>
    <t>0.1521 +/- 0.0191</t>
  </si>
  <si>
    <t>0.2506 +/- 0.0218</t>
  </si>
  <si>
    <t>0.2317 +/- 0.0244</t>
  </si>
  <si>
    <t>0.2026 +/- 0.0098</t>
  </si>
  <si>
    <t>0.6073 +/- 0.0289</t>
  </si>
  <si>
    <t>Z→A</t>
  </si>
  <si>
    <t>0.4296 +/- 0.0242</t>
  </si>
  <si>
    <t>0.3603 +/- 0.0285</t>
  </si>
  <si>
    <t>0.1066 +/- 0.0299</t>
  </si>
  <si>
    <t>0.0960 +/- 0.0612</t>
  </si>
  <si>
    <t>0.2672 +/- 0.0355</t>
  </si>
  <si>
    <t>0.3339 +/- 0.0394</t>
  </si>
  <si>
    <t>0.3312 +/- 0.0323</t>
  </si>
  <si>
    <t>-0.1388 +/- 0.0548</t>
  </si>
  <si>
    <t>0.8130 +/- 0.0195</t>
  </si>
  <si>
    <t>0.3721 +/- 0.0262</t>
  </si>
  <si>
    <t>Z→S</t>
  </si>
  <si>
    <t>0.6758 +/- 0.0474</t>
  </si>
  <si>
    <t>0.0636 +/- 0.0216</t>
  </si>
  <si>
    <t>0.4615 +/- 0.0422</t>
  </si>
  <si>
    <t>0.0482 +/- 0.0345</t>
  </si>
  <si>
    <t>0.2498 +/- 0.0422</t>
  </si>
  <si>
    <t>0.4043 +/- 0.0607</t>
  </si>
  <si>
    <t>0.3912 +/- 0.0350</t>
  </si>
  <si>
    <t>0.4184 +/- 0.0280</t>
  </si>
  <si>
    <t>0.2030 +/- 0.0084</t>
  </si>
  <si>
    <t>0.6841 +/- 0.0106</t>
  </si>
  <si>
    <t>0.6771 +/- 0.0086</t>
  </si>
  <si>
    <t>0.5228 +/- 0.0296</t>
  </si>
  <si>
    <t>0.6976 +/- 0.0181</t>
  </si>
  <si>
    <t>0.0918 +/- 0.1262</t>
  </si>
  <si>
    <t>0.7074 +/- 0.0121</t>
  </si>
  <si>
    <t>0.3419 +/- 0.0460</t>
  </si>
  <si>
    <t>0.6966 +/- 0.0159</t>
  </si>
  <si>
    <t>0.3983 +/- 0.0431</t>
  </si>
  <si>
    <t>0.6894 +/- 0.0123</t>
  </si>
  <si>
    <t>0.3851 +/- 0.0568</t>
  </si>
  <si>
    <t>-0.0887 +/- 0.0667</t>
  </si>
  <si>
    <t>3/2/1</t>
  </si>
  <si>
    <t>6/0/0</t>
  </si>
  <si>
    <t>2/2/2</t>
  </si>
  <si>
    <t>0.5670 +/- 0.0134</t>
  </si>
  <si>
    <t>0.5415 +/- 0.0128</t>
  </si>
  <si>
    <t>0.4821 +/- 0.0281</t>
  </si>
  <si>
    <t>0.5684 +/- 0.0211</t>
  </si>
  <si>
    <t>0.6087 +/- 0.0150</t>
  </si>
  <si>
    <t>0.6010 +/- 0.0238</t>
  </si>
  <si>
    <t>0.5610 +/- 0.0189</t>
  </si>
  <si>
    <t>0.6422 +/- 0.0115</t>
  </si>
  <si>
    <t>0.5664 +/- 0.0329</t>
  </si>
  <si>
    <t>0.3695 +/- 0.0269</t>
  </si>
  <si>
    <t>0.0202 +/- 0.0147</t>
  </si>
  <si>
    <t>0.0677 +/- 0.0211</t>
  </si>
  <si>
    <t>0.1126 +/- 0.0218</t>
  </si>
  <si>
    <t>0.3415 +/- 0.0162</t>
  </si>
  <si>
    <t>0.3324 +/- 0.0175</t>
  </si>
  <si>
    <t>0.2990 +/- 0.0291</t>
  </si>
  <si>
    <t>0.6347 +/- 0.0173</t>
  </si>
  <si>
    <t>0.2973 +/- 0.0289</t>
  </si>
  <si>
    <t>0.3413 +/- 0.0122</t>
  </si>
  <si>
    <t>0.2855 +/- 0.0599</t>
  </si>
  <si>
    <t>0.0504 +/- 0.0159</t>
  </si>
  <si>
    <t>0.5258 +/- 0.0351</t>
  </si>
  <si>
    <t>0.0329 +/- 0.0167</t>
  </si>
  <si>
    <t>0.6272 +/- 0.0214</t>
  </si>
  <si>
    <t>0.2618 +/- 0.0168</t>
  </si>
  <si>
    <t>0.6257 +/- 0.0205</t>
  </si>
  <si>
    <t>0.3998 +/- 0.0082</t>
  </si>
  <si>
    <t>0.4276 +/- 0.0243</t>
  </si>
  <si>
    <t>0.3934 +/- 0.0105</t>
  </si>
  <si>
    <t>0.2152 +/- 0.0134</t>
  </si>
  <si>
    <t>34.92</t>
  </si>
  <si>
    <t>26.82</t>
  </si>
  <si>
    <t>12.78</t>
  </si>
  <si>
    <t>31.59</t>
  </si>
  <si>
    <t>34.51</t>
  </si>
  <si>
    <t>33.84</t>
  </si>
  <si>
    <t>17.40</t>
  </si>
  <si>
    <t>0.2655 +/- 0.0243</t>
  </si>
  <si>
    <t>0.0484 +/- 0.0336</t>
  </si>
  <si>
    <t>0.7076 +/- 0.0267</t>
  </si>
  <si>
    <t>0.0965 +/- 0.0565</t>
  </si>
  <si>
    <t>0.5442 +/- 0.0296</t>
  </si>
  <si>
    <t>0.3472 +/- 0.0679</t>
  </si>
  <si>
    <t>0.1436 +/- 0.0434</t>
  </si>
  <si>
    <t>0.6258 +/- 0.0333</t>
  </si>
  <si>
    <t>0.2597 +/- 0.0346</t>
  </si>
  <si>
    <t>0.6703 +/- 0.0260</t>
  </si>
  <si>
    <t>0.2496 +/- 0.0433</t>
  </si>
  <si>
    <t>0.6668 +/- 0.0379</t>
  </si>
  <si>
    <t>0.2054 +/- 0.0168</t>
  </si>
  <si>
    <t>0.4356 +/- 0.0354</t>
  </si>
  <si>
    <t>SOFTLAB</t>
  </si>
  <si>
    <t>AR1→AR3</t>
  </si>
  <si>
    <t>0.2209 +/- 0.0381</t>
  </si>
  <si>
    <t>0.3455 +/- 0.0844</t>
  </si>
  <si>
    <t>0.2793 +/- 0.1689</t>
  </si>
  <si>
    <t>0.3716 +/- 0.0702</t>
  </si>
  <si>
    <t>0.2037 +/- 0.0458</t>
  </si>
  <si>
    <t>0.2104 +/- 0.0450</t>
  </si>
  <si>
    <t>0.5673 +/- 0.0468</t>
  </si>
  <si>
    <t>0.3323 +/- 0.0291</t>
  </si>
  <si>
    <t>0.0631 +/- 0.0038</t>
  </si>
  <si>
    <t>0.0695 +/- 0.0633</t>
  </si>
  <si>
    <t>4/2/0</t>
  </si>
  <si>
    <t>0.3147 +/- 0.0545</t>
  </si>
  <si>
    <t>0.3301 +/- 0.0298</t>
  </si>
  <si>
    <t>0.3248 +/- 0.0253</t>
  </si>
  <si>
    <t>0.1617 +/- 0.0119</t>
  </si>
  <si>
    <t>AR1→AR4</t>
  </si>
  <si>
    <t>0.3038 +/- 0.0497</t>
  </si>
  <si>
    <t>0.0810 +/- 0.1009</t>
  </si>
  <si>
    <t>-0.0442 +/- 0.0570</t>
  </si>
  <si>
    <t>0.2209 +/- 0.1086</t>
  </si>
  <si>
    <t>0.3193 +/- 0.0532</t>
  </si>
  <si>
    <t>0.3175 +/- 0.0310</t>
  </si>
  <si>
    <t>0.4370 +/- 0.0303</t>
  </si>
  <si>
    <t>AR1→AR5</t>
  </si>
  <si>
    <t>0.4540 +/- 0.0690</t>
  </si>
  <si>
    <t>0.0000 +/- 0.0000</t>
  </si>
  <si>
    <t>0.4022 +/- 0.1423</t>
  </si>
  <si>
    <t>0.4670 +/- 0.0749</t>
  </si>
  <si>
    <t>0.4408 +/- 0.0669</t>
  </si>
  <si>
    <t>0.4743 +/- 0.0748</t>
  </si>
  <si>
    <t>0.2766 +/- 0.0168</t>
  </si>
  <si>
    <t>65.87</t>
  </si>
  <si>
    <t>0.0750 +/- 0.0380</t>
  </si>
  <si>
    <t>56.98</t>
  </si>
  <si>
    <t>45.07</t>
  </si>
  <si>
    <t>0.0813 +/- 0.0382</t>
  </si>
  <si>
    <t>62.94</t>
  </si>
  <si>
    <t>0.2478 +/- 0.0247</t>
  </si>
  <si>
    <t>66.21</t>
  </si>
  <si>
    <t>65.82</t>
  </si>
  <si>
    <t>57.88</t>
  </si>
  <si>
    <t>AR1→AR6</t>
  </si>
  <si>
    <t>0.1286 +/- 0.0490</t>
  </si>
  <si>
    <t>0.1625 +/- 0.1491</t>
  </si>
  <si>
    <t>-0.0014 +/- 0.0076</t>
  </si>
  <si>
    <t>0.1817 +/- 0.0379</t>
  </si>
  <si>
    <t>0.1175 +/- 0.0482</t>
  </si>
  <si>
    <t>0.2906 +/- 0.0168</t>
  </si>
  <si>
    <t>0.7747 +/- 0.0072</t>
  </si>
  <si>
    <t>0.7765 +/- 0.0053</t>
  </si>
  <si>
    <t>0.6399 +/- 0.0211</t>
  </si>
  <si>
    <t>0.7742 +/- 0.0108</t>
  </si>
  <si>
    <t>0.7798 +/- 0.0074</t>
  </si>
  <si>
    <t>0.7762 +/- 0.0073</t>
  </si>
  <si>
    <t>0.7537 +/- 0.0127</t>
  </si>
  <si>
    <t>0.2832 +/- 0.0196</t>
  </si>
  <si>
    <t>0.2654 +/- 0.0153</t>
  </si>
  <si>
    <t>0.3604 +/- 0.0096</t>
  </si>
  <si>
    <t>0.0451 +/- 0.0179</t>
  </si>
  <si>
    <t>0.0666 +/- 0.0194</t>
  </si>
  <si>
    <t>0.2488 +/- 0.0269</t>
  </si>
  <si>
    <t>0.3809 +/- 0.0088</t>
  </si>
  <si>
    <t>0.3756 +/- 0.0105</t>
  </si>
  <si>
    <t>0.2383 +/- 0.0190</t>
  </si>
  <si>
    <t>0.1041 +/- 0.0560</t>
  </si>
  <si>
    <t>0.1018 +/- 0.0404</t>
  </si>
  <si>
    <t>0.1999 +/- 0.0269</t>
  </si>
  <si>
    <t>0.0251 +/- 0.0195</t>
  </si>
  <si>
    <t>0.0060 +/- 0.0156</t>
  </si>
  <si>
    <t>0.1000 +/- 0.0279</t>
  </si>
  <si>
    <t>0.1833 +/- 0.0225</t>
  </si>
  <si>
    <t>0.1748 +/- 0.0261</t>
  </si>
  <si>
    <t>0.2381 +/- 0.0142</t>
  </si>
  <si>
    <t>0.2886 +/- 0.0252</t>
  </si>
  <si>
    <t>0.0161 +/- 0.0298</t>
  </si>
  <si>
    <t>0.0417 +/- 0.0450</t>
  </si>
  <si>
    <t>0.1353 +/- 0.0738</t>
  </si>
  <si>
    <t>AR3→AR1</t>
  </si>
  <si>
    <t>0.2165 +/- 0.0510</t>
  </si>
  <si>
    <t>0.2623 +/- 0.0262</t>
  </si>
  <si>
    <t>0.1073 +/- 0.0500</t>
  </si>
  <si>
    <t>0.1223 +/- 0.0159</t>
  </si>
  <si>
    <t>0.2185 +/- 0.0422</t>
  </si>
  <si>
    <t>0.0378 +/- 0.0898</t>
  </si>
  <si>
    <t>0.1531 +/- 0.0382</t>
  </si>
  <si>
    <t>0.1156 +/- 0.0433</t>
  </si>
  <si>
    <t>0.1052 +/- 0.0427</t>
  </si>
  <si>
    <t>0.0946 +/- 0.0537</t>
  </si>
  <si>
    <t>0.2226 +/- 0.0174</t>
  </si>
  <si>
    <t>0.1819 +/- 0.0368</t>
  </si>
  <si>
    <t>0.0537 +/- 0.0388</t>
  </si>
  <si>
    <t>AR3→AR4</t>
  </si>
  <si>
    <t>0.2299 +/- 0.0442</t>
  </si>
  <si>
    <t>0.4196 +/- 0.0600</t>
  </si>
  <si>
    <t>0.2575 +/- 0.0244</t>
  </si>
  <si>
    <t>0.4494 +/- 0.0231</t>
  </si>
  <si>
    <t>0.2695 +/- 0.0240</t>
  </si>
  <si>
    <t>0.1816 +/- 0.1152</t>
  </si>
  <si>
    <t>0.2661 +/- 0.0124</t>
  </si>
  <si>
    <t>0.4927 +/- 0.0279</t>
  </si>
  <si>
    <t>0.4034 +/- 0.0537</t>
  </si>
  <si>
    <t>0.4327 +/- 0.0665</t>
  </si>
  <si>
    <t>0.3385 +/- 0.1267</t>
  </si>
  <si>
    <t>0.6534 +/- 0.0289</t>
  </si>
  <si>
    <t>0.3662 +/- 0.0886</t>
  </si>
  <si>
    <t>0.3002 +/- 0.1780</t>
  </si>
  <si>
    <t>0.6644 +/- 0.0338</t>
  </si>
  <si>
    <t>0.6400 +/- 0.0367</t>
  </si>
  <si>
    <t>0.6442 +/- 0.0357</t>
  </si>
  <si>
    <t>0.8177 +/- 0.0240</t>
  </si>
  <si>
    <t>AR3→AR5</t>
  </si>
  <si>
    <t>0.6468 +/- 0.0553</t>
  </si>
  <si>
    <t>0.5604 +/- 0.0201</t>
  </si>
  <si>
    <t>0.2655 +/- 0.0307</t>
  </si>
  <si>
    <t>0.0537 +/- 0.0235</t>
  </si>
  <si>
    <t>0.4861 +/- 0.0244</t>
  </si>
  <si>
    <t>0.0465 +/- 0.0114</t>
  </si>
  <si>
    <t>0.6562 +/- 0.0734</t>
  </si>
  <si>
    <t>0.1813 +/- 0.0176</t>
  </si>
  <si>
    <t>0.6599 +/- 0.0653</t>
  </si>
  <si>
    <t>0.2293 +/- 0.0152</t>
  </si>
  <si>
    <t>0.2952 +/- 0.0804</t>
  </si>
  <si>
    <t>0.2251 +/- 0.0172</t>
  </si>
  <si>
    <t>0.3272 +/- 0.0165</t>
  </si>
  <si>
    <t>0.6363 +/- 0.0055</t>
  </si>
  <si>
    <t>0.6375 +/- 0.0052</t>
  </si>
  <si>
    <t>0.5037 +/- 0.0225</t>
  </si>
  <si>
    <t>0.6338 +/- 0.0081</t>
  </si>
  <si>
    <t>0.6421 +/- 0.0068</t>
  </si>
  <si>
    <t>0.6377 +/- 0.0080</t>
  </si>
  <si>
    <t>0.6859 +/- 0.0352</t>
  </si>
  <si>
    <t>0.0894 +/- 0.1114</t>
  </si>
  <si>
    <t>0.0148 +/- 0.0564</t>
  </si>
  <si>
    <t>0.4676 +/- 0.1131</t>
  </si>
  <si>
    <t>0.6988 +/- 0.0348</t>
  </si>
  <si>
    <t>0.6981 +/- 0.0194</t>
  </si>
  <si>
    <t>0.6413 +/- 0.0355</t>
  </si>
  <si>
    <t>AR3→AR6</t>
  </si>
  <si>
    <t>-0.0030 +/- 0.0688</t>
  </si>
  <si>
    <t>0.2473 +/- 0.0658</t>
  </si>
  <si>
    <t>0.0545 +/- 0.1041</t>
  </si>
  <si>
    <t>-0.0247 +/- 0.0349</t>
  </si>
  <si>
    <t>0.0098 +/- 0.0543</t>
  </si>
  <si>
    <t>0.0046 +/- 0.0681</t>
  </si>
  <si>
    <t>0.0580 +/- 0.1165</t>
  </si>
  <si>
    <t>AR4→AR1</t>
  </si>
  <si>
    <t>0.0800 +/- 0.0295</t>
  </si>
  <si>
    <t>0.1763 +/- 0.0095</t>
  </si>
  <si>
    <t>0.0697 +/- 0.0529</t>
  </si>
  <si>
    <t>0.1062 +/- 0.0247</t>
  </si>
  <si>
    <t>0.7485 +/- 0.0429</t>
  </si>
  <si>
    <t>0.0978 +/- 0.0419</t>
  </si>
  <si>
    <t>0.1022 +/- 0.0372</t>
  </si>
  <si>
    <t>0.0909 +/- 0.0646</t>
  </si>
  <si>
    <t>0.6095 +/- 0.1174</t>
  </si>
  <si>
    <t>0.7573 +/- 0.0473</t>
  </si>
  <si>
    <t>0.7358 +/- 0.0457</t>
  </si>
  <si>
    <t>0.6994 +/- 0.0476</t>
  </si>
  <si>
    <t>AR4→AR3</t>
  </si>
  <si>
    <t>0.4962 +/- 0.0377</t>
  </si>
  <si>
    <t>0.5927 +/- 0.0615</t>
  </si>
  <si>
    <t>0.3893 +/- 0.1176</t>
  </si>
  <si>
    <t>0.5177 +/- 0.0701</t>
  </si>
  <si>
    <t>0.2919 +/- 0.0596</t>
  </si>
  <si>
    <t>0.3525 +/- 0.0644</t>
  </si>
  <si>
    <t>0.1807 +/- 0.0628</t>
  </si>
  <si>
    <t>0.5537 +/- 0.0306</t>
  </si>
  <si>
    <t>0.2396 +/- 0.1715</t>
  </si>
  <si>
    <t>0.5197 +/- 0.0298</t>
  </si>
  <si>
    <t>0.5425 +/- 0.0437</t>
  </si>
  <si>
    <t>0.5355 +/- 0.0482</t>
  </si>
  <si>
    <t>0.5406 +/- 0.0297</t>
  </si>
  <si>
    <t>AR4→AR5</t>
  </si>
  <si>
    <t>0.7104 +/- 0.0477</t>
  </si>
  <si>
    <t>0.5574 +/- 0.0965</t>
  </si>
  <si>
    <t>0.5382 +/- 0.1206</t>
  </si>
  <si>
    <t>0.6909 +/- 0.0908</t>
  </si>
  <si>
    <t>0.6271 +/- 0.0811</t>
  </si>
  <si>
    <t>0.6893 +/- 0.0717</t>
  </si>
  <si>
    <t>0.5427 +/- 0.0482</t>
  </si>
  <si>
    <t>0.3190 +/- 0.1780</t>
  </si>
  <si>
    <t>0.5432 +/- 0.0457</t>
  </si>
  <si>
    <t>0.0773 +/- 0.1426</t>
  </si>
  <si>
    <t>0.5372 +/- 0.0412</t>
  </si>
  <si>
    <t>0.5552 +/- 0.0522</t>
  </si>
  <si>
    <t>0.5469 +/- 0.0407</t>
  </si>
  <si>
    <t>0.5623 +/- 0.0400</t>
  </si>
  <si>
    <t>0.6183 +/- 0.0088</t>
  </si>
  <si>
    <t>AR4→AR6</t>
  </si>
  <si>
    <t>0.0999 +/- 0.0104</t>
  </si>
  <si>
    <t>0.1210 +/- 0.0438</t>
  </si>
  <si>
    <t>0.1216 +/- 0.0884</t>
  </si>
  <si>
    <t>0.1189 +/- 0.0114</t>
  </si>
  <si>
    <t>0.1261 +/- 0.0267</t>
  </si>
  <si>
    <t>0.1307 +/- 0.0261</t>
  </si>
  <si>
    <t>0.1072 +/- 0.0317</t>
  </si>
  <si>
    <t>0.6545 +/- 0.0221</t>
  </si>
  <si>
    <t>0.5748 +/- 0.0187</t>
  </si>
  <si>
    <t>0.2099 +/- 0.1279</t>
  </si>
  <si>
    <t>0.5995 +/- 0.0239</t>
  </si>
  <si>
    <t>0.6596 +/- 0.0196</t>
  </si>
  <si>
    <t>0.6579 +/- 0.0270</t>
  </si>
  <si>
    <t>0.6609 +/- 0.0372</t>
  </si>
  <si>
    <t>AR5→AR1</t>
  </si>
  <si>
    <t>0.1034 +/- 0.0255</t>
  </si>
  <si>
    <t>0.1799 +/- 0.0215</t>
  </si>
  <si>
    <t>0.0028 +/- 0.0760</t>
  </si>
  <si>
    <t>0.1183 +/- 0.0183</t>
  </si>
  <si>
    <t>0.0989 +/- 0.0375</t>
  </si>
  <si>
    <t>0.0921 +/- 0.0238</t>
  </si>
  <si>
    <t>0.0940 +/- 0.0174</t>
  </si>
  <si>
    <t>0.8364 +/- 0.0381</t>
  </si>
  <si>
    <t>0.6086 +/- 0.0205</t>
  </si>
  <si>
    <t>0.6827 +/- 0.0040</t>
  </si>
  <si>
    <t>0.8474 +/- 0.0491</t>
  </si>
  <si>
    <t>0.8455 +/- 0.0397</t>
  </si>
  <si>
    <t>0.6658 +/- 0.0510</t>
  </si>
  <si>
    <t>AR5→AR3</t>
  </si>
  <si>
    <t>0.4168 +/- 0.0480</t>
  </si>
  <si>
    <t>0.5672 +/- 0.0271</t>
  </si>
  <si>
    <t>0.1149 +/- 0.1664</t>
  </si>
  <si>
    <t>0.4312 +/- 0.0466</t>
  </si>
  <si>
    <t>0.3680 +/- 0.0389</t>
  </si>
  <si>
    <t>0.3947 +/- 0.0425</t>
  </si>
  <si>
    <t>0.4011 +/- 0.0455</t>
  </si>
  <si>
    <t>0.0704 +/- 0.1336</t>
  </si>
  <si>
    <t>0.4189 +/- 0.0369</t>
  </si>
  <si>
    <t>0.0602 +/- 0.1111</t>
  </si>
  <si>
    <t>0.1010 +/- 0.1533</t>
  </si>
  <si>
    <t>0.0582 +/- 0.1245</t>
  </si>
  <si>
    <t>0.3849 +/- 0.1490</t>
  </si>
  <si>
    <t>AR5→AR4</t>
  </si>
  <si>
    <t>0.4148 +/- 0.0287</t>
  </si>
  <si>
    <t>0.4751 +/- 0.0287</t>
  </si>
  <si>
    <t>0.0338 +/- 0.0768</t>
  </si>
  <si>
    <t>0.4303 +/- 0.0325</t>
  </si>
  <si>
    <t>0.4279 +/- 0.0406</t>
  </si>
  <si>
    <t>0.4186 +/- 0.0302</t>
  </si>
  <si>
    <t>0.3950 +/- 0.0279</t>
  </si>
  <si>
    <t>0.5512 +/- 0.0322</t>
  </si>
  <si>
    <t>0.6046 +/- 0.0035</t>
  </si>
  <si>
    <t>0.3725 +/- 0.0990</t>
  </si>
  <si>
    <t>0.5650 +/- 0.0287</t>
  </si>
  <si>
    <t>0.5591 +/- 0.0491</t>
  </si>
  <si>
    <t>0.5700 +/- 0.0437</t>
  </si>
  <si>
    <t>0.5773 +/- 0.0606</t>
  </si>
  <si>
    <t>AR5→AR6</t>
  </si>
  <si>
    <t>0.1970 +/- 0.0633</t>
  </si>
  <si>
    <t>0.2793 +/- 0.0148</t>
  </si>
  <si>
    <t>-0.0028 +/- 0.0106</t>
  </si>
  <si>
    <t>0.1432 +/- 0.0437</t>
  </si>
  <si>
    <t>0.1305 +/- 0.0382</t>
  </si>
  <si>
    <t>0.1726 +/- 0.0555</t>
  </si>
  <si>
    <t>0.1610 +/- 0.0534</t>
  </si>
  <si>
    <t>0.8021 +/- 0.0155</t>
  </si>
  <si>
    <t>0.7655 +/- 0.0558</t>
  </si>
  <si>
    <t>0.6119 +/- 0.0921</t>
  </si>
  <si>
    <t>0.7941 +/- 0.0470</t>
  </si>
  <si>
    <t>0.6981 +/- 0.0438</t>
  </si>
  <si>
    <t>0.7348 +/- 0.0430</t>
  </si>
  <si>
    <t>0.5697 +/- 0.0833</t>
  </si>
  <si>
    <t>AR6→AR1</t>
  </si>
  <si>
    <t>0.1852 +/- 0.0631</t>
  </si>
  <si>
    <t>0.1431 +/- 0.0877</t>
  </si>
  <si>
    <t>-0.0030 +/- 0.0092</t>
  </si>
  <si>
    <t>0.1852 +/- 0.0564</t>
  </si>
  <si>
    <t>0.1245 +/- 0.0704</t>
  </si>
  <si>
    <t>0.1536 +/- 0.0616</t>
  </si>
  <si>
    <t>0.1922 +/- 0.0659</t>
  </si>
  <si>
    <t>0.7202 +/- 0.0138</t>
  </si>
  <si>
    <t>0.6594 +/- 0.0242</t>
  </si>
  <si>
    <t>0.6190 +/- 0.0302</t>
  </si>
  <si>
    <t>0.7023 +/- 0.0194</t>
  </si>
  <si>
    <t>0.7161 +/- 0.0168</t>
  </si>
  <si>
    <t>0.7144 +/- 0.0186</t>
  </si>
  <si>
    <t>0.3925 +/- 0.0310</t>
  </si>
  <si>
    <t>0.8809 +/- 0.0177</t>
  </si>
  <si>
    <t>0.6903 +/- 0.0801</t>
  </si>
  <si>
    <t>0.7159 +/- 0.0814</t>
  </si>
  <si>
    <t>0.8097 +/- 0.0612</t>
  </si>
  <si>
    <t>0.8332 +/- 0.0469</t>
  </si>
  <si>
    <t>0.8606 +/- 0.0386</t>
  </si>
  <si>
    <t>0.6546 +/- 0.1250</t>
  </si>
  <si>
    <t>AR6→AR3</t>
  </si>
  <si>
    <t>0.2816 +/- 0.0426</t>
  </si>
  <si>
    <t>0.4506 +/- 0.1091</t>
  </si>
  <si>
    <t>0.0216 +/- 0.1179</t>
  </si>
  <si>
    <t>0.2920 +/- 0.0751</t>
  </si>
  <si>
    <t>0.2177 +/- 0.0482</t>
  </si>
  <si>
    <t>0.2339 +/- 0.0509</t>
  </si>
  <si>
    <t>0.4502 +/- 0.0579</t>
  </si>
  <si>
    <t>0.5401 +/- 0.0075</t>
  </si>
  <si>
    <t>0.5302 +/- 0.0374</t>
  </si>
  <si>
    <t>0.4318 +/- 0.1094</t>
  </si>
  <si>
    <t>0.5473 +/- 0.0045</t>
  </si>
  <si>
    <t>0.5667 +/- 0.0196</t>
  </si>
  <si>
    <t>0.5648 +/- 0.0215</t>
  </si>
  <si>
    <t>0.5481 +/- 0.0237</t>
  </si>
  <si>
    <t>AR6→AR4</t>
  </si>
  <si>
    <t>0.2061 +/- 0.0451</t>
  </si>
  <si>
    <t>0.0141 +/- 0.0565</t>
  </si>
  <si>
    <t>0.1599 +/- 0.1022</t>
  </si>
  <si>
    <t>0.1644 +/- 0.0571</t>
  </si>
  <si>
    <t>0.2016 +/- 0.0578</t>
  </si>
  <si>
    <t>0.1873 +/- 0.0540</t>
  </si>
  <si>
    <t>0.2180 +/- 0.0463</t>
  </si>
  <si>
    <t>0.5731 +/- 0.0221</t>
  </si>
  <si>
    <t>0.6021 +/- 0.0198</t>
  </si>
  <si>
    <t>0.1133 +/- 0.1647</t>
  </si>
  <si>
    <t>0.5783 +/- 0.0095</t>
  </si>
  <si>
    <t>0.5743 +/- 0.0344</t>
  </si>
  <si>
    <t>0.5653 +/- 0.0193</t>
  </si>
  <si>
    <t>0.5647 +/- 0.0106</t>
  </si>
  <si>
    <t>AR6→AR5</t>
  </si>
  <si>
    <t>0.4752 +/- 0.1001</t>
  </si>
  <si>
    <t>0.4988 +/- 0.0750</t>
  </si>
  <si>
    <t>0.0158 +/- 0.1334</t>
  </si>
  <si>
    <t>0.4961 +/- 0.0648</t>
  </si>
  <si>
    <t>0.5207 +/- 0.0741</t>
  </si>
  <si>
    <t>0.4910 +/- 0.0882</t>
  </si>
  <si>
    <t>0.4576 +/- 0.0878</t>
  </si>
  <si>
    <t>0.7747 +/- 0.0189</t>
  </si>
  <si>
    <t>0.8229 +/- 0.0063</t>
  </si>
  <si>
    <t>0.1343 +/- 0.1814</t>
  </si>
  <si>
    <t>0.7805 +/- 0.0185</t>
  </si>
  <si>
    <t>0.7532 +/- 0.0192</t>
  </si>
  <si>
    <t>0.7655 +/- 0.0182</t>
  </si>
  <si>
    <t>0.7682 +/- 0.0190</t>
  </si>
  <si>
    <t>6/0/14</t>
  </si>
  <si>
    <t>17/0/3</t>
  </si>
  <si>
    <t>7/1/12</t>
  </si>
  <si>
    <t>12/0/8</t>
  </si>
  <si>
    <t>0.7002 +/- 0.0293</t>
  </si>
  <si>
    <t>0.6548 +/- 0.0166</t>
  </si>
  <si>
    <t>0.0373 +/- 0.0848</t>
  </si>
  <si>
    <t>0.6805 +/- 0.0211</t>
  </si>
  <si>
    <t>0.7327 +/- 0.0329</t>
  </si>
  <si>
    <t>0.7059 +/- 0.0319</t>
  </si>
  <si>
    <t>0.6761 +/- 0.0167</t>
  </si>
  <si>
    <t>29.72</t>
  </si>
  <si>
    <t>30.60</t>
  </si>
  <si>
    <t>9.85</t>
  </si>
  <si>
    <t>29.89</t>
  </si>
  <si>
    <t>27.63</t>
  </si>
  <si>
    <t>28.47</t>
  </si>
  <si>
    <t>27.17</t>
  </si>
  <si>
    <t>0.6009 +/- 0.0460</t>
  </si>
  <si>
    <t>0.6287 +/- 0.0041</t>
  </si>
  <si>
    <t>0.5477 +/- 0.0324</t>
  </si>
  <si>
    <t>0.5549 +/- 0.0261</t>
  </si>
  <si>
    <t>0.5836 +/- 0.0406</t>
  </si>
  <si>
    <t>0.5849 +/- 0.0423</t>
  </si>
  <si>
    <t>AEEEM</t>
  </si>
  <si>
    <t>EQ→JDT</t>
  </si>
  <si>
    <t>0.4194 +/- 0.0134</t>
  </si>
  <si>
    <t>0.4118 +/- 0.0171</t>
  </si>
  <si>
    <t>0.3664 +/- 0.0172</t>
  </si>
  <si>
    <t>0.3641 +/- 0.0276</t>
  </si>
  <si>
    <t>0.2871 +/- 0.0271</t>
  </si>
  <si>
    <t>0.3401 +/- 0.0202</t>
  </si>
  <si>
    <t>0.3513 +/- 0.0250</t>
  </si>
  <si>
    <t>0.6482 +/- 0.0536</t>
  </si>
  <si>
    <t>0.3142 +/- 0.1161</t>
  </si>
  <si>
    <t>0.5755 +/- 0.0612</t>
  </si>
  <si>
    <t>0.6061 +/- 0.0688</t>
  </si>
  <si>
    <t>EQ→LC</t>
  </si>
  <si>
    <t>0.2925 +/- 0.0181</t>
  </si>
  <si>
    <t>0.2921 +/- 0.0235</t>
  </si>
  <si>
    <t>0.1948 +/- 0.0146</t>
  </si>
  <si>
    <t>0.2556 +/- 0.0242</t>
  </si>
  <si>
    <t>0.1688 +/- 0.0296</t>
  </si>
  <si>
    <t>0.2184 +/- 0.0270</t>
  </si>
  <si>
    <t>0.2871 +/- 0.0174</t>
  </si>
  <si>
    <t>0.6315 +/- 0.0561</t>
  </si>
  <si>
    <t>0.6347 +/- 0.0465</t>
  </si>
  <si>
    <t>EQ→ML</t>
  </si>
  <si>
    <t>0.1108 +/- 0.0181</t>
  </si>
  <si>
    <t>0.1394 +/- 0.0179</t>
  </si>
  <si>
    <t>0.1220 +/- 0.0144</t>
  </si>
  <si>
    <t>0.0804 +/- 0.0247</t>
  </si>
  <si>
    <t>0.0118 +/- 0.0204</t>
  </si>
  <si>
    <t>0.0431 +/- 0.0217</t>
  </si>
  <si>
    <t>0.1457 +/- 0.0280</t>
  </si>
  <si>
    <t>EQ→PDE</t>
  </si>
  <si>
    <t>0.2158 +/- 0.0128</t>
  </si>
  <si>
    <t>0.2336 +/- 0.0166</t>
  </si>
  <si>
    <t>0.2202 +/- 0.0085</t>
  </si>
  <si>
    <t>0.1841 +/- 0.0123</t>
  </si>
  <si>
    <t>0.2009 +/- 0.0135</t>
  </si>
  <si>
    <t>0.1787 +/- 0.0290</t>
  </si>
  <si>
    <t>JDT→EQ</t>
  </si>
  <si>
    <t>0.3348 +/- 0.0220</t>
  </si>
  <si>
    <t>0.3201 +/- 0.0196</t>
  </si>
  <si>
    <t>0.3656 +/- 0.0211</t>
  </si>
  <si>
    <t>0.2986 +/- 0.0221</t>
  </si>
  <si>
    <t>0.3018 +/- 0.0321</t>
  </si>
  <si>
    <t>0.3173 +/- 0.0236</t>
  </si>
  <si>
    <t>0.3529 +/- 0.0842</t>
  </si>
  <si>
    <t>JDT→LC</t>
  </si>
  <si>
    <t>0.3001 +/- 0.0141</t>
  </si>
  <si>
    <t>0.3770 +/- 0.0189</t>
  </si>
  <si>
    <t>0.3167 +/- 0.0209</t>
  </si>
  <si>
    <t>0.3166 +/- 0.0174</t>
  </si>
  <si>
    <t>0.2644 +/- 0.0201</t>
  </si>
  <si>
    <t>0.2695 +/- 0.0195</t>
  </si>
  <si>
    <t>0.2456 +/- 0.0344</t>
  </si>
  <si>
    <t>0.6895 +/- 0.0271</t>
  </si>
  <si>
    <t>0.6119 +/- 0.0944</t>
  </si>
  <si>
    <t>0.0631 +/- 0.1456</t>
  </si>
  <si>
    <t>0.6478 +/- 0.0531</t>
  </si>
  <si>
    <t>0.6578 +/- 0.0353</t>
  </si>
  <si>
    <t>0.6666 +/- 0.0346</t>
  </si>
  <si>
    <t>0.8099 +/- 0.0325</t>
  </si>
  <si>
    <t>0.5790 +/- 0.0360</t>
  </si>
  <si>
    <t>0.0223 +/- 0.0681</t>
  </si>
  <si>
    <t>0.1763 +/- 0.1125</t>
  </si>
  <si>
    <t>0.4811 +/- 0.0492</t>
  </si>
  <si>
    <t>0.5768 +/- 0.0355</t>
  </si>
  <si>
    <t>0.5713 +/- 0.0420</t>
  </si>
  <si>
    <t>0.5769 +/- 0.0342</t>
  </si>
  <si>
    <t>0.7721 +/- 0.0592</t>
  </si>
  <si>
    <t>0.5740 +/- 0.0682</t>
  </si>
  <si>
    <t>0.1425 +/- 0.1792</t>
  </si>
  <si>
    <t>0.7575 +/- 0.0442</t>
  </si>
  <si>
    <t>0.8008 +/- 0.0433</t>
  </si>
  <si>
    <t>0.7823 +/- 0.0496</t>
  </si>
  <si>
    <t>0.7618 +/- 0.0495</t>
  </si>
  <si>
    <t>JDT→ML</t>
  </si>
  <si>
    <t>0.2366 +/- 0.0069</t>
  </si>
  <si>
    <t>0.2502 +/- 0.0111</t>
  </si>
  <si>
    <t>0.2202 +/- 0.0157</t>
  </si>
  <si>
    <t>0.2421 +/- 0.0093</t>
  </si>
  <si>
    <t>0.1135 +/- 0.0231</t>
  </si>
  <si>
    <t>0.2130 +/- 0.0110</t>
  </si>
  <si>
    <t>0.1026 +/- 0.0228</t>
  </si>
  <si>
    <t>15/0/5</t>
  </si>
  <si>
    <t>JDT→PDE</t>
  </si>
  <si>
    <t>0.2730 +/- 0.0079</t>
  </si>
  <si>
    <t>0.3081 +/- 0.0120</t>
  </si>
  <si>
    <t>0.2824 +/- 0.0160</t>
  </si>
  <si>
    <t>0.2839 +/- 0.0106</t>
  </si>
  <si>
    <t>0.2567 +/- 0.0097</t>
  </si>
  <si>
    <t>0.2717 +/- 0.0083</t>
  </si>
  <si>
    <t>0.0370 +/- 0.0143</t>
  </si>
  <si>
    <t>LC→EQ</t>
  </si>
  <si>
    <t>0.3332 +/- 0.0183</t>
  </si>
  <si>
    <t>0.2822 +/- 0.0105</t>
  </si>
  <si>
    <t>0.2646 +/- 0.0133</t>
  </si>
  <si>
    <t>0.2922 +/- 0.0104</t>
  </si>
  <si>
    <t>0.4109 +/- 0.0245</t>
  </si>
  <si>
    <t>0.3540 +/- 0.0216</t>
  </si>
  <si>
    <t>-0.1418 +/- 0.0261</t>
  </si>
  <si>
    <t>64.29</t>
  </si>
  <si>
    <t>48.31</t>
  </si>
  <si>
    <t>LC→JDT</t>
  </si>
  <si>
    <t>17.31</t>
  </si>
  <si>
    <t>0.4688 +/- 0.0162</t>
  </si>
  <si>
    <t>59.23</t>
  </si>
  <si>
    <t>0.3303 +/- 0.0152</t>
  </si>
  <si>
    <t>0.3064 +/- 0.0184</t>
  </si>
  <si>
    <t>0.4212 +/- 0.0121</t>
  </si>
  <si>
    <t>0.4303 +/- 0.0176</t>
  </si>
  <si>
    <t>0.4474 +/- 0.0163</t>
  </si>
  <si>
    <t>-0.0285 +/- 0.0241</t>
  </si>
  <si>
    <t>LC→ML</t>
  </si>
  <si>
    <t>0.2519 +/- 0.0098</t>
  </si>
  <si>
    <t>0.2152 +/- 0.0065</t>
  </si>
  <si>
    <t>0.1722 +/- 0.0170</t>
  </si>
  <si>
    <t>0.2392 +/- 0.0114</t>
  </si>
  <si>
    <t>0.1944 +/- 0.0185</t>
  </si>
  <si>
    <t>0.2434 +/- 0.0112</t>
  </si>
  <si>
    <t>0.1733 +/- 0.0407</t>
  </si>
  <si>
    <t>63.58</t>
  </si>
  <si>
    <t>63.62</t>
  </si>
  <si>
    <t>63.50</t>
  </si>
  <si>
    <t>LC→PDE</t>
  </si>
  <si>
    <t>0.2416 +/- 0.0151</t>
  </si>
  <si>
    <t>0.2406 +/- 0.0088</t>
  </si>
  <si>
    <t>0.2498 +/- 0.0168</t>
  </si>
  <si>
    <t>0.2887 +/- 0.0180</t>
  </si>
  <si>
    <t>0.2496 +/- 0.0112</t>
  </si>
  <si>
    <t>0.2601 +/- 0.0130</t>
  </si>
  <si>
    <t>0.0140 +/- 0.0125</t>
  </si>
  <si>
    <t>0.8534 +/- 0.0223</t>
  </si>
  <si>
    <t>0.7477 +/- 0.0318</t>
  </si>
  <si>
    <t>0.4959 +/- 0.0487</t>
  </si>
  <si>
    <t>0.8113 +/- 0.0235</t>
  </si>
  <si>
    <t>0.8170 +/- 0.0216</t>
  </si>
  <si>
    <t>0.8076 +/- 0.0167</t>
  </si>
  <si>
    <t>0.4156 +/- 0.0307</t>
  </si>
  <si>
    <t>0.7481 +/- 0.0071</t>
  </si>
  <si>
    <t>0.7385 +/- 0.0090</t>
  </si>
  <si>
    <t>0.7183 +/- 0.0109</t>
  </si>
  <si>
    <t>0.7192 +/- 0.0160</t>
  </si>
  <si>
    <t>0.6480 +/- 0.0307</t>
  </si>
  <si>
    <t>0.7013 +/- 0.0144</t>
  </si>
  <si>
    <t>0.7106 +/- 0.0139</t>
  </si>
  <si>
    <t>0.7358 +/- 0.0128</t>
  </si>
  <si>
    <t>0.7302 +/- 0.0169</t>
  </si>
  <si>
    <t>0.6438 +/- 0.0103</t>
  </si>
  <si>
    <t>0.7093 +/- 0.0216</t>
  </si>
  <si>
    <t>0.5717 +/- 0.0533</t>
  </si>
  <si>
    <t>0.6629 +/- 0.0400</t>
  </si>
  <si>
    <t>0.7276 +/- 0.0139</t>
  </si>
  <si>
    <t>0.5807 +/- 0.0137</t>
  </si>
  <si>
    <t>0.5965 +/- 0.0094</t>
  </si>
  <si>
    <t>0.5862 +/- 0.0113</t>
  </si>
  <si>
    <t>0.5547 +/- 0.0215</t>
  </si>
  <si>
    <t>0.4599 +/- 0.0213</t>
  </si>
  <si>
    <t>0.5150 +/- 0.0216</t>
  </si>
  <si>
    <t>0.5997 +/- 0.0155</t>
  </si>
  <si>
    <t>0.6526 +/- 0.0088</t>
  </si>
  <si>
    <t>0.6588 +/- 0.0102</t>
  </si>
  <si>
    <t>0.6506 +/- 0.0063</t>
  </si>
  <si>
    <t>0.6519 +/- 0.0091</t>
  </si>
  <si>
    <t>0.6161 +/- 0.0105</t>
  </si>
  <si>
    <t>0.6386 +/- 0.0097</t>
  </si>
  <si>
    <t>0.6141 +/- 0.0330</t>
  </si>
  <si>
    <t>0.5752 +/- 0.0145</t>
  </si>
  <si>
    <t>0.4804 +/- 0.0110</t>
  </si>
  <si>
    <t>0.5814 +/- 0.0151</t>
  </si>
  <si>
    <t>0.5085 +/- 0.0170</t>
  </si>
  <si>
    <t>0.6113 +/- 0.0187</t>
  </si>
  <si>
    <t>0.5818 +/- 0.0166</t>
  </si>
  <si>
    <t>0.6585 +/- 0.0368</t>
  </si>
  <si>
    <t>0.6805 +/- 0.0129</t>
  </si>
  <si>
    <t>0.6206 +/- 0.0141</t>
  </si>
  <si>
    <t>0.6759 +/- 0.0147</t>
  </si>
  <si>
    <t>0.6381 +/- 0.0134</t>
  </si>
  <si>
    <t>0.6816 +/- 0.0155</t>
  </si>
  <si>
    <t>0.6653 +/- 0.0175</t>
  </si>
  <si>
    <t>0.6872 +/- 0.0218</t>
  </si>
  <si>
    <t>0.6153 +/- 0.0062</t>
  </si>
  <si>
    <t>0.5237 +/- 0.0103</t>
  </si>
  <si>
    <t>0.5554 +/- 0.0140</t>
  </si>
  <si>
    <t>0.5773 +/- 0.0076</t>
  </si>
  <si>
    <t>0.5799 +/- 0.0176</t>
  </si>
  <si>
    <t>0.6122 +/- 0.0096</t>
  </si>
  <si>
    <t>0.5279 +/- 0.0360</t>
  </si>
  <si>
    <t>0.6575 +/- 0.0064</t>
  </si>
  <si>
    <t>0.5797 +/- 0.0119</t>
  </si>
  <si>
    <t>0.5889 +/- 0.0158</t>
  </si>
  <si>
    <t>0.6337 +/- 0.0078</t>
  </si>
  <si>
    <t>0.6576 +/- 0.0085</t>
  </si>
  <si>
    <t>0.6610 +/- 0.0074</t>
  </si>
  <si>
    <t>0.3498 +/- 0.0236</t>
  </si>
  <si>
    <t>0.5338 +/- 0.0099</t>
  </si>
  <si>
    <t>0.3545 +/- 0.0125</t>
  </si>
  <si>
    <t>0.3341 +/- 0.0157</t>
  </si>
  <si>
    <t>0.4143 +/- 0.0154</t>
  </si>
  <si>
    <t>0.6461 +/- 0.0221</t>
  </si>
  <si>
    <t>0.5716 +/- 0.0183</t>
  </si>
  <si>
    <t>0.3584 +/- 0.0154</t>
  </si>
  <si>
    <t>0.6640 +/- 0.0154</t>
  </si>
  <si>
    <t>0.3766 +/- 0.0136</t>
  </si>
  <si>
    <t>0.3869 +/- 0.0207</t>
  </si>
  <si>
    <t>0.5688 +/- 0.0132</t>
  </si>
  <si>
    <t>0.6353 +/- 0.0194</t>
  </si>
  <si>
    <t>0.6417 +/- 0.0166</t>
  </si>
  <si>
    <t>0.4387 +/- 0.0263</t>
  </si>
  <si>
    <t>0.5761 +/- 0.0116</t>
  </si>
  <si>
    <t>0.3534 +/- 0.0075</t>
  </si>
  <si>
    <t>0.3421 +/- 0.0171</t>
  </si>
  <si>
    <t>0.4731 +/- 0.0176</t>
  </si>
  <si>
    <t>0.5698 +/- 0.0091</t>
  </si>
  <si>
    <t>0.5771 +/- 0.0099</t>
  </si>
  <si>
    <t>0.6098 +/- 0.0295</t>
  </si>
  <si>
    <t>0.5687 +/- 0.0247</t>
  </si>
  <si>
    <t>0.3797 +/- 0.0075</t>
  </si>
  <si>
    <t>0.3505 +/- 0.0218</t>
  </si>
  <si>
    <t>0.4739 +/- 0.0246</t>
  </si>
  <si>
    <t>0.5938 +/- 0.0172</t>
  </si>
  <si>
    <t>0.5917 +/- 0.0159</t>
  </si>
  <si>
    <t>0.4865 +/- 0.0142</t>
  </si>
  <si>
    <t>ML→EQ</t>
  </si>
  <si>
    <t>0.4785 +/- 0.0124</t>
  </si>
  <si>
    <t>0.2209 +/- 0.0181</t>
  </si>
  <si>
    <t>0.1756 +/- 0.0443</t>
  </si>
  <si>
    <t>0.3738 +/- 0.0127</t>
  </si>
  <si>
    <t>0.4617 +/- 0.0167</t>
  </si>
  <si>
    <t>0.4752 +/- 0.0212</t>
  </si>
  <si>
    <t>0.2891 +/- 0.0193</t>
  </si>
  <si>
    <t>ML→JDT</t>
  </si>
  <si>
    <t>0.6142 +/- 0.0258</t>
  </si>
  <si>
    <t>0.2826 +/- 0.0167</t>
  </si>
  <si>
    <t>0.2285 +/- 0.0289</t>
  </si>
  <si>
    <t>0.2955 +/- 0.0181</t>
  </si>
  <si>
    <t>0.3951 +/- 0.0214</t>
  </si>
  <si>
    <t>0.6109 +/- 0.0223</t>
  </si>
  <si>
    <t>0.1731 +/- 0.0145</t>
  </si>
  <si>
    <t>0.5959 +/- 0.0231</t>
  </si>
  <si>
    <t>0.1219 +/- 0.0402</t>
  </si>
  <si>
    <t>0.3389 +/- 0.0264</t>
  </si>
  <si>
    <t>0.2645 +/- 0.0111</t>
  </si>
  <si>
    <t>0.2826 +/- 0.0208</t>
  </si>
  <si>
    <t>0.2852 +/- 0.0288</t>
  </si>
  <si>
    <t>-0.1469 +/- 0.0302</t>
  </si>
  <si>
    <t>ML→LC</t>
  </si>
  <si>
    <t>0.6171 +/- 0.0169</t>
  </si>
  <si>
    <t>0.4054 +/- 0.0248</t>
  </si>
  <si>
    <t>0.2887 +/- 0.0463</t>
  </si>
  <si>
    <t>0.4284 +/- 0.0261</t>
  </si>
  <si>
    <t>0.5676 +/- 0.0248</t>
  </si>
  <si>
    <t>0.5664 +/- 0.0219</t>
  </si>
  <si>
    <t>0.4162 +/- 0.0190</t>
  </si>
  <si>
    <t>0.4051 +/- 0.0251</t>
  </si>
  <si>
    <t>0.2269 +/- 0.0163</t>
  </si>
  <si>
    <t>0.1670 +/- 0.0317</t>
  </si>
  <si>
    <t>0.2966 +/- 0.0191</t>
  </si>
  <si>
    <t>0.3996 +/- 0.0277</t>
  </si>
  <si>
    <t>0.4096 +/- 0.0268</t>
  </si>
  <si>
    <t>-0.0373 +/- 0.0247</t>
  </si>
  <si>
    <t>ML→PDE</t>
  </si>
  <si>
    <t>0.5909 +/- 0.0074</t>
  </si>
  <si>
    <t>0.2616 +/- 0.0202</t>
  </si>
  <si>
    <t>0.2201 +/- 0.0322</t>
  </si>
  <si>
    <t>0.4995 +/- 0.0098</t>
  </si>
  <si>
    <t>0.5882 +/- 0.0103</t>
  </si>
  <si>
    <t>0.5901 +/- 0.0108</t>
  </si>
  <si>
    <t>0.3708 +/- 0.0130</t>
  </si>
  <si>
    <t>0.3136 +/- 0.0192</t>
  </si>
  <si>
    <t>0.3789 +/- 0.0269</t>
  </si>
  <si>
    <t>0.1989 +/- 0.0526</t>
  </si>
  <si>
    <t>0.2749 +/- 0.0301</t>
  </si>
  <si>
    <t>0.2684 +/- 0.0246</t>
  </si>
  <si>
    <t>0.2742 +/- 0.0251</t>
  </si>
  <si>
    <t>-0.0071 +/- 0.0234</t>
  </si>
  <si>
    <t>PDE→EQ</t>
  </si>
  <si>
    <t>0.4688 +/- 0.0172</t>
  </si>
  <si>
    <t>0.3172 +/- 0.0149</t>
  </si>
  <si>
    <t>0.3196 +/- 0.0275</t>
  </si>
  <si>
    <t>0.3629 +/- 0.0139</t>
  </si>
  <si>
    <t>0.5169 +/- 0.0216</t>
  </si>
  <si>
    <t>0.4944 +/- 0.0222</t>
  </si>
  <si>
    <t>0.3754 +/- 0.0334</t>
  </si>
  <si>
    <t>0.2392 +/- 0.0084</t>
  </si>
  <si>
    <t>0.1719 +/- 0.0176</t>
  </si>
  <si>
    <t>0.1388 +/- 0.0308</t>
  </si>
  <si>
    <t>0.2548 +/- 0.0111</t>
  </si>
  <si>
    <t>0.2723 +/- 0.0112</t>
  </si>
  <si>
    <t>0.2736 +/- 0.0124</t>
  </si>
  <si>
    <t>0.0126 +/- 0.0139</t>
  </si>
  <si>
    <t>PDE→JDT</t>
  </si>
  <si>
    <t>0.6788 +/- 0.0115</t>
  </si>
  <si>
    <t>0.3841 +/- 0.0185</t>
  </si>
  <si>
    <t>0.4082 +/- 0.0186</t>
  </si>
  <si>
    <t>0.5242 +/- 0.0175</t>
  </si>
  <si>
    <t>0.6446 +/- 0.0121</t>
  </si>
  <si>
    <t>0.6521 +/- 0.0148</t>
  </si>
  <si>
    <t>0.5583 +/- 0.0237</t>
  </si>
  <si>
    <t>PDE→LC</t>
  </si>
  <si>
    <t>0.6097 +/- 0.0196</t>
  </si>
  <si>
    <t>0.4247 +/- 0.0231</t>
  </si>
  <si>
    <t>0.4886 +/- 0.0312</t>
  </si>
  <si>
    <t>0.4386 +/- 0.0357</t>
  </si>
  <si>
    <t>0.5572 +/- 0.0233</t>
  </si>
  <si>
    <t>0.5631 +/- 0.0188</t>
  </si>
  <si>
    <t>0.6339 +/- 0.0235</t>
  </si>
  <si>
    <t>PDE→ML</t>
  </si>
  <si>
    <t>0.5781 +/- 0.0077</t>
  </si>
  <si>
    <t>0.3199 +/- 0.0127</t>
  </si>
  <si>
    <t>0.3433 +/- 0.0207</t>
  </si>
  <si>
    <t>0.4539 +/- 0.0153</t>
  </si>
  <si>
    <t>0.5539 +/- 0.0102</t>
  </si>
  <si>
    <t>0.5541 +/- 0.0088</t>
  </si>
  <si>
    <t>0.5779 +/- 0.0406</t>
  </si>
  <si>
    <t>61.12</t>
  </si>
  <si>
    <t>45.05</t>
  </si>
  <si>
    <t>44.43</t>
  </si>
  <si>
    <t>52.00</t>
  </si>
  <si>
    <t>58.86</t>
  </si>
  <si>
    <t>59.56</t>
  </si>
  <si>
    <t>51.65</t>
  </si>
  <si>
    <t>Overall W/T/L</t>
  </si>
  <si>
    <t>56/2/8</t>
  </si>
  <si>
    <t>64/0/2</t>
  </si>
  <si>
    <t>57/2/7</t>
  </si>
  <si>
    <t>34/2/30</t>
  </si>
  <si>
    <t>41/2/23</t>
  </si>
  <si>
    <t>42/2/22</t>
  </si>
  <si>
    <t>0.2685 +/- 0.0246</t>
  </si>
  <si>
    <t>0.2424 +/- 0.0182</t>
  </si>
  <si>
    <t>0.2175 +/- 0.0301</t>
  </si>
  <si>
    <t>0.2535 +/- 0.0163</t>
  </si>
  <si>
    <t>0.2719 +/- 0.0528</t>
  </si>
  <si>
    <t>0.2727 +/- 0.0274</t>
  </si>
  <si>
    <t>-0.2021 +/- 0.0539</t>
  </si>
  <si>
    <t>Overall Average (%)</t>
  </si>
  <si>
    <t>0.4818 +/- 0.0158</t>
  </si>
  <si>
    <t>0.3252 +/- 0.0204</t>
  </si>
  <si>
    <t>0.3142 +/- 0.0165</t>
  </si>
  <si>
    <t>0.4000 +/- 0.0153</t>
  </si>
  <si>
    <t>0.4213 +/- 0.0163</t>
  </si>
  <si>
    <t>0.4436 +/- 0.0138</t>
  </si>
  <si>
    <t>0.1049 +/- 0.0325</t>
  </si>
  <si>
    <t>0.3121 +/- 0.0229</t>
  </si>
  <si>
    <t>0.3863 +/- 0.0267</t>
  </si>
  <si>
    <t>0.2913 +/- 0.0423</t>
  </si>
  <si>
    <t>0.2924 +/- 0.0370</t>
  </si>
  <si>
    <t>0.2354 +/- 0.0320</t>
  </si>
  <si>
    <t>0.2448 +/- 0.0232</t>
  </si>
  <si>
    <t>0.3590 +/- 0.0329</t>
  </si>
  <si>
    <t>0.2302 +/- 0.0109</t>
  </si>
  <si>
    <t>0.1849 +/- 0.0142</t>
  </si>
  <si>
    <t>0.1557 +/- 0.0200</t>
  </si>
  <si>
    <t>0.2179 +/- 0.0145</t>
  </si>
  <si>
    <t>0.1539 +/- 0.0155</t>
  </si>
  <si>
    <t>0.1681 +/- 0.0145</t>
  </si>
  <si>
    <t>0.1371 +/- 0.0360</t>
  </si>
  <si>
    <t>28.97</t>
  </si>
  <si>
    <t>6.49</t>
  </si>
  <si>
    <t>4.94</t>
  </si>
  <si>
    <t>20.13</t>
  </si>
  <si>
    <t>28.12</t>
  </si>
  <si>
    <t>28.05</t>
  </si>
  <si>
    <t>24.62</t>
  </si>
  <si>
    <t>0.7123 +/- 0.0268</t>
  </si>
  <si>
    <t>0.5883 +/- 0.0488</t>
  </si>
  <si>
    <t>30.12</t>
  </si>
  <si>
    <t>27.45</t>
  </si>
  <si>
    <t>23.43</t>
  </si>
  <si>
    <t>27.76</t>
  </si>
  <si>
    <t>25.89</t>
  </si>
  <si>
    <t>27.75</t>
  </si>
  <si>
    <t>9.69</t>
  </si>
  <si>
    <t>0.4939 +/- 0.0177</t>
  </si>
  <si>
    <t>0.4441 +/- 0.0094</t>
  </si>
  <si>
    <t>0.6521 +/- 0.0147</t>
  </si>
  <si>
    <t>0.6391 +/- 0.0114</t>
  </si>
  <si>
    <t>0.4359 +/- 0.0388</t>
  </si>
  <si>
    <t>0.6736 +/- 0.0268</t>
  </si>
  <si>
    <t>0.7110 +/- 0.0194</t>
  </si>
  <si>
    <t>0.6781 +/- 0.0241</t>
  </si>
  <si>
    <t>0.6625 +/- 0.0160</t>
  </si>
  <si>
    <t>0.4227 +/- 0.0156</t>
  </si>
  <si>
    <t>0.3933 +/- 0.0146</t>
  </si>
  <si>
    <t>0.3273 +/- 0.0309</t>
  </si>
  <si>
    <t>0.4255 +/- 0.0263</t>
  </si>
  <si>
    <t>0.4975 +/- 0.0149</t>
  </si>
  <si>
    <t>0.4677 +/- 0.0325</t>
  </si>
  <si>
    <t>0.4161 +/- 0.0218</t>
  </si>
  <si>
    <t>0.5829 +/- 0.0219</t>
  </si>
  <si>
    <t>0.1637 +/- 0.0293</t>
  </si>
  <si>
    <t>0.1552 +/- 0.0593</t>
  </si>
  <si>
    <t>0.4369 +/- 0.0458</t>
  </si>
  <si>
    <t>0.5764 +/- 0.0271</t>
  </si>
  <si>
    <t>0.5743 +/- 0.0267</t>
  </si>
  <si>
    <t>0.4298 +/- 0.0271</t>
  </si>
  <si>
    <t>0.6470 +/- 0.0330</t>
  </si>
  <si>
    <t>0.4419 +/- 0.0374</t>
  </si>
  <si>
    <t>0.2135 +/- 0.0742</t>
  </si>
  <si>
    <t>0.5444 +/- 0.0420</t>
  </si>
  <si>
    <t>0.6003 +/- 0.0326</t>
  </si>
  <si>
    <t>0.5957 +/- 0.0474</t>
  </si>
  <si>
    <t>0.4467 +/- 0.0305</t>
  </si>
  <si>
    <t>58.52</t>
  </si>
  <si>
    <t>47.40</t>
  </si>
  <si>
    <t>36.07</t>
  </si>
  <si>
    <t>54.78</t>
  </si>
  <si>
    <t>59.86</t>
  </si>
  <si>
    <t>58.70</t>
  </si>
  <si>
    <t>52.69</t>
  </si>
  <si>
    <t>0.3347 +/- 0.0265</t>
  </si>
  <si>
    <t>0.2444 +/- 0.0815</t>
  </si>
  <si>
    <t>0.2052 +/- 0.1348</t>
  </si>
  <si>
    <t>0.4548 +/- 0.0562</t>
  </si>
  <si>
    <t>0.3225 +/- 0.0310</t>
  </si>
  <si>
    <t>0.3273 +/- 0.0308</t>
  </si>
  <si>
    <t>0.6224 +/- 0.0409</t>
  </si>
  <si>
    <t>0.4526 +/- 0.0344</t>
  </si>
  <si>
    <t>0.0381 +/- 0.0475</t>
  </si>
  <si>
    <t>0.0061 +/- 0.0231</t>
  </si>
  <si>
    <t>0.3128 +/- 0.0983</t>
  </si>
  <si>
    <t>0.4619 +/- 0.0349</t>
  </si>
  <si>
    <t>0.4617 +/- 0.0201</t>
  </si>
  <si>
    <t>0.5141 +/- 0.0349</t>
  </si>
  <si>
    <t>0.5850 +/- 0.0488</t>
  </si>
  <si>
    <t>0.4905 +/- 0.1365</t>
  </si>
  <si>
    <t>0.5942 +/- 0.0531</t>
  </si>
  <si>
    <t>0.5746 +/- 0.0502</t>
  </si>
  <si>
    <t>0.5794 +/- 0.0597</t>
  </si>
  <si>
    <t>0.2896 +/- 0.0336</t>
  </si>
  <si>
    <t>0.1447 +/- 0.1174</t>
  </si>
  <si>
    <t>0.3046 +/- 0.0304</t>
  </si>
  <si>
    <t>0.2795 +/- 0.0367</t>
  </si>
  <si>
    <t>0.2710 +/- 0.0426</t>
  </si>
  <si>
    <t>0.2719 +/- 0.0289</t>
  </si>
  <si>
    <t>0.1911 +/- 0.0377</t>
  </si>
  <si>
    <t>0.2814 +/- 0.0388</t>
  </si>
  <si>
    <t>0.0414 +/- 0.0764</t>
  </si>
  <si>
    <t>0.2271 +/- 0.0324</t>
  </si>
  <si>
    <t>0.1961 +/- 0.0323</t>
  </si>
  <si>
    <t>0.1893 +/- 0.0312</t>
  </si>
  <si>
    <t>40/2/24</t>
  </si>
  <si>
    <t>0.1834 +/- 0.0321</t>
  </si>
  <si>
    <t>56/0/10</t>
  </si>
  <si>
    <t>43/3/20</t>
  </si>
  <si>
    <t>45/2/19</t>
  </si>
  <si>
    <t>0.5133 +/- 0.0393</t>
  </si>
  <si>
    <t>0.4707 +/- 0.0238</t>
  </si>
  <si>
    <t>0.1092 +/- 0.0779</t>
  </si>
  <si>
    <t>0.5069 +/- 0.0287</t>
  </si>
  <si>
    <t>0.5073 +/- 0.0357</t>
  </si>
  <si>
    <t>0.5221 +/- 0.0465</t>
  </si>
  <si>
    <t>0.4736 +/- 0.0840</t>
  </si>
  <si>
    <t>0.7275 +/- 0.0425</t>
  </si>
  <si>
    <t>0.5406 +/- 0.0266</t>
  </si>
  <si>
    <t>0.5758 +/- 0.0134</t>
  </si>
  <si>
    <t>0.7342 +/- 0.0569</t>
  </si>
  <si>
    <t>0.7379 +/- 0.0498</t>
  </si>
  <si>
    <t>0.4797 +/- 0.0494</t>
  </si>
  <si>
    <t>0.0310 +/- 0.0620</t>
  </si>
  <si>
    <t>0.2691 +/- 0.0438</t>
  </si>
  <si>
    <t>0.0292 +/- 0.0538</t>
  </si>
  <si>
    <t>0.0444 +/- 0.0700</t>
  </si>
  <si>
    <t>0.0265 +/- 0.0600</t>
  </si>
  <si>
    <t>0.1865 +/- 0.0926</t>
  </si>
  <si>
    <t>0.1707 +/- 0.0192</t>
  </si>
  <si>
    <t>0.2437 +/- 0.0081</t>
  </si>
  <si>
    <t>0.1429 +/- 0.0526</t>
  </si>
  <si>
    <t>0.1887 +/- 0.0172</t>
  </si>
  <si>
    <t>0.1823 +/- 0.0280</t>
  </si>
  <si>
    <t>0.1847 +/- 0.0238</t>
  </si>
  <si>
    <t>0.1773 +/- 0.0342</t>
  </si>
  <si>
    <t>0.5569 +/- 0.0343</t>
  </si>
  <si>
    <t>0.6393 +/- 0.0582</t>
  </si>
  <si>
    <t>0.4507 +/- 0.1081</t>
  </si>
  <si>
    <t>0.5795 +/- 0.0589</t>
  </si>
  <si>
    <t>0.3866 +/- 0.0427</t>
  </si>
  <si>
    <t>0.4337 +/- 0.0494</t>
  </si>
  <si>
    <t>0.2915 +/- 0.0433</t>
  </si>
  <si>
    <t>0.7757 +/- 0.0374</t>
  </si>
  <si>
    <t>0.6108 +/- 0.0988</t>
  </si>
  <si>
    <t>0.6190 +/- 0.1041</t>
  </si>
  <si>
    <t>0.7473 +/- 0.0759</t>
  </si>
  <si>
    <t>0.7127 +/- 0.0604</t>
  </si>
  <si>
    <t>0.7594 +/- 0.0550</t>
  </si>
  <si>
    <t>0.4970 +/- 0.1047</t>
  </si>
  <si>
    <t>0.2704 +/- 0.0071</t>
  </si>
  <si>
    <t>0.2771 +/- 0.0347</t>
  </si>
  <si>
    <t>0.2347 +/- 0.0911</t>
  </si>
  <si>
    <t>0.2819 +/- 0.0071</t>
  </si>
  <si>
    <t>0.2914 +/- 0.0187</t>
  </si>
  <si>
    <t>0.2930 +/- 0.0194</t>
  </si>
  <si>
    <t>0.2766 +/- 0.0225</t>
  </si>
  <si>
    <t>0.1864 +/- 0.0166</t>
  </si>
  <si>
    <t>0.2472 +/- 0.0179</t>
  </si>
  <si>
    <t>0.0499 +/- 0.0747</t>
  </si>
  <si>
    <t>0.1975 +/- 0.0137</t>
  </si>
  <si>
    <t>0.1830 +/- 0.0240</t>
  </si>
  <si>
    <t>0.1787 +/- 0.0153</t>
  </si>
  <si>
    <t>0.1801 +/- 0.0116</t>
  </si>
  <si>
    <t>0.4842 +/- 0.0434</t>
  </si>
  <si>
    <t>0.6216 +/- 0.0246</t>
  </si>
  <si>
    <t>0.0859 +/- 0.1194</t>
  </si>
  <si>
    <t>0.4973 +/- 0.0422</t>
  </si>
  <si>
    <t>0.4410 +/- 0.0338</t>
  </si>
  <si>
    <t>0.4644 +/- 0.0380</t>
  </si>
  <si>
    <t>0.4702 +/- 0.0409</t>
  </si>
  <si>
    <t>0.5278 +/- 0.0237</t>
  </si>
  <si>
    <t>0.5415 +/- 0.0208</t>
  </si>
  <si>
    <t>0.0159 +/- 0.0361</t>
  </si>
  <si>
    <t>0.5315 +/- 0.0249</t>
  </si>
  <si>
    <t>0.5433 +/- 0.0324</t>
  </si>
  <si>
    <t>0.5317 +/- 0.0251</t>
  </si>
  <si>
    <t>0.5096 +/- 0.0206</t>
  </si>
  <si>
    <t>0.3397 +/- 0.0473</t>
  </si>
  <si>
    <t>0.3984 +/- 0.0108</t>
  </si>
  <si>
    <t>0.2947 +/- 0.0334</t>
  </si>
  <si>
    <t>0.2904 +/- 0.0266</t>
  </si>
  <si>
    <t>0.3212 +/- 0.0408</t>
  </si>
  <si>
    <t>0.3145 +/- 0.0396</t>
  </si>
  <si>
    <t>0.2426 +/- 0.0457</t>
  </si>
  <si>
    <t>0.1594 +/- 0.0703</t>
  </si>
  <si>
    <t>0.2531 +/- 0.0461</t>
  </si>
  <si>
    <t>0.1961 +/- 0.0415</t>
  </si>
  <si>
    <t>0.2158 +/- 0.0410</t>
  </si>
  <si>
    <t>0.2539 +/- 0.0537</t>
  </si>
  <si>
    <t>0.3799 +/- 0.0323</t>
  </si>
  <si>
    <t>0.4840 +/- 0.1109</t>
  </si>
  <si>
    <t>0.0386 +/- 0.0923</t>
  </si>
  <si>
    <t>0.3920 +/- 0.0604</t>
  </si>
  <si>
    <t>0.3272 +/- 0.0303</t>
  </si>
  <si>
    <t>0.3410 +/- 0.0341</t>
  </si>
  <si>
    <t>0.4963 +/- 0.0521</t>
  </si>
  <si>
    <t>0.3690 +/- 0.0367</t>
  </si>
  <si>
    <t>0.0094 +/- 0.0286</t>
  </si>
  <si>
    <t>0.0814 +/- 0.0578</t>
  </si>
  <si>
    <t>0.2976 +/- 0.0505</t>
  </si>
  <si>
    <t>0.3665 +/- 0.0396</t>
  </si>
  <si>
    <t>0.3569 +/- 0.0426</t>
  </si>
  <si>
    <t>0.3738 +/- 0.0372</t>
  </si>
  <si>
    <t>0.5991 +/- 0.0676</t>
  </si>
  <si>
    <t>0.4874 +/- 0.0854</t>
  </si>
  <si>
    <t>0.0823 +/- 0.1059</t>
  </si>
  <si>
    <t>0.6137 +/- 0.0491</t>
  </si>
  <si>
    <t>0.6266 +/- 0.0497</t>
  </si>
  <si>
    <t>0.6093 +/- 0.0597</t>
  </si>
  <si>
    <t>0.5751 +/- 0.0538</t>
  </si>
  <si>
    <t>10/0/10</t>
  </si>
  <si>
    <t>40.14</t>
  </si>
  <si>
    <t>33.54</t>
  </si>
  <si>
    <t>38.74</t>
  </si>
  <si>
    <t>38.44</t>
  </si>
  <si>
    <t>39.00</t>
  </si>
  <si>
    <t>38.63</t>
  </si>
  <si>
    <t>0.5502 +/- 0.0099</t>
  </si>
  <si>
    <t>0.5461 +/- 0.0123</t>
  </si>
  <si>
    <t>0.5059 +/- 0.0111</t>
  </si>
  <si>
    <t>0.5089 +/- 0.0195</t>
  </si>
  <si>
    <t>0.4511 +/- 0.0178</t>
  </si>
  <si>
    <t>0.4895 +/- 0.0148</t>
  </si>
  <si>
    <t>0.5024 +/- 0.0176</t>
  </si>
  <si>
    <t>0.3343 +/- 0.0143</t>
  </si>
  <si>
    <t>0.3390 +/- 0.0190</t>
  </si>
  <si>
    <t>0.2472 +/- 0.0065</t>
  </si>
  <si>
    <t>0.2986 +/- 0.0199</t>
  </si>
  <si>
    <t>0.2249 +/- 0.0168</t>
  </si>
  <si>
    <t>0.2622 +/- 0.0202</t>
  </si>
  <si>
    <t>0.3345 +/- 0.0134</t>
  </si>
  <si>
    <t>0.7827 +/- 0.0057</t>
  </si>
  <si>
    <t>0.6416 +/- 0.0000</t>
  </si>
  <si>
    <t>0.5724 +/- 0.0000</t>
  </si>
  <si>
    <t>0.6856 +/- 0.0244</t>
  </si>
  <si>
    <t>0.6731 +/- 0.0132</t>
  </si>
  <si>
    <t>0.6799 +/- 0.0265</t>
  </si>
  <si>
    <t>0.5799 +/- 0.0089</t>
  </si>
  <si>
    <t>0.2680 +/- 0.0102</t>
  </si>
  <si>
    <t>0.2851 +/- 0.0118</t>
  </si>
  <si>
    <t>0.2737 +/- 0.0079</t>
  </si>
  <si>
    <t>0.2523 +/- 0.0124</t>
  </si>
  <si>
    <t>0.2264 +/- 0.0073</t>
  </si>
  <si>
    <t>0.2358 +/- 0.0092</t>
  </si>
  <si>
    <t>0.2895 +/- 0.0182</t>
  </si>
  <si>
    <t>0.3408 +/- 0.0080</t>
  </si>
  <si>
    <t>0.3577 +/- 0.0119</t>
  </si>
  <si>
    <t>0.3387 +/- 0.0050</t>
  </si>
  <si>
    <t>0.3401 +/- 0.0084</t>
  </si>
  <si>
    <t>0.3152 +/- 0.0067</t>
  </si>
  <si>
    <t>0.3285 +/- 0.0082</t>
  </si>
  <si>
    <t>0.3147 +/- 0.0187</t>
  </si>
  <si>
    <t>0.7197 +/- 0.0130</t>
  </si>
  <si>
    <t>0.8023 +/- 0.0271</t>
  </si>
  <si>
    <t>0.7330 +/- 0.0229</t>
  </si>
  <si>
    <t>0.7836 +/- 0.0161</t>
  </si>
  <si>
    <t>0.7214 +/- 0.0163</t>
  </si>
  <si>
    <t>0.7185 +/- 0.0152</t>
  </si>
  <si>
    <t>0.8090 +/- 0.0214</t>
  </si>
  <si>
    <t>0.4848 +/- 0.0186</t>
  </si>
  <si>
    <t>0.3707 +/- 0.0140</t>
  </si>
  <si>
    <t>0.4946 +/- 0.0192</t>
  </si>
  <si>
    <t>0.4029 +/- 0.0214</t>
  </si>
  <si>
    <t>0.5276 +/- 0.0237</t>
  </si>
  <si>
    <t>0.4917 +/- 0.0209</t>
  </si>
  <si>
    <t>0.5937 +/- 0.0347</t>
  </si>
  <si>
    <t>0.7276 +/- 0.0158</t>
  </si>
  <si>
    <t>0.7524 +/- 0.0189</t>
  </si>
  <si>
    <t>0.6286 +/- 0.0238</t>
  </si>
  <si>
    <t>0.7541 +/- 0.0214</t>
  </si>
  <si>
    <t>0.7256 +/- 0.0133</t>
  </si>
  <si>
    <t>0.7231 +/- 0.0144</t>
  </si>
  <si>
    <t>0.7851 +/- 0.0178</t>
  </si>
  <si>
    <t>0.3675 +/- 0.0114</t>
  </si>
  <si>
    <t>0.4301 +/- 0.0168</t>
  </si>
  <si>
    <t>0.3840 +/- 0.0180</t>
  </si>
  <si>
    <t>0.3852 +/- 0.0152</t>
  </si>
  <si>
    <t>0.3322 +/- 0.0161</t>
  </si>
  <si>
    <t>0.3410 +/- 0.0156</t>
  </si>
  <si>
    <t>0.3099 +/- 0.0290</t>
  </si>
  <si>
    <t>0.8574 +/- 0.0127</t>
  </si>
  <si>
    <t>0.6580 +/- 0.0595</t>
  </si>
  <si>
    <t>0.7083 +/- 0.0520</t>
  </si>
  <si>
    <t>0.8723 +/- 0.0165</t>
  </si>
  <si>
    <t>0.8598 +/- 0.0128</t>
  </si>
  <si>
    <t>0.8600 +/- 0.0129</t>
  </si>
  <si>
    <t>0.7906 +/- 0.0640</t>
  </si>
  <si>
    <t>0.3525 +/- 0.0055</t>
  </si>
  <si>
    <t>0.3337 +/- 0.0101</t>
  </si>
  <si>
    <t>0.3285 +/- 0.0138</t>
  </si>
  <si>
    <t>0.3488 +/- 0.0073</t>
  </si>
  <si>
    <t>0.2694 +/- 0.0125</t>
  </si>
  <si>
    <t>0.3353 +/- 0.0085</t>
  </si>
  <si>
    <t>0.2614 +/- 0.0116</t>
  </si>
  <si>
    <t>0.7077 +/- 0.0074</t>
  </si>
  <si>
    <t>0.7112 +/- 0.0000</t>
  </si>
  <si>
    <t>0.7896 +/- 0.0000</t>
  </si>
  <si>
    <t>0.7185 +/- 0.0106</t>
  </si>
  <si>
    <t>0.7153 +/- 0.0062</t>
  </si>
  <si>
    <t>0.7199 +/- 0.0121</t>
  </si>
  <si>
    <t>0.7052 +/- 0.0067</t>
  </si>
  <si>
    <t>0.6807 +/- 0.0061</t>
  </si>
  <si>
    <t>0.6389 +/- 0.0000</t>
  </si>
  <si>
    <t>0.6874 +/- 0.0000</t>
  </si>
  <si>
    <t>0.6413 +/- 0.0104</t>
  </si>
  <si>
    <t>0.6286 +/- 0.0051</t>
  </si>
  <si>
    <t>0.6352 +/- 0.0111</t>
  </si>
  <si>
    <t>0.6364 +/- 0.0063</t>
  </si>
  <si>
    <t>0.6000 +/- 0.0052</t>
  </si>
  <si>
    <t>0.5828 +/- 0.0000</t>
  </si>
  <si>
    <t>0.6852 +/- 0.0000</t>
  </si>
  <si>
    <t>0.5965 +/- 0.0127</t>
  </si>
  <si>
    <t>0.5810 +/- 0.0073</t>
  </si>
  <si>
    <t>0.5813 +/- 0.0118</t>
  </si>
  <si>
    <t>0.5385 +/- 0.0080</t>
  </si>
  <si>
    <t>0.6313 +/- 0.0041</t>
  </si>
  <si>
    <t>0.6233 +/- 0.0000</t>
  </si>
  <si>
    <t>0.5220 +/- 0.0000</t>
  </si>
  <si>
    <t>0.6459 +/- 0.0088</t>
  </si>
  <si>
    <t>0.6458 +/- 0.0059</t>
  </si>
  <si>
    <t>0.6547 +/- 0.0076</t>
  </si>
  <si>
    <t>0.6395 +/- 0.0064</t>
  </si>
  <si>
    <t>0.3895 +/- 0.0061</t>
  </si>
  <si>
    <t>0.4943 +/- 0.0062</t>
  </si>
  <si>
    <t>0.5257 +/- 0.0000</t>
  </si>
  <si>
    <t>0.3951 +/- 0.0111</t>
  </si>
  <si>
    <t>0.4826 +/- 0.0000</t>
  </si>
  <si>
    <t>0.3832 +/- 0.0149</t>
  </si>
  <si>
    <t>0.5120 +/- 0.0090</t>
  </si>
  <si>
    <t>0.5158 +/- 0.0088</t>
  </si>
  <si>
    <t>0.3955 +/- 0.0085</t>
  </si>
  <si>
    <t>0.5210 +/- 0.0071</t>
  </si>
  <si>
    <t>0.3767 +/- 0.0072</t>
  </si>
  <si>
    <t>0.5795 +/- 0.0033</t>
  </si>
  <si>
    <t>0.3884 +/- 0.0064</t>
  </si>
  <si>
    <t>0.2491 +/- 0.0033</t>
  </si>
  <si>
    <t>0.5953 +/- 0.0150</t>
  </si>
  <si>
    <t>0.6628 +/- 0.0206</t>
  </si>
  <si>
    <t>0.5779 +/- 0.0227</t>
  </si>
  <si>
    <t>0.6295 +/- 0.0211</t>
  </si>
  <si>
    <t>0.5983 +/- 0.0177</t>
  </si>
  <si>
    <t>0.5902 +/- 0.0179</t>
  </si>
  <si>
    <t>0.6032 +/- 0.0237</t>
  </si>
  <si>
    <t>0.4354 +/- 0.0127</t>
  </si>
  <si>
    <t>0.2234 +/- 0.0139</t>
  </si>
  <si>
    <t>0.2011 +/- 0.0170</t>
  </si>
  <si>
    <t>0.5674 +/- 0.0055</t>
  </si>
  <si>
    <t>0.2914 +/- 0.0180</t>
  </si>
  <si>
    <t>0.5409 +/- 0.0000</t>
  </si>
  <si>
    <t>0.5741 +/- 0.0276</t>
  </si>
  <si>
    <t>0.4922 +/- 0.0000</t>
  </si>
  <si>
    <t>0.4820 +/- 0.0231</t>
  </si>
  <si>
    <t>0.5507 +/- 0.0061</t>
  </si>
  <si>
    <t>0.4720 +/- 0.0169</t>
  </si>
  <si>
    <t>0.5494 +/- 0.0051</t>
  </si>
  <si>
    <t>0.5597 +/- 0.0049</t>
  </si>
  <si>
    <t>0.5584 +/- 0.0056</t>
  </si>
  <si>
    <t>0.6387 +/- 0.0252</t>
  </si>
  <si>
    <t>0.6090 +/- 0.0374</t>
  </si>
  <si>
    <t>0.5936 +/- 0.0414</t>
  </si>
  <si>
    <t>0.6519 +/- 0.0530</t>
  </si>
  <si>
    <t>0.6356 +/- 0.0231</t>
  </si>
  <si>
    <t>0.6341 +/- 0.0199</t>
  </si>
  <si>
    <t>0.5272 +/- 0.0413</t>
  </si>
  <si>
    <t>0.3328 +/- 0.0064</t>
  </si>
  <si>
    <t>0.3487 +/- 0.0000</t>
  </si>
  <si>
    <t>0.5509 +/- 0.0168</t>
  </si>
  <si>
    <t>0.6705 +/- 0.0000</t>
  </si>
  <si>
    <t>0.2476 +/- 0.0156</t>
  </si>
  <si>
    <t>0.3424 +/- 0.0057</t>
  </si>
  <si>
    <t>0.2559 +/- 0.0231</t>
  </si>
  <si>
    <t>0.3481 +/- 0.0064</t>
  </si>
  <si>
    <t>0.4595 +/- 0.0145</t>
  </si>
  <si>
    <t>0.3506 +/- 0.0063</t>
  </si>
  <si>
    <t>0.5147 +/- 0.0199</t>
  </si>
  <si>
    <t>0.4078 +/- 0.0039</t>
  </si>
  <si>
    <t>0.5266 +/- 0.0181</t>
  </si>
  <si>
    <t>0.3093 +/- 0.0061</t>
  </si>
  <si>
    <t>0.7405 +/- 0.0265</t>
  </si>
  <si>
    <t>0.6463 +/- 0.0287</t>
  </si>
  <si>
    <t>0.7189 +/- 0.0025</t>
  </si>
  <si>
    <t>0.3547 +/- 0.0091</t>
  </si>
  <si>
    <t>0.6682 +/- 0.0286</t>
  </si>
  <si>
    <t>0.6997 +/- 0.0000</t>
  </si>
  <si>
    <t>0.6351 +/- 0.0220</t>
  </si>
  <si>
    <t>0.2055 +/- 0.0071</t>
  </si>
  <si>
    <t>0.6864 +/- 0.0000</t>
  </si>
  <si>
    <t>0.7559 +/- 0.0234</t>
  </si>
  <si>
    <t>0.1876 +/- 0.0161</t>
  </si>
  <si>
    <t>0.7128 +/- 0.0039</t>
  </si>
  <si>
    <t>0.7444 +/- 0.0208</t>
  </si>
  <si>
    <t>0.3009 +/- 0.0150</t>
  </si>
  <si>
    <t>0.7067 +/- 0.0021</t>
  </si>
  <si>
    <t>0.3159 +/- 0.0129</t>
  </si>
  <si>
    <t>0.6163 +/- 0.0166</t>
  </si>
  <si>
    <t>0.7059 +/- 0.0026</t>
  </si>
  <si>
    <t>0.3495 +/- 0.0091</t>
  </si>
  <si>
    <t>0.6931 +/- 0.0013</t>
  </si>
  <si>
    <t>0.3069 +/- 0.0257</t>
  </si>
  <si>
    <t>0.3509 +/- 0.0163</t>
  </si>
  <si>
    <t>0.2337 +/- 0.0078</t>
  </si>
  <si>
    <t>0.2096 +/- 0.0219</t>
  </si>
  <si>
    <t>0.3233 +/- 0.0242</t>
  </si>
  <si>
    <t>0.3634 +/- 0.0090</t>
  </si>
  <si>
    <t>0.3697 +/- 0.0103</t>
  </si>
  <si>
    <t>0.9164 +/- 0.0253</t>
  </si>
  <si>
    <t>0.2353 +/- 0.0049</t>
  </si>
  <si>
    <t>0.6583 +/- 0.0367</t>
  </si>
  <si>
    <t>0.7352 +/- 0.0048</t>
  </si>
  <si>
    <t>0.7571 +/- 0.0427</t>
  </si>
  <si>
    <t>0.6533 +/- 0.0000</t>
  </si>
  <si>
    <t>0.8436 +/- 0.0526</t>
  </si>
  <si>
    <t>0.5430 +/- 0.0000</t>
  </si>
  <si>
    <t>0.9206 +/- 0.0237</t>
  </si>
  <si>
    <t>0.7416 +/- 0.0082</t>
  </si>
  <si>
    <t>0.9251 +/- 0.0238</t>
  </si>
  <si>
    <t>0.7180 +/- 0.0043</t>
  </si>
  <si>
    <t>0.7947 +/- 0.0389</t>
  </si>
  <si>
    <t>0.7189 +/- 0.0073</t>
  </si>
  <si>
    <t>0.7472 +/- 0.0041</t>
  </si>
  <si>
    <t>0.3670 +/- 0.0155</t>
  </si>
  <si>
    <t>0.0935 +/- 0.0149</t>
  </si>
  <si>
    <t>0.0629 +/- 0.0268</t>
  </si>
  <si>
    <t>0.2442 +/- 0.0145</t>
  </si>
  <si>
    <t>0.3464 +/- 0.0204</t>
  </si>
  <si>
    <t>0.3626 +/- 0.0259</t>
  </si>
  <si>
    <t>0.5013 +/- 0.0102</t>
  </si>
  <si>
    <t>0.7576 +/- 0.0025</t>
  </si>
  <si>
    <t>0.7634 +/- 0.0000</t>
  </si>
  <si>
    <t>0.7455 +/- 0.0000</t>
  </si>
  <si>
    <t>0.7420 +/- 0.0035</t>
  </si>
  <si>
    <t>0.7284 +/- 0.0026</t>
  </si>
  <si>
    <t>0.7347 +/- 0.0031</t>
  </si>
  <si>
    <t>0.7339 +/- 0.0073</t>
  </si>
  <si>
    <t>0.5720 +/- 0.0494</t>
  </si>
  <si>
    <t>0.5836 +/- 0.0164</t>
  </si>
  <si>
    <t>0.5806 +/- 0.0392</t>
  </si>
  <si>
    <t>0.5727 +/- 0.0348</t>
  </si>
  <si>
    <t>0.5537 +/- 0.0579</t>
  </si>
  <si>
    <t>0.5683 +/- 0.0401</t>
  </si>
  <si>
    <t>0.5531 +/- 0.0388</t>
  </si>
  <si>
    <t>0.4895 +/- 0.0280</t>
  </si>
  <si>
    <t>0.1470 +/- 0.0158</t>
  </si>
  <si>
    <t>0.0993 +/- 0.0240</t>
  </si>
  <si>
    <t>0.7188 +/- 0.0035</t>
  </si>
  <si>
    <t>0.2630 +/- 0.0239</t>
  </si>
  <si>
    <t>0.4850 +/- 0.0260</t>
  </si>
  <si>
    <t>0.6989 +/- 0.0000</t>
  </si>
  <si>
    <t>0.4779 +/- 0.0270</t>
  </si>
  <si>
    <t>0.6855 +/- 0.0000</t>
  </si>
  <si>
    <t>0.3227 +/- 0.0067</t>
  </si>
  <si>
    <t>0.7107 +/- 0.0041</t>
  </si>
  <si>
    <t>0.6937 +/- 0.0052</t>
  </si>
  <si>
    <t>0.6983 +/- 0.0069</t>
  </si>
  <si>
    <t>0.6860 +/- 0.0091</t>
  </si>
  <si>
    <t>0.6800 +/- 0.0195</t>
  </si>
  <si>
    <t>0.7355 +/- 0.0219</t>
  </si>
  <si>
    <t>0.6221 +/- 0.0259</t>
  </si>
  <si>
    <t>0.6910 +/- 0.0283</t>
  </si>
  <si>
    <t>0.6993 +/- 0.0163</t>
  </si>
  <si>
    <t>0.7010 +/- 0.0142</t>
  </si>
  <si>
    <t>0.6176 +/- 0.0449</t>
  </si>
  <si>
    <t>0.3808 +/- 0.0170</t>
  </si>
  <si>
    <t>0.6300 +/- 0.0047</t>
  </si>
  <si>
    <t>0.2809 +/- 0.0294</t>
  </si>
  <si>
    <t>0.6023 +/- 0.0000</t>
  </si>
  <si>
    <t>0.1489 +/- 0.0413</t>
  </si>
  <si>
    <t>0.6226 +/- 0.0000</t>
  </si>
  <si>
    <t>0.2754 +/- 0.0285</t>
  </si>
  <si>
    <t>0.3374 +/- 0.0222</t>
  </si>
  <si>
    <t>0.5989 +/- 0.0083</t>
  </si>
  <si>
    <t>0.3414 +/- 0.0216</t>
  </si>
  <si>
    <t>0.5918 +/- 0.0047</t>
  </si>
  <si>
    <t>0.1635 +/- 0.0065</t>
  </si>
  <si>
    <t>0.6030 +/- 0.0079</t>
  </si>
  <si>
    <t>0.5546 +/- 0.0044</t>
  </si>
  <si>
    <t>0.8032 +/- 0.0224</t>
  </si>
  <si>
    <t>0.8396 +/- 0.0125</t>
  </si>
  <si>
    <t>0.7678 +/- 0.0243</t>
  </si>
  <si>
    <t>0.8124 +/- 0.0231</t>
  </si>
  <si>
    <t>0.7455 +/- 0.0241</t>
  </si>
  <si>
    <t>0.7732 +/- 0.0231</t>
  </si>
  <si>
    <t>0.7607 +/- 0.0408</t>
  </si>
  <si>
    <t>0.3564 +/- 0.0068</t>
  </si>
  <si>
    <t>0.1242 +/- 0.0175</t>
  </si>
  <si>
    <t>0.0913 +/- 0.0238</t>
  </si>
  <si>
    <t>0.3266 +/- 0.0103</t>
  </si>
  <si>
    <t>0.3768 +/- 0.0100</t>
  </si>
  <si>
    <t>0.3782 +/- 0.0110</t>
  </si>
  <si>
    <t>0.2426 +/- 0.0037</t>
  </si>
  <si>
    <t>0.6353 +/- 0.0034</t>
  </si>
  <si>
    <t>0.5961 +/- 0.0000</t>
  </si>
  <si>
    <t>0.4108 +/- 0.0000</t>
  </si>
  <si>
    <t>0.6222 +/- 0.0135</t>
  </si>
  <si>
    <t>0.5876 +/- 0.0083</t>
  </si>
  <si>
    <t>0.6123 +/- 0.0102</t>
  </si>
  <si>
    <t>0.4960 +/- 0.0064</t>
  </si>
  <si>
    <t>0.9484 +/- 0.0070</t>
  </si>
  <si>
    <t>0.9056 +/- 0.0148</t>
  </si>
  <si>
    <t>0.7995 +/- 0.0317</t>
  </si>
  <si>
    <t>0.9443 +/- 0.0209</t>
  </si>
  <si>
    <t>0.9319 +/- 0.0135</t>
  </si>
  <si>
    <t>0.9401 +/- 0.0162</t>
  </si>
  <si>
    <t>0.8484 +/- 0.0645</t>
  </si>
  <si>
    <t>0.3540 +/- 0.0215</t>
  </si>
  <si>
    <t>0.1828 +/- 0.0156</t>
  </si>
  <si>
    <t>0.1853 +/- 0.0286</t>
  </si>
  <si>
    <t>0.2318 +/- 0.0157</t>
  </si>
  <si>
    <t>0.4116 +/- 0.0274</t>
  </si>
  <si>
    <t>0.3846 +/- 0.0276</t>
  </si>
  <si>
    <t>0.7851 +/- 0.0047</t>
  </si>
  <si>
    <t>0.3989 +/- 0.0303</t>
  </si>
  <si>
    <t>0.7153 +/- 0.0000</t>
  </si>
  <si>
    <t>0.6738 +/- 0.0000</t>
  </si>
  <si>
    <t>0.7358 +/- 0.0096</t>
  </si>
  <si>
    <t>0.7221 +/- 0.0034</t>
  </si>
  <si>
    <t>0.7331 +/- 0.0093</t>
  </si>
  <si>
    <t>0.6579 +/- 0.0043</t>
  </si>
  <si>
    <t>0.5662 +/- 0.0137</t>
  </si>
  <si>
    <t>0.2550 +/- 0.0212</t>
  </si>
  <si>
    <t>0.2787 +/- 0.0211</t>
  </si>
  <si>
    <t>0.4123 +/- 0.0204</t>
  </si>
  <si>
    <t>0.5169 +/- 0.0132</t>
  </si>
  <si>
    <t>0.5317 +/- 0.0147</t>
  </si>
  <si>
    <t>0.3551 +/- 0.0147</t>
  </si>
  <si>
    <t>0.7267 +/- 0.0027</t>
  </si>
  <si>
    <t>0.7160 +/- 0.0000</t>
  </si>
  <si>
    <t>0.5873 +/- 0.0000</t>
  </si>
  <si>
    <t>0.7314 +/- 0.0042</t>
  </si>
  <si>
    <t>0.7224 +/- 0.0040</t>
  </si>
  <si>
    <t>0.7261 +/- 0.0046</t>
  </si>
  <si>
    <t>0.7094 +/- 0.0044</t>
  </si>
  <si>
    <t>0.6579 +/- 0.0130</t>
  </si>
  <si>
    <t>0.6860 +/- 0.0153</t>
  </si>
  <si>
    <t>0.6068 +/- 0.0184</t>
  </si>
  <si>
    <t>0.6624 +/- 0.0132</t>
  </si>
  <si>
    <t>0.6550 +/- 0.0128</t>
  </si>
  <si>
    <t>0.6548 +/- 0.0147</t>
  </si>
  <si>
    <t>0.6617 +/- 0.0213</t>
  </si>
  <si>
    <t>0.3786 +/- 0.0207</t>
  </si>
  <si>
    <t>0.3016 +/- 0.0270</t>
  </si>
  <si>
    <t>0.3215 +/- 0.0373</t>
  </si>
  <si>
    <t>0.2888 +/- 0.0380</t>
  </si>
  <si>
    <t>0.3109 +/- 0.0271</t>
  </si>
  <si>
    <t>0.3192 +/- 0.0200</t>
  </si>
  <si>
    <t>0.4193 +/- 0.0291</t>
  </si>
  <si>
    <t>0.6064 +/- 0.0022</t>
  </si>
  <si>
    <t>0.6007 +/- 0.0000</t>
  </si>
  <si>
    <t>0.5036 +/- 0.0000</t>
  </si>
  <si>
    <t>0.5832 +/- 0.0061</t>
  </si>
  <si>
    <t>0.5707 +/- 0.0024</t>
  </si>
  <si>
    <t>0.5774 +/- 0.0036</t>
  </si>
  <si>
    <t>0.5692 +/- 0.0030</t>
  </si>
  <si>
    <t>0.7334 +/- 0.0147</t>
  </si>
  <si>
    <t>0.7395 +/- 0.0117</t>
  </si>
  <si>
    <t>0.6701 +/- 0.0396</t>
  </si>
  <si>
    <t>0.7402 +/- 0.0163</t>
  </si>
  <si>
    <t>0.7293 +/- 0.0132</t>
  </si>
  <si>
    <t>0.7310 +/- 0.0145</t>
  </si>
  <si>
    <t>0.7122 +/- 0.0312</t>
  </si>
  <si>
    <t>0.3413 +/- 0.0087</t>
  </si>
  <si>
    <t>0.5205 +/- 0.0063</t>
  </si>
  <si>
    <t>0.1725 +/- 0.0120</t>
  </si>
  <si>
    <t>0.4094 +/- 0.0000</t>
  </si>
  <si>
    <t>0.1848 +/- 0.0195</t>
  </si>
  <si>
    <t>0.3458 +/- 0.0000</t>
  </si>
  <si>
    <t>0.2802 +/- 0.0145</t>
  </si>
  <si>
    <t>0.4457 +/- 0.0100</t>
  </si>
  <si>
    <t>0.2869 +/- 0.0113</t>
  </si>
  <si>
    <t>0.4078 +/- 0.0041</t>
  </si>
  <si>
    <t>0.2956 +/- 0.0104</t>
  </si>
  <si>
    <t>0.4328 +/- 0.0055</t>
  </si>
  <si>
    <t>0.2809 +/- 0.0218</t>
  </si>
  <si>
    <t>0.4051 +/- 0.0054</t>
  </si>
  <si>
    <t>0.8334 +/- 0.0149</t>
  </si>
  <si>
    <t>0.8508 +/- 0.0069</t>
  </si>
  <si>
    <t>0.7481 +/- 0.0249</t>
  </si>
  <si>
    <t>0.8404 +/- 0.0120</t>
  </si>
  <si>
    <t>0.8228 +/- 0.0170</t>
  </si>
  <si>
    <t>0.8307 +/- 0.0135</t>
  </si>
  <si>
    <t>0.8234 +/- 0.0152</t>
  </si>
  <si>
    <t>0.7033 +/- 0.0036</t>
  </si>
  <si>
    <t>0.6581 +/- 0.0000</t>
  </si>
  <si>
    <t>0.6575 +/- 0.0000</t>
  </si>
  <si>
    <t>0.6848 +/- 0.0045</t>
  </si>
  <si>
    <t>0.6598 +/- 0.0023</t>
  </si>
  <si>
    <t>0.6735 +/- 0.0035</t>
  </si>
  <si>
    <t>0.6480 +/- 0.0031</t>
  </si>
  <si>
    <t>0.8360 +/- 0.0148</t>
  </si>
  <si>
    <t>0.8239 +/- 0.0102</t>
  </si>
  <si>
    <t>0.7508 +/- 0.0225</t>
  </si>
  <si>
    <t>0.8371 +/- 0.0151</t>
  </si>
  <si>
    <t>0.8350 +/- 0.0112</t>
  </si>
  <si>
    <t>0.8355 +/- 0.0106</t>
  </si>
  <si>
    <t>0.8187 +/- 0.0200</t>
  </si>
  <si>
    <t>0.6515 +/- 0.0027</t>
  </si>
  <si>
    <t>0.6291 +/- 0.0000</t>
  </si>
  <si>
    <t>0.6106 +/- 0.0000</t>
  </si>
  <si>
    <t>0.6454 +/- 0.0052</t>
  </si>
  <si>
    <t>0.6198 +/- 0.0023</t>
  </si>
  <si>
    <t>0.6357 +/- 0.0029</t>
  </si>
  <si>
    <t>0.6529 +/- 0.0034</t>
  </si>
  <si>
    <t>0.6733 +/- 0.0210</t>
  </si>
  <si>
    <t>0.6411 +/- 0.0218</t>
  </si>
  <si>
    <t>0.5926 +/- 0.0460</t>
  </si>
  <si>
    <t>0.6679 +/- 0.0285</t>
  </si>
  <si>
    <t>0.6705 +/- 0.0179</t>
  </si>
  <si>
    <t>0.6726 +/- 0.0168</t>
  </si>
  <si>
    <t>0.6674 +/- 0.0237</t>
  </si>
  <si>
    <t>40.07</t>
  </si>
  <si>
    <t>25.91</t>
  </si>
  <si>
    <t>33.15</t>
  </si>
  <si>
    <t>37.82</t>
  </si>
  <si>
    <t>38.46</t>
  </si>
  <si>
    <t>34.32</t>
  </si>
  <si>
    <t>0.6682 +/- 0.0352</t>
  </si>
  <si>
    <t>0.7244 +/- 0.0381</t>
  </si>
  <si>
    <t>0.5989 +/- 0.0531</t>
  </si>
  <si>
    <t>0.6536 +/- 0.0400</t>
  </si>
  <si>
    <t>0.6588 +/- 0.0383</t>
  </si>
  <si>
    <t>0.6852 +/- 0.0392</t>
  </si>
  <si>
    <t>0.6104 +/- 0.0457</t>
  </si>
  <si>
    <t>49/2/15</t>
  </si>
  <si>
    <t>63/0/3</t>
  </si>
  <si>
    <t>39/2/25</t>
  </si>
  <si>
    <t>0.7309 +/- 0.0240</t>
  </si>
  <si>
    <t>0.8552 +/- 0.0190</t>
  </si>
  <si>
    <t>0.7508 +/- 0.0278</t>
  </si>
  <si>
    <t>0.7525 +/- 0.0252</t>
  </si>
  <si>
    <t>0.7080 +/- 0.0290</t>
  </si>
  <si>
    <t>0.7166 +/- 0.0222</t>
  </si>
  <si>
    <t>0.8339 +/- 0.0227</t>
  </si>
  <si>
    <t>64.93</t>
  </si>
  <si>
    <t>61.78</t>
  </si>
  <si>
    <t>59.87</t>
  </si>
  <si>
    <t>63.24</t>
  </si>
  <si>
    <t>61.93</t>
  </si>
  <si>
    <t>62.77</t>
  </si>
  <si>
    <t>60.99</t>
  </si>
  <si>
    <t>0.7229 +/- 0.0162</t>
  </si>
  <si>
    <t>0.7131 +/- 0.0262</t>
  </si>
  <si>
    <t>0.6877 +/- 0.0394</t>
  </si>
  <si>
    <t>0.7143 +/- 0.0299</t>
  </si>
  <si>
    <t>0.6904 +/- 0.0340</t>
  </si>
  <si>
    <t>0.6936 +/- 0.0352</t>
  </si>
  <si>
    <t>0.6914 +/- 0.0326</t>
  </si>
  <si>
    <t>0.5842 +/- 0.0000</t>
  </si>
  <si>
    <t>0.8209 +/- 0.0000</t>
  </si>
  <si>
    <t>0.8964 +/- 0.0145</t>
  </si>
  <si>
    <t>0.8554 +/- 0.0219</t>
  </si>
  <si>
    <t>0.6735 +/- 0.0566</t>
  </si>
  <si>
    <t>0.8963 +/- 0.0136</t>
  </si>
  <si>
    <t>0.8906 +/- 0.0150</t>
  </si>
  <si>
    <t>0.8903 +/- 0.0207</t>
  </si>
  <si>
    <t>0.8711 +/- 0.0259</t>
  </si>
  <si>
    <t>0.6138 +/- 0.0000</t>
  </si>
  <si>
    <t>0.6503 +/- 0.0000</t>
  </si>
  <si>
    <t>7/0/13</t>
  </si>
  <si>
    <t>0.6487 +/- 0.0067</t>
  </si>
  <si>
    <t>0.6155 +/- 0.0000</t>
  </si>
  <si>
    <t>0.6922 +/- 0.0000</t>
  </si>
  <si>
    <t>0.6317 +/- 0.0183</t>
  </si>
  <si>
    <t>0.6179 +/- 0.0118</t>
  </si>
  <si>
    <t>0.6341 +/- 0.0126</t>
  </si>
  <si>
    <t>0.5947 +/- 0.0195</t>
  </si>
  <si>
    <t>Friedman Rank</t>
  </si>
  <si>
    <t>Sig. Test</t>
  </si>
  <si>
    <t>Yes</t>
  </si>
  <si>
    <t>0.5692 +/- 0.0019</t>
  </si>
  <si>
    <t>0.5614 +/- 0.0000</t>
  </si>
  <si>
    <t>0.5569 +/- 0.0000</t>
  </si>
  <si>
    <t>0.5655 +/- 0.0058</t>
  </si>
  <si>
    <t>0.5616 +/- 0.0047</t>
  </si>
  <si>
    <t>0.5681 +/- 0.0032</t>
  </si>
  <si>
    <t>0.5669 +/- 0.0070</t>
  </si>
  <si>
    <t>0.6347 +/- 0.0058</t>
  </si>
  <si>
    <t>0.5601 +/- 0.0000</t>
  </si>
  <si>
    <t>0.7315 +/- 0.0000</t>
  </si>
  <si>
    <t>0.5969 +/- 0.0145</t>
  </si>
  <si>
    <t>0.5754 +/- 0.0110</t>
  </si>
  <si>
    <t>0.5926 +/- 0.0161</t>
  </si>
  <si>
    <t>0.4928 +/- 0.0095</t>
  </si>
  <si>
    <t>0.7722 +/- 0.0059</t>
  </si>
  <si>
    <t>0.7045 +/- 0.0000</t>
  </si>
  <si>
    <t>0.7220 +/- 0.0214</t>
  </si>
  <si>
    <t>0.7061 +/- 0.0124</t>
  </si>
  <si>
    <t>0.6902 +/- 0.0177</t>
  </si>
  <si>
    <t>0.5697 +/- 0.0168</t>
  </si>
  <si>
    <t>0.8031 +/- 0.0062</t>
  </si>
  <si>
    <t>0.7975 +/- 0.0061</t>
  </si>
  <si>
    <t>0.7814 +/- 0.0098</t>
  </si>
  <si>
    <t>0.7902 +/- 0.0081</t>
  </si>
  <si>
    <t>0.7618 +/- 0.0174</t>
  </si>
  <si>
    <t>0.7817 +/- 0.0080</t>
  </si>
  <si>
    <t>0.7820 +/- 0.0074</t>
  </si>
  <si>
    <t>2/0/4</t>
  </si>
  <si>
    <t>0.7948 +/- 0.0073</t>
  </si>
  <si>
    <t>0.7960 +/- 0.0083</t>
  </si>
  <si>
    <t>0.7198 +/- 0.0135</t>
  </si>
  <si>
    <t>0.7873 +/- 0.0124</t>
  </si>
  <si>
    <t>0.7695 +/- 0.0182</t>
  </si>
  <si>
    <t>0.7807 +/- 0.0090</t>
  </si>
  <si>
    <t>0.7953 +/- 0.0099</t>
  </si>
  <si>
    <t>63.71</t>
  </si>
  <si>
    <t>60.66</t>
  </si>
  <si>
    <t>69.27</t>
  </si>
  <si>
    <t>61.90</t>
  </si>
  <si>
    <t>60.98</t>
  </si>
  <si>
    <t>61.38</t>
  </si>
  <si>
    <t>57.04</t>
  </si>
  <si>
    <t>0.5420 +/- 0.0153</t>
  </si>
  <si>
    <t>0.5545 +/- 0.0000</t>
  </si>
  <si>
    <t>0.2545 +/- 0.0000</t>
  </si>
  <si>
    <t>0.5382 +/- 0.0168</t>
  </si>
  <si>
    <t>0.5422 +/- 0.0187</t>
  </si>
  <si>
    <t>0.5476 +/- 0.0196</t>
  </si>
  <si>
    <t>0.5518 +/- 0.0105</t>
  </si>
  <si>
    <t>0.7697 +/- 0.0081</t>
  </si>
  <si>
    <t>0.7201 +/- 0.0000</t>
  </si>
  <si>
    <t>0.5902 +/- 0.0000</t>
  </si>
  <si>
    <t>0.7463 +/- 0.0121</t>
  </si>
  <si>
    <t>0.7539 +/- 0.0093</t>
  </si>
  <si>
    <t>0.7524 +/- 0.0104</t>
  </si>
  <si>
    <t>0.6885 +/- 0.0062</t>
  </si>
  <si>
    <t>0.6229 +/- 0.0118</t>
  </si>
  <si>
    <t>0.7417 +/- 0.0080</t>
  </si>
  <si>
    <t>0.6333 +/- 0.0109</t>
  </si>
  <si>
    <t>0.7545 +/- 0.0000</t>
  </si>
  <si>
    <t>0.6061 +/- 0.0121</t>
  </si>
  <si>
    <t>0.5893 +/- 0.0000</t>
  </si>
  <si>
    <t>0.6102 +/- 0.0115</t>
  </si>
  <si>
    <t>0.5781 +/- 0.0164</t>
  </si>
  <si>
    <t>0.5940 +/- 0.0135</t>
  </si>
  <si>
    <t>0.6349 +/- 0.0193</t>
  </si>
  <si>
    <t>0.7412 +/- 0.0123</t>
  </si>
  <si>
    <t>0.7423 +/- 0.0105</t>
  </si>
  <si>
    <t>0.7470 +/- 0.0110</t>
  </si>
  <si>
    <t>0.7521 +/- 0.0100</t>
  </si>
  <si>
    <t>0.5840 +/- 0.0108</t>
  </si>
  <si>
    <t>0.5884 +/- 0.0000</t>
  </si>
  <si>
    <t>0.5872 +/- 0.0000</t>
  </si>
  <si>
    <t>0.5765 +/- 0.0096</t>
  </si>
  <si>
    <t>0.5805 +/- 0.0101</t>
  </si>
  <si>
    <t>0.5884 +/- 0.0122</t>
  </si>
  <si>
    <t>0.5814 +/- 0.0081</t>
  </si>
  <si>
    <t>0.6072 +/- 0.0080</t>
  </si>
  <si>
    <t>0.5561 +/- 0.0000</t>
  </si>
  <si>
    <t>0.3824 +/- 0.0000</t>
  </si>
  <si>
    <t>0.6140 +/- 0.0092</t>
  </si>
  <si>
    <t>0.6035 +/- 0.0077</t>
  </si>
  <si>
    <t>0.6082 +/- 0.0094</t>
  </si>
  <si>
    <t>0.6407 +/- 0.0270</t>
  </si>
  <si>
    <t>0.6640 +/- 0.0060</t>
  </si>
  <si>
    <t>0.6273 +/- 0.0000</t>
  </si>
  <si>
    <t>0.4563 +/- 0.0000</t>
  </si>
  <si>
    <t>0.6652 +/- 0.0058</t>
  </si>
  <si>
    <t>0.6630 +/- 0.0076</t>
  </si>
  <si>
    <t>0.6650 +/- 0.0062</t>
  </si>
  <si>
    <t>0.6407 +/- 0.0201</t>
  </si>
  <si>
    <t>0.9235 +/- 0.0049</t>
  </si>
  <si>
    <t>0.8929 +/- 0.0000</t>
  </si>
  <si>
    <t>0.8884 +/- 0.0000</t>
  </si>
  <si>
    <t>0.9247 +/- 0.0052</t>
  </si>
  <si>
    <t>0.9226 +/- 0.0054</t>
  </si>
  <si>
    <t>0.9249 +/- 0.0033</t>
  </si>
  <si>
    <t>0.8567 +/- 0.0294</t>
  </si>
  <si>
    <t>0.7610 +/- 0.0082</t>
  </si>
  <si>
    <t>0.7093 +/- 0.0000</t>
  </si>
  <si>
    <t>0.5225 +/- 0.0000</t>
  </si>
  <si>
    <t>0.7374 +/- 0.0094</t>
  </si>
  <si>
    <t>0.7557 +/- 0.0100</t>
  </si>
  <si>
    <t>0.7580 +/- 0.0110</t>
  </si>
  <si>
    <t>0.6696 +/- 0.0185</t>
  </si>
  <si>
    <t>0.8032 +/- 0.0067</t>
  </si>
  <si>
    <t>0.7812 +/- 0.0000</t>
  </si>
  <si>
    <t>0.6771 +/- 0.0000</t>
  </si>
  <si>
    <t>0.7889 +/- 0.0102</t>
  </si>
  <si>
    <t>0.7634 +/- 0.0097</t>
  </si>
  <si>
    <t>0.7957 +/- 0.0069</t>
  </si>
  <si>
    <t>0.7527 +/- 0.0144</t>
  </si>
  <si>
    <t>0.7872 +/- 0.0083</t>
  </si>
  <si>
    <t>0.6659 +/- 0.0000</t>
  </si>
  <si>
    <t>0.6795 +/- 0.0000</t>
  </si>
  <si>
    <t>0.7084 +/- 0.0187</t>
  </si>
  <si>
    <t>0.6313 +/- 0.0111</t>
  </si>
  <si>
    <t>0.6965 +/- 0.0205</t>
  </si>
  <si>
    <t>0.5881 +/- 0.0153</t>
  </si>
  <si>
    <t>0.8854 +/- 0.0093</t>
  </si>
  <si>
    <t>0.8839 +/- 0.0000</t>
  </si>
  <si>
    <t>0.9286 +/- 0.0000</t>
  </si>
  <si>
    <t>0.8777 +/- 0.0181</t>
  </si>
  <si>
    <t>0.8525 +/- 0.0139</t>
  </si>
  <si>
    <t>0.8756 +/- 0.0147</t>
  </si>
  <si>
    <t>0.8478 +/- 0.0090</t>
  </si>
  <si>
    <t>0.7043 +/- 0.0077</t>
  </si>
  <si>
    <t>0.7143 +/- 0.0054</t>
  </si>
  <si>
    <t>0.7056 +/- 0.0077</t>
  </si>
  <si>
    <t>0.7084 +/- 0.0071</t>
  </si>
  <si>
    <t>0.6975 +/- 0.0095</t>
  </si>
  <si>
    <t>0.7058 +/- 0.0054</t>
  </si>
  <si>
    <t>0.6933 +/- 0.0105</t>
  </si>
  <si>
    <t>0.7598 +/- 0.0204</t>
  </si>
  <si>
    <t>0.7623 +/- 0.0144</t>
  </si>
  <si>
    <t>0.7793 +/- 0.0161</t>
  </si>
  <si>
    <t>0.7577 +/- 0.0219</t>
  </si>
  <si>
    <t>0.6936 +/- 0.0377</t>
  </si>
  <si>
    <t>0.7421 +/- 0.0397</t>
  </si>
  <si>
    <t>0.7164 +/- 0.0427</t>
  </si>
  <si>
    <t>0.7666 +/- 0.0084</t>
  </si>
  <si>
    <t>0.7768 +/- 0.0088</t>
  </si>
  <si>
    <t>0.7685 +/- 0.0067</t>
  </si>
  <si>
    <t>0.7660 +/- 0.0100</t>
  </si>
  <si>
    <t>0.7445 +/- 0.0132</t>
  </si>
  <si>
    <t>0.7558 +/- 0.0129</t>
  </si>
  <si>
    <t>0.7441 +/- 0.0155</t>
  </si>
  <si>
    <t>0.6934 +/- 0.0086</t>
  </si>
  <si>
    <t>0.7063 +/- 0.0090</t>
  </si>
  <si>
    <t>0.6748 +/- 0.0063</t>
  </si>
  <si>
    <t>0.6688 +/- 0.0208</t>
  </si>
  <si>
    <t>0.6330 +/- 0.0214</t>
  </si>
  <si>
    <t>0.6625 +/- 0.0198</t>
  </si>
  <si>
    <t>0.6360 +/- 0.0183</t>
  </si>
  <si>
    <t>0.5760 +/- 0.0125</t>
  </si>
  <si>
    <t>0.5806 +/- 0.0000</t>
  </si>
  <si>
    <t>0.4070 +/- 0.0000</t>
  </si>
  <si>
    <t>0.5491 +/- 0.0122</t>
  </si>
  <si>
    <t>0.5470 +/- 0.0102</t>
  </si>
  <si>
    <t>0.5568 +/- 0.0122</t>
  </si>
  <si>
    <t>0.7392 +/- 0.0035</t>
  </si>
  <si>
    <t>0.5228 +/- 0.0217</t>
  </si>
  <si>
    <t>0.7437 +/- 0.0070</t>
  </si>
  <si>
    <t>0.7211 +/- 0.0047</t>
  </si>
  <si>
    <t>0.7353 +/- 0.0080</t>
  </si>
  <si>
    <t>0.7305 +/- 0.0051</t>
  </si>
  <si>
    <t>0.7377 +/- 0.0066</t>
  </si>
  <si>
    <t>0.5222 +/- 0.0184</t>
  </si>
  <si>
    <t>0.6962 +/- 0.0055</t>
  </si>
  <si>
    <t>0.8129 +/- 0.0101</t>
  </si>
  <si>
    <t>0.7049 +/- 0.0000</t>
  </si>
  <si>
    <t>0.8105 +/- 0.0181</t>
  </si>
  <si>
    <t>0.6786 +/- 0.0000</t>
  </si>
  <si>
    <t>0.7954 +/- 0.0180</t>
  </si>
  <si>
    <t>0.6990 +/- 0.0096</t>
  </si>
  <si>
    <t>0.8053 +/- 0.0247</t>
  </si>
  <si>
    <t>0.7013 +/- 0.0069</t>
  </si>
  <si>
    <t>0.8238 +/- 0.0077</t>
  </si>
  <si>
    <t>0.6957 +/- 0.0071</t>
  </si>
  <si>
    <t>0.8228 +/- 0.0101</t>
  </si>
  <si>
    <t>0.6948 +/- 0.0126</t>
  </si>
  <si>
    <t>0.3273 +/- 0.0196</t>
  </si>
  <si>
    <t>0.8514 +/- 0.0024</t>
  </si>
  <si>
    <t>0.8477 +/- 0.0000</t>
  </si>
  <si>
    <t>0.6977 +/- 0.0000</t>
  </si>
  <si>
    <t>0.8505 +/- 0.0022</t>
  </si>
  <si>
    <t>0.8506 +/- 0.0021</t>
  </si>
  <si>
    <t>0.8508 +/- 0.0023</t>
  </si>
  <si>
    <t>0.7712 +/- 0.0474</t>
  </si>
  <si>
    <t>0.8159 +/- 0.0072</t>
  </si>
  <si>
    <t>0.7902 +/- 0.0000</t>
  </si>
  <si>
    <t>0.7218 +/- 0.0000</t>
  </si>
  <si>
    <t>0.8093 +/- 0.0089</t>
  </si>
  <si>
    <t>0.8084 +/- 0.0060</t>
  </si>
  <si>
    <t>0.8137 +/- 0.0052</t>
  </si>
  <si>
    <t>0.7748 +/- 0.0160</t>
  </si>
  <si>
    <t>0.7409 +/- 0.0053</t>
  </si>
  <si>
    <t>0.7318 +/- 0.0000</t>
  </si>
  <si>
    <t>0.4899 +/- 0.0000</t>
  </si>
  <si>
    <t>0.7440 +/- 0.0067</t>
  </si>
  <si>
    <t>0.7438 +/- 0.0048</t>
  </si>
  <si>
    <t>0.7421 +/- 0.0051</t>
  </si>
  <si>
    <t>0.7639 +/- 0.0157</t>
  </si>
  <si>
    <t>0.5736 +/- 0.0120</t>
  </si>
  <si>
    <t>0.5441 +/- 0.0000</t>
  </si>
  <si>
    <t>0.6414 +/- 0.0000</t>
  </si>
  <si>
    <t>0.5549 +/- 0.0191</t>
  </si>
  <si>
    <t>0.5555 +/- 0.0168</t>
  </si>
  <si>
    <t>0.5514 +/- 0.0138</t>
  </si>
  <si>
    <t>0.5693 +/- 0.0122</t>
  </si>
  <si>
    <t>0.7420 +/- 0.0059</t>
  </si>
  <si>
    <t>0.3955 +/- 0.0000</t>
  </si>
  <si>
    <t>0.7441 +/- 0.0091</t>
  </si>
  <si>
    <t>0.7177 +/- 0.0108</t>
  </si>
  <si>
    <t>0.7237 +/- 0.0091</t>
  </si>
  <si>
    <t>0.7392 +/- 0.0169</t>
  </si>
  <si>
    <t>0.8114 +/- 0.0047</t>
  </si>
  <si>
    <t>0.7658 +/- 0.0156</t>
  </si>
  <si>
    <t>0.7815 +/- 0.0106</t>
  </si>
  <si>
    <t>0.8080 +/- 0.0101</t>
  </si>
  <si>
    <t>0.6900 +/- 0.0075</t>
  </si>
  <si>
    <t>0.8006 +/- 0.0059</t>
  </si>
  <si>
    <t>0.5845 +/- 0.0000</t>
  </si>
  <si>
    <t>0.8087 +/- 0.0045</t>
  </si>
  <si>
    <t>0.5446 +/- 0.0232</t>
  </si>
  <si>
    <t>0.6593 +/- 0.0162</t>
  </si>
  <si>
    <t>0.6162 +/- 0.0148</t>
  </si>
  <si>
    <t>0.6272 +/- 0.0178</t>
  </si>
  <si>
    <t>0.4706 +/- 0.0221</t>
  </si>
  <si>
    <t>0.8757 +/- 0.0121</t>
  </si>
  <si>
    <t>0.8125 +/- 0.0000</t>
  </si>
  <si>
    <t>0.5848 +/- 0.0000</t>
  </si>
  <si>
    <t>0.8609 +/- 0.0169</t>
  </si>
  <si>
    <t>0.8406 +/- 0.0146</t>
  </si>
  <si>
    <t>0.8500 +/- 0.0138</t>
  </si>
  <si>
    <t>0.8094 +/- 0.0184</t>
  </si>
  <si>
    <t>0.6798 +/- 0.0157</t>
  </si>
  <si>
    <t>0.6692 +/- 0.0115</t>
  </si>
  <si>
    <t>0.6999 +/- 0.0123</t>
  </si>
  <si>
    <t>0.6756 +/- 0.0214</t>
  </si>
  <si>
    <t>0.6239 +/- 0.0115</t>
  </si>
  <si>
    <t>0.6572 +/- 0.0156</t>
  </si>
  <si>
    <t>0.6710 +/- 0.0239</t>
  </si>
  <si>
    <t>0.7332 +/- 0.0046</t>
  </si>
  <si>
    <t>0.7118 +/- 0.0126</t>
  </si>
  <si>
    <t>0.7275 +/- 0.0063</t>
  </si>
  <si>
    <t>0.7284 +/- 0.0116</t>
  </si>
  <si>
    <t>0.7330 +/- 0.0042</t>
  </si>
  <si>
    <t>0.7372 +/- 0.0062</t>
  </si>
  <si>
    <t>0.4962 +/- 0.0170</t>
  </si>
  <si>
    <t>0.6702 +/- 0.0371</t>
  </si>
  <si>
    <t>0.7342 +/- 0.0333</t>
  </si>
  <si>
    <t>0.7461 +/- 0.0162</t>
  </si>
  <si>
    <t>0.6707 +/- 0.0574</t>
  </si>
  <si>
    <t>0.6066 +/- 0.0410</t>
  </si>
  <si>
    <t>0.6132 +/- 0.0479</t>
  </si>
  <si>
    <t>0.3517 +/- 0.0437</t>
  </si>
  <si>
    <t>73.15</t>
  </si>
  <si>
    <t>0.7746 +/- 0.0101</t>
  </si>
  <si>
    <t>0.7047 +/- 0.0206</t>
  </si>
  <si>
    <t>0.7557 +/- 0.0072</t>
  </si>
  <si>
    <t>0.7492 +/- 0.0206</t>
  </si>
  <si>
    <t>0.7527 +/- 0.0153</t>
  </si>
  <si>
    <t>70.17</t>
  </si>
  <si>
    <t>0.7643 +/- 0.0095</t>
  </si>
  <si>
    <t>0.3520 +/- 0.0161</t>
  </si>
  <si>
    <t>58.93</t>
  </si>
  <si>
    <t>71.95</t>
  </si>
  <si>
    <t>70.96</t>
  </si>
  <si>
    <t>71.85</t>
  </si>
  <si>
    <t>68.43</t>
  </si>
  <si>
    <t>0.7506 +/- 0.0080</t>
  </si>
  <si>
    <t>0.7672 +/- 0.0102</t>
  </si>
  <si>
    <t>0.7619 +/- 0.0075</t>
  </si>
  <si>
    <t>0.7405 +/- 0.0156</t>
  </si>
  <si>
    <t>0.7360 +/- 0.0115</t>
  </si>
  <si>
    <t>0.7346 +/- 0.0126</t>
  </si>
  <si>
    <t>0.4470 +/- 0.0297</t>
  </si>
  <si>
    <t>0.7395 +/- 0.0041</t>
  </si>
  <si>
    <t>0.7211 +/- 0.0000</t>
  </si>
  <si>
    <t>0.4429 +/- 0.0000</t>
  </si>
  <si>
    <t>0.7185 +/- 0.0066</t>
  </si>
  <si>
    <t>0.7137 +/- 0.0050</t>
  </si>
  <si>
    <t>0.7204 +/- 0.0079</t>
  </si>
  <si>
    <t>0.6902 +/- 0.0101</t>
  </si>
  <si>
    <t>0.7196 +/- 0.0046</t>
  </si>
  <si>
    <t>0.7293 +/- 0.0148</t>
  </si>
  <si>
    <t>0.7222 +/- 0.0071</t>
  </si>
  <si>
    <t>0.6825 +/- 0.0175</t>
  </si>
  <si>
    <t>0.7275 +/- 0.0102</t>
  </si>
  <si>
    <t>0.7207 +/- 0.0106</t>
  </si>
  <si>
    <t>0.4191 +/- 0.0064</t>
  </si>
  <si>
    <t>0.7120 +/- 0.0066</t>
  </si>
  <si>
    <t>0.6971 +/- 0.0000</t>
  </si>
  <si>
    <t>0.3025 +/- 0.0000</t>
  </si>
  <si>
    <t>0.6877 +/- 0.0114</t>
  </si>
  <si>
    <t>0.6667 +/- 0.0049</t>
  </si>
  <si>
    <t>0.6796 +/- 0.0096</t>
  </si>
  <si>
    <t>0.6406 +/- 0.0149</t>
  </si>
  <si>
    <t>0.7077 +/- 0.0249</t>
  </si>
  <si>
    <t>0.7045 +/- 0.0344</t>
  </si>
  <si>
    <t>0.7939 +/- 0.0117</t>
  </si>
  <si>
    <t>0.7284 +/- 0.0430</t>
  </si>
  <si>
    <t>0.6331 +/- 0.0609</t>
  </si>
  <si>
    <t>0.6973 +/- 0.0442</t>
  </si>
  <si>
    <t>0.3814 +/- 0.0543</t>
  </si>
  <si>
    <t>0.5658 +/- 0.0043</t>
  </si>
  <si>
    <t>0.5495 +/- 0.0000</t>
  </si>
  <si>
    <t>0.4230 +/- 0.0000</t>
  </si>
  <si>
    <t>0.5462 +/- 0.0092</t>
  </si>
  <si>
    <t>0.5295 +/- 0.0072</t>
  </si>
  <si>
    <t>0.5443 +/- 0.0079</t>
  </si>
  <si>
    <t>0.5306 +/- 0.0097</t>
  </si>
  <si>
    <t>0.8035 +/- 0.0048</t>
  </si>
  <si>
    <t>0.7926 +/- 0.0139</t>
  </si>
  <si>
    <t>0.7840 +/- 0.0062</t>
  </si>
  <si>
    <t>0.7863 +/- 0.0078</t>
  </si>
  <si>
    <t>0.7815 +/- 0.0131</t>
  </si>
  <si>
    <t>0.7884 +/- 0.0103</t>
  </si>
  <si>
    <t>0.5935 +/- 0.0305</t>
  </si>
  <si>
    <t>0.7754 +/- 0.0092</t>
  </si>
  <si>
    <t>0.7575 +/- 0.0123</t>
  </si>
  <si>
    <t>0.7766 +/- 0.0075</t>
  </si>
  <si>
    <t>0.7459 +/- 0.0131</t>
  </si>
  <si>
    <t>0.6904 +/- 0.0227</t>
  </si>
  <si>
    <t>0.7081 +/- 0.0175</t>
  </si>
  <si>
    <t>0.7350 +/- 0.0206</t>
  </si>
  <si>
    <t>0.6851 +/- 0.0149</t>
  </si>
  <si>
    <t>0.7221 +/- 0.0116</t>
  </si>
  <si>
    <t>0.6840 +/- 0.0091</t>
  </si>
  <si>
    <t>0.6956 +/- 0.0127</t>
  </si>
  <si>
    <t>0.6457 +/- 0.0183</t>
  </si>
  <si>
    <t>0.6568 +/- 0.0167</t>
  </si>
  <si>
    <t>0.6528 +/- 0.0292</t>
  </si>
  <si>
    <t>0.6913 +/- 0.0037</t>
  </si>
  <si>
    <t>0.6816 +/- 0.0000</t>
  </si>
  <si>
    <t>0.3664 +/- 0.0000</t>
  </si>
  <si>
    <t>0.6787 +/- 0.0097</t>
  </si>
  <si>
    <t>0.6602 +/- 0.0057</t>
  </si>
  <si>
    <t>0.6745 +/- 0.0086</t>
  </si>
  <si>
    <t>0.6241 +/- 0.0098</t>
  </si>
  <si>
    <t>—</t>
  </si>
  <si>
    <t>74.04</t>
  </si>
  <si>
    <t>74.00</t>
  </si>
  <si>
    <t>73.93</t>
  </si>
  <si>
    <t>73.20</t>
  </si>
  <si>
    <t>70.82</t>
  </si>
  <si>
    <t>72.35</t>
  </si>
  <si>
    <t>57.48</t>
  </si>
  <si>
    <t>36/2/28</t>
  </si>
  <si>
    <t>48/0/18</t>
  </si>
  <si>
    <t>38/2/26</t>
  </si>
  <si>
    <t>Overall Performance</t>
  </si>
  <si>
    <t>0.6206 +/- 0.0103</t>
  </si>
  <si>
    <t>0.5913 +/- 0.0000</t>
  </si>
  <si>
    <t>0.7094 +/- 0.0000</t>
  </si>
  <si>
    <t>0.5812 +/- 0.0148</t>
  </si>
  <si>
    <t>0.5670 +/- 0.0067</t>
  </si>
  <si>
    <t>0.5838 +/- 0.0130</t>
  </si>
  <si>
    <t>0.5893 +/- 0.0094</t>
  </si>
  <si>
    <t>0.7099 +/- 0.0076</t>
  </si>
  <si>
    <t>0.6779 +/- 0.0000</t>
  </si>
  <si>
    <t>0.7331 +/- 0.0000</t>
  </si>
  <si>
    <t>0.6847 +/- 0.0122</t>
  </si>
  <si>
    <t>0.6442 +/- 0.0082</t>
  </si>
  <si>
    <t>0.6864 +/- 0.0115</t>
  </si>
  <si>
    <t>0.6548 +/- 0.0063</t>
  </si>
  <si>
    <t>0.6610 +/- 0.0048</t>
  </si>
  <si>
    <t>0.6368 +/- 0.0000</t>
  </si>
  <si>
    <t>0.6639 +/- 0.0000</t>
  </si>
  <si>
    <t>0.6485 +/- 0.0114</t>
  </si>
  <si>
    <t>0.6439 +/- 0.0046</t>
  </si>
  <si>
    <t>0.6523 +/- 0.0093</t>
  </si>
  <si>
    <t>0.5611 +/- 0.0057</t>
  </si>
  <si>
    <t>0.7310 +/- 0.0029</t>
  </si>
  <si>
    <t>0.6932 +/- 0.0190</t>
  </si>
  <si>
    <t>0.4362 +/- 0.0000</t>
  </si>
  <si>
    <t>0.3331 +/- 0.0000</t>
  </si>
  <si>
    <t>0.5320 +/- 0.0542</t>
  </si>
  <si>
    <t>0.4996 +/- 0.0118</t>
  </si>
  <si>
    <t>0.5026 +/- 0.0273</t>
  </si>
  <si>
    <t>0.4775 +/- 0.0099</t>
  </si>
  <si>
    <t>0.6374 +/- 0.0055</t>
  </si>
  <si>
    <t>0.4519 +/- 0.0000</t>
  </si>
  <si>
    <t>0.5544 +/- 0.0000</t>
  </si>
  <si>
    <t>0.6240 +/- 0.0185</t>
  </si>
  <si>
    <t>0.6075 +/- 0.0166</t>
  </si>
  <si>
    <t>0.6112 +/- 0.0165</t>
  </si>
  <si>
    <t>0.6401 +/- 0.0082</t>
  </si>
  <si>
    <t>0.5768 +/- 0.0104</t>
  </si>
  <si>
    <t>0.3686 +/- 0.0000</t>
  </si>
  <si>
    <t>0.5208 +/- 0.0000</t>
  </si>
  <si>
    <t>0.5940 +/- 0.0098</t>
  </si>
  <si>
    <t>0.5701 +/- 0.0052</t>
  </si>
  <si>
    <t>0.5754 +/- 0.0115</t>
  </si>
  <si>
    <t>0.5887 +/- 0.0105</t>
  </si>
  <si>
    <t>0.4918 +/- 0.0058</t>
  </si>
  <si>
    <t>0.1899 +/- 0.0000</t>
  </si>
  <si>
    <t>0.4700 +/- 0.0000</t>
  </si>
  <si>
    <t>0.4630 +/- 0.0175</t>
  </si>
  <si>
    <t>0.4549 +/- 0.0078</t>
  </si>
  <si>
    <t>0.4582 +/- 0.0154</t>
  </si>
  <si>
    <t>0.3992 +/- 0.0087</t>
  </si>
  <si>
    <t>0.5337 +/- 0.0117</t>
  </si>
  <si>
    <t>0.4464 +/- 0.0000</t>
  </si>
  <si>
    <t>0.4602 +/- 0.0000</t>
  </si>
  <si>
    <t>0.5337 +/- 0.0239</t>
  </si>
  <si>
    <t>0.5528 +/- 0.0154</t>
  </si>
  <si>
    <t>0.5325 +/- 0.0183</t>
  </si>
  <si>
    <t>0.5589 +/- 0.0103</t>
  </si>
  <si>
    <t>0.3600 +/- 0.0176</t>
  </si>
  <si>
    <t>0.2439 +/- 0.0000</t>
  </si>
  <si>
    <t>0.1333 +/- 0.0000</t>
  </si>
  <si>
    <t>0.2079 +/- 0.0381</t>
  </si>
  <si>
    <t>0.1891 +/- 0.0089</t>
  </si>
  <si>
    <t>0.1946 +/- 0.0209</t>
  </si>
  <si>
    <t>0.1651 +/- 0.0070</t>
  </si>
  <si>
    <t>0.4653 +/- 0.0173</t>
  </si>
  <si>
    <t>0.4597 +/- 0.0000</t>
  </si>
  <si>
    <t>0.4467 +/- 0.0000</t>
  </si>
  <si>
    <t>0.4755 +/- 0.0137</t>
  </si>
  <si>
    <t>0.4654 +/- 0.0114</t>
  </si>
  <si>
    <t>0.4740 +/- 0.0121</t>
  </si>
  <si>
    <t>0.5570 +/- 0.0105</t>
  </si>
  <si>
    <t>0.2786 +/- 0.0062</t>
  </si>
  <si>
    <t>0.2222 +/- 0.0000</t>
  </si>
  <si>
    <t>0.3214 +/- 0.0000</t>
  </si>
  <si>
    <t>0.2453 +/- 0.0137</t>
  </si>
  <si>
    <t>0.2386 +/- 0.0121</t>
  </si>
  <si>
    <t>0.2412 +/- 0.0125</t>
  </si>
  <si>
    <t>0.2421 +/- 0.0049</t>
  </si>
  <si>
    <t>0.3115 +/- 0.0091</t>
  </si>
  <si>
    <t>0.1863 +/- 0.0000</t>
  </si>
  <si>
    <t>0.3145 +/- 0.0000</t>
  </si>
  <si>
    <t>0.2953 +/- 0.0085</t>
  </si>
  <si>
    <t>0.2738 +/- 0.0050</t>
  </si>
  <si>
    <t>0.2802 +/- 0.0107</t>
  </si>
  <si>
    <t>0.2820 +/- 0.0092</t>
  </si>
  <si>
    <t>0.2380 +/- 0.0051</t>
  </si>
  <si>
    <t>0.0490 +/- 0.0000</t>
  </si>
  <si>
    <t>0.2276 +/- 0.0000</t>
  </si>
  <si>
    <t>0.2070 +/- 0.0141</t>
  </si>
  <si>
    <t>0.2024 +/- 0.0061</t>
  </si>
  <si>
    <t>0.2057 +/- 0.0126</t>
  </si>
  <si>
    <t>0.1534 +/- 0.0060</t>
  </si>
  <si>
    <t>0.5702 +/- 0.0087</t>
  </si>
  <si>
    <t>0.5006 +/- 0.0000</t>
  </si>
  <si>
    <t>0.4820 +/- 0.0000</t>
  </si>
  <si>
    <t>0.5522 +/- 0.0091</t>
  </si>
  <si>
    <t>0.5502 +/- 0.0072</t>
  </si>
  <si>
    <t>0.5603 +/- 0.0067</t>
  </si>
  <si>
    <t>0.5505 +/- 0.0062</t>
  </si>
  <si>
    <t>0.6868 +/- 0.0000</t>
  </si>
  <si>
    <t>0.7135 +/- 0.0000</t>
  </si>
  <si>
    <t>0.2887 +/- 0.0116</t>
  </si>
  <si>
    <t>0.6920 +/- 0.0068</t>
  </si>
  <si>
    <t>0.2535 +/- 0.0000</t>
  </si>
  <si>
    <t>0.6876 +/- 0.0036</t>
  </si>
  <si>
    <t>0.1793 +/- 0.0000</t>
  </si>
  <si>
    <t>0.7035 +/- 0.0071</t>
  </si>
  <si>
    <t>0.2573 +/- 0.0227</t>
  </si>
  <si>
    <t>0.6094 +/- 0.0042</t>
  </si>
  <si>
    <t>0.2730 +/- 0.0137</t>
  </si>
  <si>
    <t>0.2663 +/- 0.0188</t>
  </si>
  <si>
    <t>0.2596 +/- 0.0094</t>
  </si>
  <si>
    <t>0.2932 +/- 0.0087</t>
  </si>
  <si>
    <t>0.1822 +/- 0.0000</t>
  </si>
  <si>
    <t>0.3647 +/- 0.0000</t>
  </si>
  <si>
    <t>0.2812 +/- 0.0098</t>
  </si>
  <si>
    <t>0.2704 +/- 0.0085</t>
  </si>
  <si>
    <t>0.2856 +/- 0.0110</t>
  </si>
  <si>
    <t>0.3447 +/- 0.0075</t>
  </si>
  <si>
    <t>0.1595 +/- 0.0122</t>
  </si>
  <si>
    <t>0.1912 +/- 0.0000</t>
  </si>
  <si>
    <t>0.1099 +/- 0.0000</t>
  </si>
  <si>
    <t>0.1427 +/- 0.0076</t>
  </si>
  <si>
    <t>0.1331 +/- 0.0058</t>
  </si>
  <si>
    <t>0.1448 +/- 0.0073</t>
  </si>
  <si>
    <t>0.1768 +/- 0.0067</t>
  </si>
  <si>
    <t>0.5029 +/- 0.0182</t>
  </si>
  <si>
    <t>0.3020 +/- 0.0000</t>
  </si>
  <si>
    <t>0.2175 +/- 0.0000</t>
  </si>
  <si>
    <t>0.6327 +/- 0.0148</t>
  </si>
  <si>
    <t>0.6451 +/- 0.0110</t>
  </si>
  <si>
    <t>0.6293 +/- 0.0152</t>
  </si>
  <si>
    <t>0.6612 +/- 0.0126</t>
  </si>
  <si>
    <t>0.2930 +/- 0.0092</t>
  </si>
  <si>
    <t>0.2603 +/- 0.0000</t>
  </si>
  <si>
    <t>0.1858 +/- 0.0000</t>
  </si>
  <si>
    <t>0.2540 +/- 0.0113</t>
  </si>
  <si>
    <t>0.2472 +/- 0.0075</t>
  </si>
  <si>
    <t>0.2638 +/- 0.0088</t>
  </si>
  <si>
    <t>0.2401 +/- 0.0060</t>
  </si>
  <si>
    <t>0.3371 +/- 0.0000</t>
  </si>
  <si>
    <t>0.2772 +/- 0.0000</t>
  </si>
  <si>
    <t>0.7119 +/- 0.0076</t>
  </si>
  <si>
    <t>0.6795 +/- 0.0154</t>
  </si>
  <si>
    <t>0.6891 +/- 0.0242</t>
  </si>
  <si>
    <t>0.6886 +/- 0.0217</t>
  </si>
  <si>
    <t>0.0879 +/- 0.0042</t>
  </si>
  <si>
    <t>0.0384 +/- 0.0000</t>
  </si>
  <si>
    <t>0.1845 +/- 0.0000</t>
  </si>
  <si>
    <t>0.0740 +/- 0.0051</t>
  </si>
  <si>
    <t>0.0682 +/- 0.0043</t>
  </si>
  <si>
    <t>0.0769 +/- 0.0059</t>
  </si>
  <si>
    <t>0.1073 +/- 0.0044</t>
  </si>
  <si>
    <t>0.6237 +/- 0.0064</t>
  </si>
  <si>
    <t>0.2842 +/- 0.0000</t>
  </si>
  <si>
    <t>0.1928 +/- 0.0000</t>
  </si>
  <si>
    <t>0.6551 +/- 0.0093</t>
  </si>
  <si>
    <t>0.6404 +/- 0.0079</t>
  </si>
  <si>
    <t>0.6544 +/- 0.0087</t>
  </si>
  <si>
    <t>0.6642 +/- 0.0115</t>
  </si>
  <si>
    <t>0.2598 +/- 0.0169</t>
  </si>
  <si>
    <t>0.1379 +/- 0.0000</t>
  </si>
  <si>
    <t>0.0870 +/- 0.0000</t>
  </si>
  <si>
    <t>0.3718 +/- 0.0146</t>
  </si>
  <si>
    <t>0.3852 +/- 0.0106</t>
  </si>
  <si>
    <t>0.3710 +/- 0.0154</t>
  </si>
  <si>
    <t>0.3962 +/- 0.0135</t>
  </si>
  <si>
    <t>0.5544 +/- 0.0060</t>
  </si>
  <si>
    <t>0.3529 +/- 0.0000</t>
  </si>
  <si>
    <t>0.3244 +/- 0.0000</t>
  </si>
  <si>
    <t>0.5762 +/- 0.0072</t>
  </si>
  <si>
    <t>0.5615 +/- 0.0066</t>
  </si>
  <si>
    <t>0.5649 +/- 0.0083</t>
  </si>
  <si>
    <t>0.5833 +/- 0.0135</t>
  </si>
  <si>
    <t>0.3456 +/- 0.0158</t>
  </si>
  <si>
    <t>0.1500 +/- 0.0000</t>
  </si>
  <si>
    <t>0.1111 +/- 0.0000</t>
  </si>
  <si>
    <t>0.3657 +/- 0.0115</t>
  </si>
  <si>
    <t>0.3489 +/- 0.0113</t>
  </si>
  <si>
    <t>0.3568 +/- 0.0172</t>
  </si>
  <si>
    <t>0.3530 +/- 0.0167</t>
  </si>
  <si>
    <t>0.5442 +/- 0.0091</t>
  </si>
  <si>
    <t>0.3009 +/- 0.0000</t>
  </si>
  <si>
    <t>0.2659 +/- 0.0000</t>
  </si>
  <si>
    <t>0.5644 +/- 0.0171</t>
  </si>
  <si>
    <t>0.5810 +/- 0.0096</t>
  </si>
  <si>
    <t>0.5688 +/- 0.0168</t>
  </si>
  <si>
    <t>0.5466 +/- 0.0112</t>
  </si>
  <si>
    <t>0.3670 +/- 0.0069</t>
  </si>
  <si>
    <t>0.1279 +/- 0.0000</t>
  </si>
  <si>
    <t>0.0645 +/- 0.0000</t>
  </si>
  <si>
    <t>0.3770 +/- 0.0092</t>
  </si>
  <si>
    <t>0.3630 +/- 0.0077</t>
  </si>
  <si>
    <t>0.3778 +/- 0.0087</t>
  </si>
  <si>
    <t>0.3635 +/- 0.0109</t>
  </si>
  <si>
    <t>0.6043 +/- 0.0076</t>
  </si>
  <si>
    <t>0.3599 +/- 0.0000</t>
  </si>
  <si>
    <t>0.5636 +/- 0.0288</t>
  </si>
  <si>
    <t>0.5605 +/- 0.0092</t>
  </si>
  <si>
    <t>0.5440 +/- 0.0140</t>
  </si>
  <si>
    <t>0.5405 +/- 0.0152</t>
  </si>
  <si>
    <t>0.3173 +/- 0.0058</t>
  </si>
  <si>
    <t>0.1833 +/- 0.0000</t>
  </si>
  <si>
    <t>0.1704 +/- 0.0000</t>
  </si>
  <si>
    <t>0.3255 +/- 0.0068</t>
  </si>
  <si>
    <t>0.3117 +/- 0.0069</t>
  </si>
  <si>
    <t>0.3162 +/- 0.0089</t>
  </si>
  <si>
    <t>0.3276 +/- 0.0143</t>
  </si>
  <si>
    <t>0.2732 +/- 0.0070</t>
  </si>
  <si>
    <t>0.1250 +/- 0.0000</t>
  </si>
  <si>
    <t>0.2686 +/- 0.0147</t>
  </si>
  <si>
    <t>0.2837 +/- 0.0084</t>
  </si>
  <si>
    <t>0.2745 +/- 0.0137</t>
  </si>
  <si>
    <t>0.2470 +/- 0.0093</t>
  </si>
  <si>
    <t>0.2622 +/- 0.0075</t>
  </si>
  <si>
    <t>0.2233 +/- 0.0218</t>
  </si>
  <si>
    <t>0.2213 +/- 0.0064</t>
  </si>
  <si>
    <t>0.2111 +/- 0.0094</t>
  </si>
  <si>
    <t>0.2008 +/- 0.0105</t>
  </si>
  <si>
    <t>0.6718 +/- 0.0076</t>
  </si>
  <si>
    <t>0.5930 +/- 0.0000</t>
  </si>
  <si>
    <t>0.6957 +/- 0.0000</t>
  </si>
  <si>
    <t>0.6476 +/- 0.0105</t>
  </si>
  <si>
    <t>0.6254 +/- 0.0057</t>
  </si>
  <si>
    <t>0.6340 +/- 0.0094</t>
  </si>
  <si>
    <t>0.5858 +/- 0.0101</t>
  </si>
  <si>
    <t>0.2996 +/- 0.0094</t>
  </si>
  <si>
    <t>0.2118 +/- 0.0000</t>
  </si>
  <si>
    <t>0.1429 +/- 0.0000</t>
  </si>
  <si>
    <t>0.7791 +/- 0.0025</t>
  </si>
  <si>
    <t>0.2703 +/- 0.0108</t>
  </si>
  <si>
    <t>0.7124 +/- 0.0000</t>
  </si>
  <si>
    <t>0.2664 +/- 0.0076</t>
  </si>
  <si>
    <t>0.4275 +/- 0.0000</t>
  </si>
  <si>
    <t>0.2626 +/- 0.0077</t>
  </si>
  <si>
    <t>0.2256 +/- 0.0074</t>
  </si>
  <si>
    <t>0.7462 +/- 0.0034</t>
  </si>
  <si>
    <t>0.7303 +/- 0.0035</t>
  </si>
  <si>
    <t>0.7432 +/- 0.0048</t>
  </si>
  <si>
    <t>0.6435 +/- 0.0108</t>
  </si>
  <si>
    <t>0.6828 +/- 0.0046</t>
  </si>
  <si>
    <t>0.3978 +/- 0.0000</t>
  </si>
  <si>
    <t>0.3787 +/- 0.0035</t>
  </si>
  <si>
    <t>0.2671 +/- 0.0000</t>
  </si>
  <si>
    <t>0.2275 +/- 0.0000</t>
  </si>
  <si>
    <t>0.3768 +/- 0.0061</t>
  </si>
  <si>
    <t>0.3660 +/- 0.0032</t>
  </si>
  <si>
    <t>0.3658 +/- 0.0063</t>
  </si>
  <si>
    <t>0.3461 +/- 0.0070</t>
  </si>
  <si>
    <t>0.2992 +/- 0.0000</t>
  </si>
  <si>
    <t>0.6698 +/- 0.0132</t>
  </si>
  <si>
    <t>0.6671 +/- 0.0100</t>
  </si>
  <si>
    <t>0.6552 +/- 0.0110</t>
  </si>
  <si>
    <t>0.6081 +/- 0.0111</t>
  </si>
  <si>
    <t>0.2306 +/- 0.0114</t>
  </si>
  <si>
    <t>0.1000 +/- 0.0000</t>
  </si>
  <si>
    <t>0.0800 +/- 0.0000</t>
  </si>
  <si>
    <t>0.1792 +/- 0.0152</t>
  </si>
  <si>
    <t>0.2416 +/- 0.0139</t>
  </si>
  <si>
    <t>0.2123 +/- 0.0147</t>
  </si>
  <si>
    <t>0.2409 +/- 0.0061</t>
  </si>
  <si>
    <t>0.1562 +/- 0.0173</t>
  </si>
  <si>
    <t>0.0400 +/- 0.0000</t>
  </si>
  <si>
    <t>0.0667 +/- 0.0000</t>
  </si>
  <si>
    <t>0.1215 +/- 0.0147</t>
  </si>
  <si>
    <t>0.1205 +/- 0.0020</t>
  </si>
  <si>
    <t>0.1064 +/- 0.0100</t>
  </si>
  <si>
    <t>0.0837 +/- 0.0073</t>
  </si>
  <si>
    <t>0.2696 +/- 0.0059</t>
  </si>
  <si>
    <t>0.2344 +/- 0.0000</t>
  </si>
  <si>
    <t>0.2292 +/- 0.0000</t>
  </si>
  <si>
    <t>0.2410 +/- 0.0055</t>
  </si>
  <si>
    <t>0.2232 +/- 0.0040</t>
  </si>
  <si>
    <t>0.2389 +/- 0.0043</t>
  </si>
  <si>
    <t>0.2101 +/- 0.0041</t>
  </si>
  <si>
    <t>0.5672 +/- 0.0042</t>
  </si>
  <si>
    <t>0.5634 +/- 0.0000</t>
  </si>
  <si>
    <t>0.5951 +/- 0.0000</t>
  </si>
  <si>
    <t>0.5535 +/- 0.0084</t>
  </si>
  <si>
    <t>0.5388 +/- 0.0062</t>
  </si>
  <si>
    <t>0.5592 +/- 0.0091</t>
  </si>
  <si>
    <t>0.5654 +/- 0.0044</t>
  </si>
  <si>
    <t>0.2947 +/- 0.0029</t>
  </si>
  <si>
    <t>0.2023 +/- 0.0000</t>
  </si>
  <si>
    <t>0.1651 +/- 0.0000</t>
  </si>
  <si>
    <t>0.2973 +/- 0.0057</t>
  </si>
  <si>
    <t>0.2758 +/- 0.0046</t>
  </si>
  <si>
    <t>0.2927 +/- 0.0028</t>
  </si>
  <si>
    <t>0.2877 +/- 0.0066</t>
  </si>
  <si>
    <t>0.6705 +/- 0.0043</t>
  </si>
  <si>
    <t>0.6312 +/- 0.0000</t>
  </si>
  <si>
    <t>0.7209 +/- 0.0000</t>
  </si>
  <si>
    <t>0.6530 +/- 0.0073</t>
  </si>
  <si>
    <t>0.6172 +/- 0.0039</t>
  </si>
  <si>
    <t>0.6435 +/- 0.0057</t>
  </si>
  <si>
    <t>0.6291 +/- 0.0040</t>
  </si>
  <si>
    <t>0.5434 +/- 0.0059</t>
  </si>
  <si>
    <t>0.4656 +/- 0.0000</t>
  </si>
  <si>
    <t>0.4117 +/- 0.0000</t>
  </si>
  <si>
    <t>0.5320 +/- 0.0114</t>
  </si>
  <si>
    <t>0.4830 +/- 0.0047</t>
  </si>
  <si>
    <t>0.4884 +/- 0.0088</t>
  </si>
  <si>
    <t>0.5179 +/- 0.0039</t>
  </si>
  <si>
    <t>0.6396 +/- 0.0037</t>
  </si>
  <si>
    <t>0.4450 +/- 0.0000</t>
  </si>
  <si>
    <t>0.4386 +/- 0.0000</t>
  </si>
  <si>
    <t>0.6508 +/- 0.0055</t>
  </si>
  <si>
    <t>0.6412 +/- 0.0034</t>
  </si>
  <si>
    <t>0.6381 +/- 0.0067</t>
  </si>
  <si>
    <t>0.6242 +/- 0.0074</t>
  </si>
  <si>
    <t>0.6841 +/- 0.0049</t>
  </si>
  <si>
    <t>0.5864 +/- 0.0000</t>
  </si>
  <si>
    <t>0.8036 +/- 0.0000</t>
  </si>
  <si>
    <t>0.6496 +/- 0.0077</t>
  </si>
  <si>
    <t>0.6025 +/- 0.0046</t>
  </si>
  <si>
    <t>0.6235 +/- 0.0075</t>
  </si>
  <si>
    <t>0.5523 +/- 0.0045</t>
  </si>
  <si>
    <t>0.6685 +/- 0.0040</t>
  </si>
  <si>
    <t>0.6062 +/- 0.0000</t>
  </si>
  <si>
    <t>0.6220 +/- 0.0000</t>
  </si>
  <si>
    <t>0.6610 +/- 0.0078</t>
  </si>
  <si>
    <t>0.6341 +/- 0.0048</t>
  </si>
  <si>
    <t>0.6272 +/- 0.0094</t>
  </si>
  <si>
    <t>0.5431 +/- 0.0058</t>
  </si>
  <si>
    <t>0.4977 +/- 0.0135</t>
  </si>
  <si>
    <t>0.2896 +/- 0.0000</t>
  </si>
  <si>
    <t>0.2528 +/- 0.0000</t>
  </si>
  <si>
    <t>0.4530 +/- 0.0213</t>
  </si>
  <si>
    <t>0.5377 +/- 0.0178</t>
  </si>
  <si>
    <t>0.4957 +/- 0.0194</t>
  </si>
  <si>
    <t>0.5379 +/- 0.0071</t>
  </si>
  <si>
    <t>27.36</t>
  </si>
  <si>
    <t>16.91</t>
  </si>
  <si>
    <t>16.18</t>
  </si>
  <si>
    <t>25.51</t>
  </si>
  <si>
    <t>25.16</t>
  </si>
  <si>
    <t>25.30</t>
  </si>
  <si>
    <t>24.54</t>
  </si>
  <si>
    <t>0.6297 +/- 0.0027</t>
  </si>
  <si>
    <t>0.5840 +/- 0.0000</t>
  </si>
  <si>
    <t>0.7421 +/- 0.0000</t>
  </si>
  <si>
    <t>0.6360 +/- 0.0062</t>
  </si>
  <si>
    <t>0.6015 +/- 0.0028</t>
  </si>
  <si>
    <t>0.6200 +/- 0.0050</t>
  </si>
  <si>
    <t>0.6136 +/- 0.0024</t>
  </si>
  <si>
    <t>0.6559 +/- 0.0097</t>
  </si>
  <si>
    <t>0.6124 +/- 0.0000</t>
  </si>
  <si>
    <t>0.6837 +/- 0.0000</t>
  </si>
  <si>
    <t>0.6326 +/- 0.0125</t>
  </si>
  <si>
    <t>0.5918 +/- 0.0092</t>
  </si>
  <si>
    <t>0.6064 +/- 0.0114</t>
  </si>
  <si>
    <t>0.5629 +/- 0.0055</t>
  </si>
  <si>
    <t>0.4186 +/- 0.0000</t>
  </si>
  <si>
    <t>0.6818 +/- 0.0000</t>
  </si>
  <si>
    <t>0.7732 +/- 0.0034</t>
  </si>
  <si>
    <t>0.7537 +/- 0.0000</t>
  </si>
  <si>
    <t>0.8164 +/- 0.0000</t>
  </si>
  <si>
    <t>0.7419 +/- 0.0104</t>
  </si>
  <si>
    <t>0.7363 +/- 0.0050</t>
  </si>
  <si>
    <t>0.7472 +/- 0.0071</t>
  </si>
  <si>
    <t>0.6482 +/- 0.0051</t>
  </si>
  <si>
    <t>0.4898 +/- 0.0000</t>
  </si>
  <si>
    <t>0.4348 +/- 0.0000</t>
  </si>
  <si>
    <t>0.7617 +/- 0.0086</t>
  </si>
  <si>
    <t>0.6877 +/- 0.0000</t>
  </si>
  <si>
    <t>0.6648 +/- 0.0000</t>
  </si>
  <si>
    <t>0.6976 +/- 0.0100</t>
  </si>
  <si>
    <t>0.6923 +/- 0.0070</t>
  </si>
  <si>
    <t>0.7012 +/- 0.0064</t>
  </si>
  <si>
    <t>0.5332 +/- 0.0074</t>
  </si>
  <si>
    <t>0.5300 +/- 0.0121</t>
  </si>
  <si>
    <t>0.5000 +/- 0.0000</t>
  </si>
  <si>
    <t>0.6162 +/- 0.0000</t>
  </si>
  <si>
    <t>0.5223 +/- 0.0195</t>
  </si>
  <si>
    <t>0.5233 +/- 0.0104</t>
  </si>
  <si>
    <t>0.5253 +/- 0.0131</t>
  </si>
  <si>
    <t>0.4972 +/- 0.0154</t>
  </si>
  <si>
    <t>0.6071 +/- 0.0025</t>
  </si>
  <si>
    <t>0.5916 +/- 0.0000</t>
  </si>
  <si>
    <t>0.5835 +/- 0.0000</t>
  </si>
  <si>
    <t>0.5893 +/- 0.0062</t>
  </si>
  <si>
    <t>0.5840 +/- 0.0038</t>
  </si>
  <si>
    <t>0.5920 +/- 0.0047</t>
  </si>
  <si>
    <t>0.5351 +/- 0.0031</t>
  </si>
  <si>
    <t>0.4258 +/- 0.0243</t>
  </si>
  <si>
    <t>0.1891 +/- 0.0000</t>
  </si>
  <si>
    <t>0.2614 +/- 0.0000</t>
  </si>
  <si>
    <t>0.3860 +/- 0.0251</t>
  </si>
  <si>
    <t>0.3913 +/- 0.0016</t>
  </si>
  <si>
    <t>0.3600 +/- 0.0155</t>
  </si>
  <si>
    <t>0.3362 +/- 0.0143</t>
  </si>
  <si>
    <t>0.4265 +/- 0.0072</t>
  </si>
  <si>
    <t>0.4234 +/- 0.0000</t>
  </si>
  <si>
    <t>0.4518 +/- 0.0000</t>
  </si>
  <si>
    <t>0.4228 +/- 0.0128</t>
  </si>
  <si>
    <t>0.4248 +/- 0.0054</t>
  </si>
  <si>
    <t>0.4258 +/- 0.0088</t>
  </si>
  <si>
    <t>0.4069 +/- 0.0102</t>
  </si>
  <si>
    <t>0.6058 +/- 0.0049</t>
  </si>
  <si>
    <t>0.4980 +/- 0.0000</t>
  </si>
  <si>
    <t>0.4366 +/- 0.0000</t>
  </si>
  <si>
    <t>0.6183 +/- 0.0070</t>
  </si>
  <si>
    <t>0.6003 +/- 0.0057</t>
  </si>
  <si>
    <t>0.6141 +/- 0.0063</t>
  </si>
  <si>
    <t>0.5985 +/- 0.0062</t>
  </si>
  <si>
    <t>0.5614 +/- 0.0027</t>
  </si>
  <si>
    <t>0.4198 +/- 0.0000</t>
  </si>
  <si>
    <t>0.3557 +/- 0.0000</t>
  </si>
  <si>
    <t>0.6070 +/- 0.0065</t>
  </si>
  <si>
    <t>67.22</t>
  </si>
  <si>
    <t>0.5886 +/- 0.0053</t>
  </si>
  <si>
    <t>63.15</t>
  </si>
  <si>
    <t>0.6027 +/- 0.0025</t>
  </si>
  <si>
    <t>60.61</t>
  </si>
  <si>
    <t>0.6074 +/- 0.0074</t>
  </si>
  <si>
    <t>64.89</t>
  </si>
  <si>
    <t>62.75</t>
  </si>
  <si>
    <t>64.15</t>
  </si>
  <si>
    <t>59.35</t>
  </si>
  <si>
    <t>8/1/11</t>
  </si>
  <si>
    <t>55/2/9</t>
  </si>
  <si>
    <t>45/0/21</t>
  </si>
  <si>
    <t>51/2/13</t>
  </si>
  <si>
    <t>53/2/11</t>
  </si>
  <si>
    <t>55.75</t>
  </si>
  <si>
    <t>35.94</t>
  </si>
  <si>
    <t>36.57</t>
  </si>
  <si>
    <t>55.72</t>
  </si>
  <si>
    <t>55.33</t>
  </si>
  <si>
    <t>55.08</t>
  </si>
  <si>
    <t>55.57</t>
  </si>
  <si>
    <t>0.5145 +/- 0.0000</t>
  </si>
  <si>
    <t>0.7358 +/- 0.0000</t>
  </si>
  <si>
    <t>0.4855 +/- 0.0136</t>
  </si>
  <si>
    <t>0.2742 +/- 0.0000</t>
  </si>
  <si>
    <t>0.5987 +/- 0.0000</t>
  </si>
  <si>
    <t>0.6200 +/- 0.0000</t>
  </si>
  <si>
    <t>0.5293 +/- 0.0178</t>
  </si>
  <si>
    <t>0.5112 +/- 0.0163</t>
  </si>
  <si>
    <t>0.5774 +/- 0.0000</t>
  </si>
  <si>
    <t>0.5273 +/- 0.0197</t>
  </si>
  <si>
    <t>0.4810 +/- 0.0132</t>
  </si>
  <si>
    <t>0.5827 +/- 0.0095</t>
  </si>
  <si>
    <t>0.5563 +/- 0.0000</t>
  </si>
  <si>
    <t>0.6324 +/- 0.0000</t>
  </si>
  <si>
    <t>0.5757 +/- 0.0158</t>
  </si>
  <si>
    <t>0.5729 +/- 0.0077</t>
  </si>
  <si>
    <t>0.5781 +/- 0.0111</t>
  </si>
  <si>
    <t>0.5578 +/- 0.0118</t>
  </si>
  <si>
    <t>0.6563 +/- 0.0265</t>
  </si>
  <si>
    <t>0.3448 +/- 0.0000</t>
  </si>
  <si>
    <t>0.4667 +/- 0.0000</t>
  </si>
  <si>
    <t>0.5616 +/- 0.0291</t>
  </si>
  <si>
    <t>0.5385 +/- 0.0207</t>
  </si>
  <si>
    <t>0.5323 +/- 0.0226</t>
  </si>
  <si>
    <t>0.4813 +/- 0.0391</t>
  </si>
  <si>
    <t>0.5697 +/- 0.0061</t>
  </si>
  <si>
    <t>0.5658 +/- 0.0000</t>
  </si>
  <si>
    <t>0.5667 +/- 0.0000</t>
  </si>
  <si>
    <t>0.5658 +/- 0.0106</t>
  </si>
  <si>
    <t>0.5638 +/- 0.0048</t>
  </si>
  <si>
    <t>0.5678 +/- 0.0073</t>
  </si>
  <si>
    <t>0.5536 +/- 0.0087</t>
  </si>
  <si>
    <t>0.5584 +/- 0.0107</t>
  </si>
  <si>
    <t>0.3965 +/- 0.0000</t>
  </si>
  <si>
    <t>0.6478 +/- 0.0000</t>
  </si>
  <si>
    <t>0.5838 +/- 0.0158</t>
  </si>
  <si>
    <t>0.5677 +/- 0.0153</t>
  </si>
  <si>
    <t>0.5805 +/- 0.0197</t>
  </si>
  <si>
    <t>0.5402 +/- 0.0118</t>
  </si>
  <si>
    <t>0.7147 +/- 0.0216</t>
  </si>
  <si>
    <t>0.4625 +/- 0.0000</t>
  </si>
  <si>
    <t>0.5557 +/- 0.0000</t>
  </si>
  <si>
    <t>0.6228 +/- 0.0250</t>
  </si>
  <si>
    <t>0.6054 +/- 0.0169</t>
  </si>
  <si>
    <t>0.5986 +/- 0.0197</t>
  </si>
  <si>
    <t>0.5712 +/- 0.0313</t>
  </si>
  <si>
    <t>50.11</t>
  </si>
  <si>
    <t>40.85</t>
  </si>
  <si>
    <t>54.17</t>
  </si>
  <si>
    <t>3/0/3</t>
  </si>
  <si>
    <t>49.07</t>
  </si>
  <si>
    <t>48.44</t>
  </si>
  <si>
    <t>48.65</t>
  </si>
  <si>
    <t>46.25</t>
  </si>
  <si>
    <t>59.33</t>
  </si>
  <si>
    <t>51.92</t>
  </si>
  <si>
    <t>58.04</t>
  </si>
  <si>
    <t>57.41</t>
  </si>
  <si>
    <t>57.66</t>
  </si>
  <si>
    <t>55.95</t>
  </si>
  <si>
    <t>0.0940 +/- 0.0032</t>
  </si>
  <si>
    <t>0.1818 +/- 0.0000</t>
  </si>
  <si>
    <t>0.0972 +/- 0.0148</t>
  </si>
  <si>
    <t>0.0938 +/- 0.0027</t>
  </si>
  <si>
    <t>0.0981 +/- 0.0161</t>
  </si>
  <si>
    <t>0.1321 +/- 0.0425</t>
  </si>
  <si>
    <t>0.3115 +/- 0.0026</t>
  </si>
  <si>
    <t>0.3471 +/- 0.0000</t>
  </si>
  <si>
    <t>0.3161 +/- 0.0230</t>
  </si>
  <si>
    <t>0.3114 +/- 0.0022</t>
  </si>
  <si>
    <t>0.3168 +/- 0.0238</t>
  </si>
  <si>
    <t>0.3556 +/- 0.0584</t>
  </si>
  <si>
    <t>0.4117 +/- 0.0297</t>
  </si>
  <si>
    <t>0.2963 +/- 0.0000</t>
  </si>
  <si>
    <t>0.4167 +/- 0.0316</t>
  </si>
  <si>
    <t>0.4141 +/- 0.0213</t>
  </si>
  <si>
    <t>0.4011 +/- 0.0201</t>
  </si>
  <si>
    <t>0.3579 +/- 0.0156</t>
  </si>
  <si>
    <t>0.5948 +/- 0.0267</t>
  </si>
  <si>
    <t>0.4394 +/- 0.0000</t>
  </si>
  <si>
    <t>0.5989 +/- 0.0237</t>
  </si>
  <si>
    <t>0.5966 +/- 0.0175</t>
  </si>
  <si>
    <t>0.5845 +/- 0.0164</t>
  </si>
  <si>
    <t>0.5472 +/- 0.0116</t>
  </si>
  <si>
    <t>0.4679 +/- 0.0486</t>
  </si>
  <si>
    <t>0.4719 +/- 0.0437</t>
  </si>
  <si>
    <t>0.4734 +/- 0.0433</t>
  </si>
  <si>
    <t>0.6287 +/- 0.0409</t>
  </si>
  <si>
    <t>0.4947 +/- 0.0194</t>
  </si>
  <si>
    <t>0.3629 +/- 0.0721</t>
  </si>
  <si>
    <t>0.6320 +/- 0.0378</t>
  </si>
  <si>
    <t>0.6340 +/- 0.0366</t>
  </si>
  <si>
    <t>0.6508 +/- 0.0162</t>
  </si>
  <si>
    <t>0.5282 +/- 0.0632</t>
  </si>
  <si>
    <t>0.4966 +/- 0.0285</t>
  </si>
  <si>
    <t>0.4340 +/- 0.0000</t>
  </si>
  <si>
    <t>0.5753 +/- 0.0000</t>
  </si>
  <si>
    <t>0.4913 +/- 0.0305</t>
  </si>
  <si>
    <t>0.4979 +/- 0.0354</t>
  </si>
  <si>
    <t>0.4970 +/- 0.0282</t>
  </si>
  <si>
    <t>0.5536 +/- 0.0135</t>
  </si>
  <si>
    <t>0.2426 +/- 0.0253</t>
  </si>
  <si>
    <t>0.2609 +/- 0.0000</t>
  </si>
  <si>
    <t>0.2979 +/- 0.0000</t>
  </si>
  <si>
    <t>0.2358 +/- 0.0274</t>
  </si>
  <si>
    <t>0.2440 +/- 0.0331</t>
  </si>
  <si>
    <t>0.2408 +/- 0.0243</t>
  </si>
  <si>
    <t>0.2949 +/- 0.0146</t>
  </si>
  <si>
    <t>0.5689 +/- 0.0412</t>
  </si>
  <si>
    <t>0.4319 +/- 0.0000</t>
  </si>
  <si>
    <t>0.3021 +/- 0.0000</t>
  </si>
  <si>
    <t>0.5732 +/- 0.0398</t>
  </si>
  <si>
    <t>0.5317 +/- 0.0351</t>
  </si>
  <si>
    <t>0.5710 +/- 0.0410</t>
  </si>
  <si>
    <t>0.5568 +/- 0.0415</t>
  </si>
  <si>
    <t>0.2224 +/- 0.0288</t>
  </si>
  <si>
    <t>0.2196 +/- 0.0277</t>
  </si>
  <si>
    <t>0.1949 +/- 0.0251</t>
  </si>
  <si>
    <t>0.2229 +/- 0.0285</t>
  </si>
  <si>
    <t>0.2047 +/- 0.0290</t>
  </si>
  <si>
    <t>0.6213 +/- 0.0122</t>
  </si>
  <si>
    <t>0.6311 +/- 0.0000</t>
  </si>
  <si>
    <t>0.4068 +/- 0.0000</t>
  </si>
  <si>
    <t>0.6179 +/- 0.0075</t>
  </si>
  <si>
    <t>0.6242 +/- 0.0054</t>
  </si>
  <si>
    <t>0.6205 +/- 0.0118</t>
  </si>
  <si>
    <t>0.5596 +/- 0.0412</t>
  </si>
  <si>
    <t>0.4427 +/- 0.0160</t>
  </si>
  <si>
    <t>0.4615 +/- 0.0000</t>
  </si>
  <si>
    <t>0.2051 +/- 0.0000</t>
  </si>
  <si>
    <t>0.4287 +/- 0.0141</t>
  </si>
  <si>
    <t>0.4431 +/- 0.0140</t>
  </si>
  <si>
    <t>0.4388 +/- 0.0181</t>
  </si>
  <si>
    <t>0.3630 +/- 0.0466</t>
  </si>
  <si>
    <t>0.7324 +/- 0.0028</t>
  </si>
  <si>
    <t>0.7470 +/- 0.0000</t>
  </si>
  <si>
    <t>0.8018 +/- 0.0000</t>
  </si>
  <si>
    <t>0.7417 +/- 0.0241</t>
  </si>
  <si>
    <t>0.7319 +/- 0.0000</t>
  </si>
  <si>
    <t>0.6809 +/- 0.0932</t>
  </si>
  <si>
    <t>0.6299 +/- 0.0173</t>
  </si>
  <si>
    <t>0.5568 +/- 0.0000</t>
  </si>
  <si>
    <t>0.4575 +/- 0.0000</t>
  </si>
  <si>
    <t>0.6165 +/- 0.0093</t>
  </si>
  <si>
    <t>0.6282 +/- 0.0091</t>
  </si>
  <si>
    <t>0.6291 +/- 0.0167</t>
  </si>
  <si>
    <t>0.5394 +/- 0.0403</t>
  </si>
  <si>
    <t>0.5895 +/- 0.0067</t>
  </si>
  <si>
    <t>0.6250 +/- 0.0000</t>
  </si>
  <si>
    <t>0.6667 +/- 0.0000</t>
  </si>
  <si>
    <t>0.5999 +/- 0.0275</t>
  </si>
  <si>
    <t>0.5882 +/- 0.0000</t>
  </si>
  <si>
    <t>0.5559 +/- 0.1114</t>
  </si>
  <si>
    <t>0.6853 +/- 0.0038</t>
  </si>
  <si>
    <t>0.7520 +/- 0.0000</t>
  </si>
  <si>
    <t>0.3934 +/- 0.0000</t>
  </si>
  <si>
    <t>0.7212 +/- 0.0250</t>
  </si>
  <si>
    <t>0.7276 +/- 0.0159</t>
  </si>
  <si>
    <t>0.7275 +/- 0.0219</t>
  </si>
  <si>
    <t>0.7201 +/- 0.0318</t>
  </si>
  <si>
    <t>0.3971 +/- 0.0205</t>
  </si>
  <si>
    <t>0.3846 +/- 0.0000</t>
  </si>
  <si>
    <t>0.1923 +/- 0.0000</t>
  </si>
  <si>
    <t>0.3712 +/- 0.0131</t>
  </si>
  <si>
    <t>0.3949 +/- 0.0128</t>
  </si>
  <si>
    <t>0.3952 +/- 0.0190</t>
  </si>
  <si>
    <t>0.2936 +/- 0.0431</t>
  </si>
  <si>
    <t>0.7466 +/- 0.0351</t>
  </si>
  <si>
    <t>0.5780 +/- 0.0000</t>
  </si>
  <si>
    <t>0.5897 +/- 0.0000</t>
  </si>
  <si>
    <t>0.6639 +/- 0.0312</t>
  </si>
  <si>
    <t>0.5308 +/- 0.0211</t>
  </si>
  <si>
    <t>0.6440 +/- 0.0372</t>
  </si>
  <si>
    <t>0.4835 +/- 0.0097</t>
  </si>
  <si>
    <t>0.2496 +/- 0.0046</t>
  </si>
  <si>
    <t>0.3750 +/- 0.0000</t>
  </si>
  <si>
    <t>0.0889 +/- 0.0000</t>
  </si>
  <si>
    <t>0.2697 +/- 0.0174</t>
  </si>
  <si>
    <t>0.7964 +/- 0.0190</t>
  </si>
  <si>
    <t>0.2733 +/- 0.0110</t>
  </si>
  <si>
    <t>0.6814 +/- 0.0000</t>
  </si>
  <si>
    <t>0.8345 +/- 0.0000</t>
  </si>
  <si>
    <t>0.2760 +/- 0.0146</t>
  </si>
  <si>
    <t>0.7834 +/- 0.0282</t>
  </si>
  <si>
    <t>0.2689 +/- 0.0224</t>
  </si>
  <si>
    <t>0.7132 +/- 0.0364</t>
  </si>
  <si>
    <t>0.7672 +/- 0.0334</t>
  </si>
  <si>
    <t>0.7452 +/- 0.0195</t>
  </si>
  <si>
    <t>0.4820 +/- 0.0230</t>
  </si>
  <si>
    <t>0.4092 +/- 0.0000</t>
  </si>
  <si>
    <t>0.3838 +/- 0.0000</t>
  </si>
  <si>
    <t>0.4715 +/- 0.0244</t>
  </si>
  <si>
    <t>0.4757 +/- 0.0212</t>
  </si>
  <si>
    <t>0.4676 +/- 0.0252</t>
  </si>
  <si>
    <t>0.4682 +/- 0.0364</t>
  </si>
  <si>
    <t>0.4638 +/- 0.0279</t>
  </si>
  <si>
    <t>0.4000 +/- 0.0000</t>
  </si>
  <si>
    <t>0.3556 +/- 0.0293</t>
  </si>
  <si>
    <t>0.2402 +/- 0.0187</t>
  </si>
  <si>
    <t>0.3391 +/- 0.0340</t>
  </si>
  <si>
    <t>0.1896 +/- 0.0080</t>
  </si>
  <si>
    <t>0.6309 +/- 0.0145</t>
  </si>
  <si>
    <t>0.6378 +/- 0.0000</t>
  </si>
  <si>
    <t>0.6108 +/- 0.0000</t>
  </si>
  <si>
    <t>0.6660 +/- 0.0283</t>
  </si>
  <si>
    <t>0.6532 +/- 0.0304</t>
  </si>
  <si>
    <t>0.6413 +/- 0.0239</t>
  </si>
  <si>
    <t>0.6614 +/- 0.0305</t>
  </si>
  <si>
    <t>0.5714 +/- 0.0000</t>
  </si>
  <si>
    <t>0.5870 +/- 0.0265</t>
  </si>
  <si>
    <t>0.7500 +/- 0.0000</t>
  </si>
  <si>
    <t>0.6317 +/- 0.0469</t>
  </si>
  <si>
    <t>0.5391 +/- 0.0457</t>
  </si>
  <si>
    <t>0.6088 +/- 0.0467</t>
  </si>
  <si>
    <t>0.5666 +/- 0.0281</t>
  </si>
  <si>
    <t>0.7684 +/- 0.0096</t>
  </si>
  <si>
    <t>0.7920 +/- 0.0000</t>
  </si>
  <si>
    <t>0.5661 +/- 0.0000</t>
  </si>
  <si>
    <t>0.7622 +/- 0.0055</t>
  </si>
  <si>
    <t>0.7690 +/- 0.0075</t>
  </si>
  <si>
    <t>0.7675 +/- 0.0089</t>
  </si>
  <si>
    <t>0.6580 +/- 0.0768</t>
  </si>
  <si>
    <t>0.2238 +/- 0.0186</t>
  </si>
  <si>
    <t>0.1875 +/- 0.0000</t>
  </si>
  <si>
    <t>0.1471 +/- 0.0000</t>
  </si>
  <si>
    <t>0.2104 +/- 0.0200</t>
  </si>
  <si>
    <t>0.2139 +/- 0.0168</t>
  </si>
  <si>
    <t>0.2078 +/- 0.0200</t>
  </si>
  <si>
    <t>0.2040 +/- 0.0230</t>
  </si>
  <si>
    <t>0.6978 +/- 0.0340</t>
  </si>
  <si>
    <t>0.6145 +/- 0.0000</t>
  </si>
  <si>
    <t>0.5754 +/- 0.0000</t>
  </si>
  <si>
    <t>0.7184 +/- 0.0329</t>
  </si>
  <si>
    <t>0.7296 +/- 0.0224</t>
  </si>
  <si>
    <t>0.7097 +/- 0.0280</t>
  </si>
  <si>
    <t>0.6533 +/- 0.0261</t>
  </si>
  <si>
    <t>0.2164 +/- 0.0094</t>
  </si>
  <si>
    <t>0.2273 +/- 0.0000</t>
  </si>
  <si>
    <t>0.2581 +/- 0.0000</t>
  </si>
  <si>
    <t>0.2380 +/- 0.0181</t>
  </si>
  <si>
    <t>0.2317 +/- 0.0197</t>
  </si>
  <si>
    <t>0.2232 +/- 0.0144</t>
  </si>
  <si>
    <t>0.1995 +/- 0.0199</t>
  </si>
  <si>
    <t>0.6668 +/- 0.0220</t>
  </si>
  <si>
    <t>0.6163 +/- 0.0000</t>
  </si>
  <si>
    <t>0.3522 +/- 0.0000</t>
  </si>
  <si>
    <t>0.6582 +/- 0.0156</t>
  </si>
  <si>
    <t>0.6726 +/- 0.0153</t>
  </si>
  <si>
    <t>0.6589 +/- 0.0243</t>
  </si>
  <si>
    <t>0.6772 +/- 0.0392</t>
  </si>
  <si>
    <t>0.4677 +/- 0.0199</t>
  </si>
  <si>
    <t>0.5217 +/- 0.0000</t>
  </si>
  <si>
    <t>0.3158 +/- 0.0000</t>
  </si>
  <si>
    <t>0.4548 +/- 0.0108</t>
  </si>
  <si>
    <t>0.4686 +/- 0.0157</t>
  </si>
  <si>
    <t>0.4658 +/- 0.0179</t>
  </si>
  <si>
    <t>0.3614 +/- 0.0679</t>
  </si>
  <si>
    <t>0.5967 +/- 0.0130</t>
  </si>
  <si>
    <t>0.5483 +/- 0.0000</t>
  </si>
  <si>
    <t>0.6140 +/- 0.0000</t>
  </si>
  <si>
    <t>0.5789 +/- 0.0167</t>
  </si>
  <si>
    <t>0.5539 +/- 0.0355</t>
  </si>
  <si>
    <t>0.5632 +/- 0.0317</t>
  </si>
  <si>
    <t>0.5526 +/- 0.0287</t>
  </si>
  <si>
    <t>0.5032 +/- 0.0352</t>
  </si>
  <si>
    <t>0.3462 +/- 0.0000</t>
  </si>
  <si>
    <t>0.5224 +/- 0.0350</t>
  </si>
  <si>
    <t>0.5347 +/- 0.0238</t>
  </si>
  <si>
    <t>0.5160 +/- 0.0297</t>
  </si>
  <si>
    <t>0.4519 +/- 0.0305</t>
  </si>
  <si>
    <t>0.7540 +/- 0.0079</t>
  </si>
  <si>
    <t>0.5157 +/- 0.0000</t>
  </si>
  <si>
    <t>0.7605 +/- 0.0231</t>
  </si>
  <si>
    <t>0.7223 +/- 0.0351</t>
  </si>
  <si>
    <t>0.7401 +/- 0.0326</t>
  </si>
  <si>
    <t>0.4028 +/- 0.0197</t>
  </si>
  <si>
    <t>0.6774 +/- 0.0374</t>
  </si>
  <si>
    <t>0.3684 +/- 0.0000</t>
  </si>
  <si>
    <t>0.1739 +/- 0.0000</t>
  </si>
  <si>
    <t>0.3878 +/- 0.0147</t>
  </si>
  <si>
    <t>0.4030 +/- 0.0150</t>
  </si>
  <si>
    <t>0.3927 +/- 0.0217</t>
  </si>
  <si>
    <t>0.4121 +/- 0.0444</t>
  </si>
  <si>
    <t>0.6150 +/- 0.0171</t>
  </si>
  <si>
    <t>0.3596 +/- 0.0000</t>
  </si>
  <si>
    <t>0.5931 +/- 0.0000</t>
  </si>
  <si>
    <t>0.5743 +/- 0.0280</t>
  </si>
  <si>
    <t>0.5222 +/- 0.0276</t>
  </si>
  <si>
    <t>0.5364 +/- 0.0303</t>
  </si>
  <si>
    <t>0.4202 +/- 0.0242</t>
  </si>
  <si>
    <t>0.2886 +/- 0.0228</t>
  </si>
  <si>
    <t>0.2294 +/- 0.0220</t>
  </si>
  <si>
    <t>0.1855 +/- 0.0000</t>
  </si>
  <si>
    <t>0.0495 +/- 0.0000</t>
  </si>
  <si>
    <t>0.2667 +/- 0.0000</t>
  </si>
  <si>
    <t>0.0875 +/- 0.0523</t>
  </si>
  <si>
    <t>0.2006 +/- 0.0253</t>
  </si>
  <si>
    <t>0.0635 +/- 0.0122</t>
  </si>
  <si>
    <t>0.1865 +/- 0.0216</t>
  </si>
  <si>
    <t>0.0721 +/- 0.0278</t>
  </si>
  <si>
    <t>0.1917 +/- 0.0222</t>
  </si>
  <si>
    <t>0.0253 +/- 0.0107</t>
  </si>
  <si>
    <t>0.1729 +/- 0.0161</t>
  </si>
  <si>
    <t>0.7471 +/- 0.0257</t>
  </si>
  <si>
    <t>0.5901 +/- 0.0000</t>
  </si>
  <si>
    <t>0.5786 +/- 0.0000</t>
  </si>
  <si>
    <t>0.7633 +/- 0.0462</t>
  </si>
  <si>
    <t>0.7276 +/- 0.0160</t>
  </si>
  <si>
    <t>0.7475 +/- 0.0376</t>
  </si>
  <si>
    <t>0.6386 +/- 0.0268</t>
  </si>
  <si>
    <t>0.4400 +/- 0.0143</t>
  </si>
  <si>
    <t>0.4589 +/- 0.0266</t>
  </si>
  <si>
    <t>0.4259 +/- 0.0326</t>
  </si>
  <si>
    <t>0.4398 +/- 0.0321</t>
  </si>
  <si>
    <t>0.3673 +/- 0.0406</t>
  </si>
  <si>
    <t>0.2138 +/- 0.0076</t>
  </si>
  <si>
    <t>0.1569 +/- 0.0000</t>
  </si>
  <si>
    <t>0.2621 +/- 0.0000</t>
  </si>
  <si>
    <t>0.1755 +/- 0.0188</t>
  </si>
  <si>
    <t>0.1647 +/- 0.0166</t>
  </si>
  <si>
    <t>0.1683 +/- 0.0170</t>
  </si>
  <si>
    <t>0.1765 +/- 0.0075</t>
  </si>
  <si>
    <t>0.4000 +/- 0.0192</t>
  </si>
  <si>
    <t>0.1714 +/- 0.0000</t>
  </si>
  <si>
    <t>0.3496 +/- 0.0294</t>
  </si>
  <si>
    <t>0.2942 +/- 0.0270</t>
  </si>
  <si>
    <t>0.3108 +/- 0.0310</t>
  </si>
  <si>
    <t>0.1990 +/- 0.0216</t>
  </si>
  <si>
    <t>0.6099 +/- 0.0300</t>
  </si>
  <si>
    <t>63.85</t>
  </si>
  <si>
    <t>51.47</t>
  </si>
  <si>
    <t>0.4286 +/- 0.0000</t>
  </si>
  <si>
    <t>47.95</t>
  </si>
  <si>
    <t>63.55</t>
  </si>
  <si>
    <t>0.6257 +/- 0.0549</t>
  </si>
  <si>
    <t>61.77</t>
  </si>
  <si>
    <t>0.5767 +/- 0.0235</t>
  </si>
  <si>
    <t>62.86</t>
  </si>
  <si>
    <t>0.6055 +/- 0.0451</t>
  </si>
  <si>
    <t>57.99</t>
  </si>
  <si>
    <t>0.4589 +/- 0.0312</t>
  </si>
  <si>
    <t>0.6733 +/- 0.0072</t>
  </si>
  <si>
    <t>0.6459 +/- 0.0000</t>
  </si>
  <si>
    <t>0.5142 +/- 0.0000</t>
  </si>
  <si>
    <t>0.6289 +/- 0.0115</t>
  </si>
  <si>
    <t>0.6291 +/- 0.0075</t>
  </si>
  <si>
    <t>0.6334 +/- 0.0124</t>
  </si>
  <si>
    <t>0.6256 +/- 0.0094</t>
  </si>
  <si>
    <t>0.6583 +/- 0.0073</t>
  </si>
  <si>
    <t>0.6582 +/- 0.0000</t>
  </si>
  <si>
    <t>0.3602 +/- 0.0000</t>
  </si>
  <si>
    <t>0.6376 +/- 0.0148</t>
  </si>
  <si>
    <t>0.6116 +/- 0.0091</t>
  </si>
  <si>
    <t>0.6309 +/- 0.0111</t>
  </si>
  <si>
    <t>0.6190 +/- 0.0161</t>
  </si>
  <si>
    <t>38.70</t>
  </si>
  <si>
    <t>31.42</t>
  </si>
  <si>
    <t>27.49</t>
  </si>
  <si>
    <t>37.73</t>
  </si>
  <si>
    <t>36.17</t>
  </si>
  <si>
    <t>37.28</t>
  </si>
  <si>
    <t>32.09</t>
  </si>
  <si>
    <t>0.1970 +/- 0.0108</t>
  </si>
  <si>
    <t>0.1150 +/- 0.0000</t>
  </si>
  <si>
    <t>0.2260 +/- 0.0000</t>
  </si>
  <si>
    <t>0.1706 +/- 0.0114</t>
  </si>
  <si>
    <t>0.1420 +/- 0.0068</t>
  </si>
  <si>
    <t>0.1509 +/- 0.0142</t>
  </si>
  <si>
    <t>0.1515 +/- 0.0127</t>
  </si>
  <si>
    <t>0.5403 +/- 0.0067</t>
  </si>
  <si>
    <t>0.5404 +/- 0.0000</t>
  </si>
  <si>
    <t>0.4229 +/- 0.0000</t>
  </si>
  <si>
    <t>0.5189 +/- 0.0080</t>
  </si>
  <si>
    <t>0.4873 +/- 0.0059</t>
  </si>
  <si>
    <t>0.5101 +/- 0.0077</t>
  </si>
  <si>
    <t>0.5234 +/- 0.0091</t>
  </si>
  <si>
    <t>0.4608 +/- 0.0083</t>
  </si>
  <si>
    <t>0.4300 +/- 0.0000</t>
  </si>
  <si>
    <t>0.2957 +/- 0.0000</t>
  </si>
  <si>
    <t>0.4144 +/- 0.0107</t>
  </si>
  <si>
    <t>0.4168 +/- 0.0075</t>
  </si>
  <si>
    <t>0.4184 +/- 0.0120</t>
  </si>
  <si>
    <t>0.4093 +/- 0.0097</t>
  </si>
  <si>
    <t>0.0883 +/- 0.0062</t>
  </si>
  <si>
    <t>-0.0662 +/- 0.0000</t>
  </si>
  <si>
    <t>0.0836 +/- 0.0000</t>
  </si>
  <si>
    <t>0.0440 +/- 0.0172</t>
  </si>
  <si>
    <t>0.0408 +/- 0.0071</t>
  </si>
  <si>
    <t>0.0454 +/- 0.0153</t>
  </si>
  <si>
    <t>-0.0294 +/- 0.0072</t>
  </si>
  <si>
    <t>0.6532 +/- 0.0067</t>
  </si>
  <si>
    <t>0.6509 +/- 0.0000</t>
  </si>
  <si>
    <t>0.3971 +/- 0.0000</t>
  </si>
  <si>
    <t>0.6458 +/- 0.0111</t>
  </si>
  <si>
    <t>0.6277 +/- 0.0064</t>
  </si>
  <si>
    <t>0.6420 +/- 0.0077</t>
  </si>
  <si>
    <t>0.5996 +/- 0.0095</t>
  </si>
  <si>
    <t>0.2620 +/- 0.0060</t>
  </si>
  <si>
    <t>0.2662 +/- 0.0000</t>
  </si>
  <si>
    <t>0.0872 +/- 0.0000</t>
  </si>
  <si>
    <t>0.2435 +/- 0.0105</t>
  </si>
  <si>
    <t>0.2236 +/- 0.0060</t>
  </si>
  <si>
    <t>0.2384 +/- 0.0077</t>
  </si>
  <si>
    <t>0.2328 +/- 0.0111</t>
  </si>
  <si>
    <t>0.1698 +/- 0.0140</t>
  </si>
  <si>
    <t>0.5403 +/- 0.0107</t>
  </si>
  <si>
    <t>0.5027 +/- 0.0000</t>
  </si>
  <si>
    <t>0.1696 +/- 0.0000</t>
  </si>
  <si>
    <t>0.5669 +/- 0.0000</t>
  </si>
  <si>
    <t>-0.0045 +/- 0.0000</t>
  </si>
  <si>
    <t>0.1167 +/- 0.0301</t>
  </si>
  <si>
    <t>0.1364 +/- 0.0178</t>
  </si>
  <si>
    <t>0.1329 +/- 0.0245</t>
  </si>
  <si>
    <t>0.5732 +/- 0.0136</t>
  </si>
  <si>
    <t>0.1110 +/- 0.0135</t>
  </si>
  <si>
    <t>0.2355 +/- 0.0052</t>
  </si>
  <si>
    <t>0.2364 +/- 0.0000</t>
  </si>
  <si>
    <t>0.1537 +/- 0.0000</t>
  </si>
  <si>
    <t>0.2198 +/- 0.0058</t>
  </si>
  <si>
    <t>0.2010 +/- 0.0042</t>
  </si>
  <si>
    <t>0.2141 +/- 0.0053</t>
  </si>
  <si>
    <t>0.2227 +/- 0.0069</t>
  </si>
  <si>
    <t>0.6099 +/- 0.0090</t>
  </si>
  <si>
    <t>0.5956 +/- 0.0145</t>
  </si>
  <si>
    <t>0.6038 +/- 0.0081</t>
  </si>
  <si>
    <t>0.3464 +/- 0.0064</t>
  </si>
  <si>
    <t>0.3499 +/- 0.0000</t>
  </si>
  <si>
    <t>0.1491 +/- 0.0000</t>
  </si>
  <si>
    <t>0.3376 +/- 0.0104</t>
  </si>
  <si>
    <t>0.3190 +/- 0.0055</t>
  </si>
  <si>
    <t>0.3339 +/- 0.0071</t>
  </si>
  <si>
    <t>0.2974 +/- 0.0082</t>
  </si>
  <si>
    <t>0.4428 +/- 0.0136</t>
  </si>
  <si>
    <t>0.3977 +/- 0.0000</t>
  </si>
  <si>
    <t>0.4804 +/- 0.0000</t>
  </si>
  <si>
    <t>0.4818 +/- 0.0175</t>
  </si>
  <si>
    <t>0.5274 +/- 0.0115</t>
  </si>
  <si>
    <t>0.5111 +/- 0.0187</t>
  </si>
  <si>
    <t>0.5188 +/- 0.0103</t>
  </si>
  <si>
    <t>0.2845 +/- 0.0060</t>
  </si>
  <si>
    <t>0.3121 +/- 0.0000</t>
  </si>
  <si>
    <t>0.3474 +/- 0.0000</t>
  </si>
  <si>
    <t>0.2562 +/- 0.0122</t>
  </si>
  <si>
    <t>0.2299 +/- 0.0074</t>
  </si>
  <si>
    <t>0.2576 +/- 0.0096</t>
  </si>
  <si>
    <t>0.2817 +/- 0.0082</t>
  </si>
  <si>
    <t>0.3425 +/- 0.0048</t>
  </si>
  <si>
    <t>0.3179 +/- 0.0000</t>
  </si>
  <si>
    <t>0.3478 +/- 0.0000</t>
  </si>
  <si>
    <t>0.3295 +/- 0.0116</t>
  </si>
  <si>
    <t>0.3145 +/- 0.0062</t>
  </si>
  <si>
    <t>0.3285 +/- 0.0090</t>
  </si>
  <si>
    <t>0.2638 +/- 0.0061</t>
  </si>
  <si>
    <t>0.0619 +/- 0.0156</t>
  </si>
  <si>
    <t>0.1096 +/- 0.0000</t>
  </si>
  <si>
    <t>-0.0517 +/- 0.0000</t>
  </si>
  <si>
    <t>0.0312 +/- 0.0110</t>
  </si>
  <si>
    <t>0.0152 +/- 0.0085</t>
  </si>
  <si>
    <t>0.0355 +/- 0.0105</t>
  </si>
  <si>
    <t>0.0793 +/- 0.0107</t>
  </si>
  <si>
    <t>0.3900 +/- 0.0044</t>
  </si>
  <si>
    <t>0.3497 +/- 0.0000</t>
  </si>
  <si>
    <t>0.3798 +/- 0.0000</t>
  </si>
  <si>
    <t>0.3577 +/- 0.0096</t>
  </si>
  <si>
    <t>0.3584 +/- 0.0044</t>
  </si>
  <si>
    <t>0.3680 +/- 0.0060</t>
  </si>
  <si>
    <t>0.3126 +/- 0.0049</t>
  </si>
  <si>
    <t>0.6489 +/- 0.0072</t>
  </si>
  <si>
    <t>0.6056 +/- 0.0000</t>
  </si>
  <si>
    <t>0.4847 +/- 0.0107</t>
  </si>
  <si>
    <t>0.1712 +/- 0.0120</t>
  </si>
  <si>
    <t>0.2500 +/- 0.0000</t>
  </si>
  <si>
    <t>0.1459 +/- 0.0000</t>
  </si>
  <si>
    <t>0.3810 +/- 0.0000</t>
  </si>
  <si>
    <t>0.0059 +/- 0.0000</t>
  </si>
  <si>
    <t>0.5155 +/- 0.0125</t>
  </si>
  <si>
    <t>0.1139 +/- 0.0172</t>
  </si>
  <si>
    <t>0.4956 +/- 0.0103</t>
  </si>
  <si>
    <t>0.5044 +/- 0.0147</t>
  </si>
  <si>
    <t>0.1028 +/- 0.0111</t>
  </si>
  <si>
    <t>0.4710 +/- 0.0067</t>
  </si>
  <si>
    <t>0.1281 +/- 0.0127</t>
  </si>
  <si>
    <t>0.0892 +/- 0.0094</t>
  </si>
  <si>
    <t>0.6627 +/- 0.0000</t>
  </si>
  <si>
    <t>0.6298 +/- 0.0145</t>
  </si>
  <si>
    <t>0.6101 +/- 0.0106</t>
  </si>
  <si>
    <t>0.5736 +/- 0.0073</t>
  </si>
  <si>
    <t>0.4421 +/- 0.0000</t>
  </si>
  <si>
    <t>0.5407 +/- 0.0074</t>
  </si>
  <si>
    <t>0.5181 +/- 0.0079</t>
  </si>
  <si>
    <t>0.5440 +/- 0.0097</t>
  </si>
  <si>
    <t>0.4728 +/- 0.0055</t>
  </si>
  <si>
    <t>0.6356 +/- 0.0130</t>
  </si>
  <si>
    <t>0.6572 +/- 0.0095</t>
  </si>
  <si>
    <t>0.2827 +/- 0.0070</t>
  </si>
  <si>
    <t>0.2426 +/- 0.0000</t>
  </si>
  <si>
    <t>0.2998 +/- 0.0000</t>
  </si>
  <si>
    <t>0.2649 +/- 0.0102</t>
  </si>
  <si>
    <t>0.2395 +/- 0.0034</t>
  </si>
  <si>
    <t>0.2662 +/- 0.0101</t>
  </si>
  <si>
    <t>0.3576 +/- 0.0028</t>
  </si>
  <si>
    <t>0.3344 +/- 0.0000</t>
  </si>
  <si>
    <t>0.3727 +/- 0.0000</t>
  </si>
  <si>
    <t>0.3346 +/- 0.0085</t>
  </si>
  <si>
    <t>0.3214 +/- 0.0054</t>
  </si>
  <si>
    <t>0.3346 +/- 0.0076</t>
  </si>
  <si>
    <t>0.3382 +/- 0.0038</t>
  </si>
  <si>
    <t>0.3814 +/- 0.0118</t>
  </si>
  <si>
    <t>0.1667 +/- 0.0000</t>
  </si>
  <si>
    <t>0.1286 +/- 0.0000</t>
  </si>
  <si>
    <t>0.4657 +/- 0.0161</t>
  </si>
  <si>
    <t>0.4253 +/- 0.0086</t>
  </si>
  <si>
    <t>0.4377 +/- 0.0141</t>
  </si>
  <si>
    <t>0.4511 +/- 0.0086</t>
  </si>
  <si>
    <t>0.4663 +/- 0.0074</t>
  </si>
  <si>
    <t>0.2656 +/- 0.0000</t>
  </si>
  <si>
    <t>0.3525 +/- 0.0000</t>
  </si>
  <si>
    <t>-0.0984 +/- 0.0107</t>
  </si>
  <si>
    <t>0.4284 +/- 0.0087</t>
  </si>
  <si>
    <t>0.3842 +/- 0.0075</t>
  </si>
  <si>
    <t>-0.1220 +/- 0.0000</t>
  </si>
  <si>
    <t>0.4060 +/- 0.0096</t>
  </si>
  <si>
    <t>0.1030 +/- 0.0000</t>
  </si>
  <si>
    <t>0.3451 +/- 0.0095</t>
  </si>
  <si>
    <t>-0.1657 +/- 0.0182</t>
  </si>
  <si>
    <t>-0.1776 +/- 0.0104</t>
  </si>
  <si>
    <t>-0.1547 +/- 0.0172</t>
  </si>
  <si>
    <t>-0.1396 +/- 0.0072</t>
  </si>
  <si>
    <t>0.2803 +/- 0.0081</t>
  </si>
  <si>
    <t>0.2718 +/- 0.0000</t>
  </si>
  <si>
    <t>0.2626 +/- 0.0000</t>
  </si>
  <si>
    <t>0.2492 +/- 0.0129</t>
  </si>
  <si>
    <t>0.2428 +/- 0.0048</t>
  </si>
  <si>
    <t>0.2380 +/- 0.0121</t>
  </si>
  <si>
    <t>0.1869 +/- 0.0094</t>
  </si>
  <si>
    <t>0.1367 +/- 0.0195</t>
  </si>
  <si>
    <t>0.0824 +/- 0.0000</t>
  </si>
  <si>
    <t>0.1236 +/- 0.0000</t>
  </si>
  <si>
    <t>0.2643 +/- 0.0179</t>
  </si>
  <si>
    <t>0.2808 +/- 0.0129</t>
  </si>
  <si>
    <t>0.2636 +/- 0.0187</t>
  </si>
  <si>
    <t>0.2940 +/- 0.0168</t>
  </si>
  <si>
    <t>0.3571 +/- 0.0042</t>
  </si>
  <si>
    <t>0.2414 +/- 0.0000</t>
  </si>
  <si>
    <t>0.3067 +/- 0.0000</t>
  </si>
  <si>
    <t>0.3209 +/- 0.0089</t>
  </si>
  <si>
    <t>0.2823 +/- 0.0045</t>
  </si>
  <si>
    <t>0.3024 +/- 0.0066</t>
  </si>
  <si>
    <t>0.2953 +/- 0.0035</t>
  </si>
  <si>
    <t>0.2716 +/- 0.0211</t>
  </si>
  <si>
    <t>0.0845 +/- 0.0000</t>
  </si>
  <si>
    <t>0.0588 +/- 0.0000</t>
  </si>
  <si>
    <t>0.3003 +/- 0.0134</t>
  </si>
  <si>
    <t>0.2737 +/- 0.0155</t>
  </si>
  <si>
    <t>0.2846 +/- 0.0237</t>
  </si>
  <si>
    <t>0.2804 +/- 0.0230</t>
  </si>
  <si>
    <t>0.4260 +/- 0.0083</t>
  </si>
  <si>
    <t>0.2564 +/- 0.0000</t>
  </si>
  <si>
    <t>0.2632 +/- 0.0000</t>
  </si>
  <si>
    <t>0.5198 +/- 0.0200</t>
  </si>
  <si>
    <t>0.4986 +/- 0.0125</t>
  </si>
  <si>
    <t>0.5037 +/- 0.0134</t>
  </si>
  <si>
    <t>0.5026 +/- 0.0084</t>
  </si>
  <si>
    <t>0.2651 +/- 0.0084</t>
  </si>
  <si>
    <t>0.0911 +/- 0.0000</t>
  </si>
  <si>
    <t>0.0425 +/- 0.0000</t>
  </si>
  <si>
    <t>0.2763 +/- 0.0116</t>
  </si>
  <si>
    <t>0.2586 +/- 0.0097</t>
  </si>
  <si>
    <t>0.2772 +/- 0.0109</t>
  </si>
  <si>
    <t>0.5539 +/- 0.0085</t>
  </si>
  <si>
    <t>0.2610 +/- 0.0145</t>
  </si>
  <si>
    <t>0.3472 +/- 0.0000</t>
  </si>
  <si>
    <t>0.4507 +/- 0.0000</t>
  </si>
  <si>
    <t>0.4985 +/- 0.0220</t>
  </si>
  <si>
    <t>0.4884 +/- 0.0081</t>
  </si>
  <si>
    <t>0.5076 +/- 0.0122</t>
  </si>
  <si>
    <t>0.4159 +/- 0.0114</t>
  </si>
  <si>
    <t>0.1948 +/- 0.0069</t>
  </si>
  <si>
    <t>0.1223 +/- 0.0000</t>
  </si>
  <si>
    <t>0.1510 +/- 0.0000</t>
  </si>
  <si>
    <t>0.1986 +/- 0.0082</t>
  </si>
  <si>
    <t>0.1823 +/- 0.0086</t>
  </si>
  <si>
    <t>0.1882 +/- 0.0111</t>
  </si>
  <si>
    <t>0.1993 +/- 0.0179</t>
  </si>
  <si>
    <t>0.3614 +/- 0.0130</t>
  </si>
  <si>
    <t>0.3636 +/- 0.0000</t>
  </si>
  <si>
    <t>0.3586 +/- 0.0000</t>
  </si>
  <si>
    <t>0.2838 +/- 0.0122</t>
  </si>
  <si>
    <t>0.2845 +/- 0.0095</t>
  </si>
  <si>
    <t>0.2923 +/- 0.0117</t>
  </si>
  <si>
    <t>0.1837 +/- 0.0127</t>
  </si>
  <si>
    <t>0.1400 +/- 0.0082</t>
  </si>
  <si>
    <t>0.0677 +/- 0.0000</t>
  </si>
  <si>
    <t>0.1518 +/- 0.0000</t>
  </si>
  <si>
    <t>0.1253 +/- 0.0201</t>
  </si>
  <si>
    <t>0.1461 +/- 0.0115</t>
  </si>
  <si>
    <t>0.1340 +/- 0.0183</t>
  </si>
  <si>
    <t>0.0922 +/- 0.0133</t>
  </si>
  <si>
    <t>0.1620 +/- 0.0102</t>
  </si>
  <si>
    <t>-0.0232 +/- 0.0000</t>
  </si>
  <si>
    <t>0.1075 +/- 0.0315</t>
  </si>
  <si>
    <t>0.1047 +/- 0.0091</t>
  </si>
  <si>
    <t>0.0905 +/- 0.0132</t>
  </si>
  <si>
    <t>0.0735 +/- 0.0158</t>
  </si>
  <si>
    <t>0.3161 +/- 0.0051</t>
  </si>
  <si>
    <t>0.2278 +/- 0.0000</t>
  </si>
  <si>
    <t>0.2090 +/- 0.0000</t>
  </si>
  <si>
    <t>0.2653 +/- 0.0086</t>
  </si>
  <si>
    <t>0.2626 +/- 0.0074</t>
  </si>
  <si>
    <t>0.2718 +/- 0.0069</t>
  </si>
  <si>
    <t>0.2305 +/- 0.0041</t>
  </si>
  <si>
    <t>0.2370 +/- 0.0116</t>
  </si>
  <si>
    <t>0.1738 +/- 0.0000</t>
  </si>
  <si>
    <t>0.1399 +/- 0.0000</t>
  </si>
  <si>
    <t>0.2146 +/- 0.0151</t>
  </si>
  <si>
    <t>0.2099 +/- 0.0109</t>
  </si>
  <si>
    <t>0.2020 +/- 0.0112</t>
  </si>
  <si>
    <t>0.1500 +/- 0.0107</t>
  </si>
  <si>
    <t>38.03</t>
  </si>
  <si>
    <t>30.35</t>
  </si>
  <si>
    <t>28.85</t>
  </si>
  <si>
    <t>36.64</t>
  </si>
  <si>
    <t>35.17</t>
  </si>
  <si>
    <t>36.39</t>
  </si>
  <si>
    <t>33.57</t>
  </si>
  <si>
    <t>50/2/14</t>
  </si>
  <si>
    <t>49/0/17</t>
  </si>
  <si>
    <t>46/2/18</t>
  </si>
  <si>
    <t>Dataset</t>
  </si>
  <si>
    <t>Statistic</t>
  </si>
  <si>
    <t>Random Forest</t>
  </si>
  <si>
    <t>--</t>
  </si>
  <si>
    <t>Avg.(%)</t>
  </si>
  <si>
    <t>Avg. (%)</t>
  </si>
  <si>
    <t>Average(%)</t>
  </si>
  <si>
    <t>Logistic Regression</t>
  </si>
  <si>
    <t>No</t>
  </si>
  <si>
    <t>0.2616 +/- 0.0044</t>
  </si>
  <si>
    <t>0.1942 +/- 0.0000</t>
  </si>
  <si>
    <t>0.1118 +/- 0.0000</t>
  </si>
  <si>
    <t>0.2585 +/- 0.0080</t>
  </si>
  <si>
    <t>0.2444 +/- 0.0042</t>
  </si>
  <si>
    <t>0.2443 +/- 0.0081</t>
  </si>
  <si>
    <t>0.2181 +/- 0.0092</t>
  </si>
  <si>
    <t>0.6145 +/- 0.0053</t>
  </si>
  <si>
    <t>0.5527 +/- 0.0000</t>
  </si>
  <si>
    <t>0.5917 +/- 0.0000</t>
  </si>
  <si>
    <t>0.6178 +/- 0.0119</t>
  </si>
  <si>
    <t>0.6194 +/- 0.0067</t>
  </si>
  <si>
    <t>0.6210 +/- 0.0096</t>
  </si>
  <si>
    <t>0.5465 +/- 0.0072</t>
  </si>
  <si>
    <t>0.0863 +/- 0.0141</t>
  </si>
  <si>
    <t>0.6591 +/- 0.0044</t>
  </si>
  <si>
    <t>-0.0251 +/- 0.0000</t>
  </si>
  <si>
    <t>0.5815 +/- 0.0000</t>
  </si>
  <si>
    <t>-0.0376 +/- 0.0000</t>
  </si>
  <si>
    <t>0.6186 +/- 0.0000</t>
  </si>
  <si>
    <t>0.0042 +/- 0.0199</t>
  </si>
  <si>
    <t>0.6362 +/- 0.0098</t>
  </si>
  <si>
    <t>0.0858 +/- 0.0190</t>
  </si>
  <si>
    <t>0.6460 +/- 0.0047</t>
  </si>
  <si>
    <t>0.0492 +/- 0.0193</t>
  </si>
  <si>
    <t>0.6480 +/- 0.0066</t>
  </si>
  <si>
    <t>0.0842 +/- 0.0089</t>
  </si>
  <si>
    <t>0.5900 +/- 0.0051</t>
  </si>
  <si>
    <t>0.5757 +/- 0.0083</t>
  </si>
  <si>
    <t>0.4890 +/- 0.0000</t>
  </si>
  <si>
    <t>0.6010 +/- 0.0098</t>
  </si>
  <si>
    <t>0.5861 +/- 0.0081</t>
  </si>
  <si>
    <t>0.5924 +/- 0.0114</t>
  </si>
  <si>
    <t>0.0333 +/- 0.0210</t>
  </si>
  <si>
    <t>0.5662 +/- 0.0053</t>
  </si>
  <si>
    <t>-0.0571 +/- 0.0000</t>
  </si>
  <si>
    <t>-0.0180 +/- 0.0182</t>
  </si>
  <si>
    <t>-0.0245 +/- 0.0042</t>
  </si>
  <si>
    <t>-0.0366 +/- 0.0138</t>
  </si>
  <si>
    <t>-0.0910 +/- 0.0117</t>
  </si>
  <si>
    <t>0.1992 +/- 0.0070</t>
  </si>
  <si>
    <t>0.1605 +/- 0.0000</t>
  </si>
  <si>
    <t>0.1755 +/- 0.0000</t>
  </si>
  <si>
    <t>0.1694 +/- 0.0075</t>
  </si>
  <si>
    <t>0.1457 +/- 0.0056</t>
  </si>
  <si>
    <t>0.1663 +/- 0.0060</t>
  </si>
  <si>
    <t>0.1298 +/- 0.0062</t>
  </si>
  <si>
    <t>0.7096 +/- 0.0054</t>
  </si>
  <si>
    <t>0.5474 +/- 0.0000</t>
  </si>
  <si>
    <t>0.2903 +/- 0.0000</t>
  </si>
  <si>
    <t>0.7032 +/- 0.0063</t>
  </si>
  <si>
    <t>0.6870 +/- 0.0063</t>
  </si>
  <si>
    <t>0.7047 +/- 0.0067</t>
  </si>
  <si>
    <t>0.6494 +/- 0.0041</t>
  </si>
  <si>
    <t>0.1760 +/- 0.0037</t>
  </si>
  <si>
    <t>0.0939 +/- 0.0000</t>
  </si>
  <si>
    <t>0.0775 +/- 0.0000</t>
  </si>
  <si>
    <t>0.1725 +/- 0.0079</t>
  </si>
  <si>
    <t>0.1421 +/- 0.0066</t>
  </si>
  <si>
    <t>0.1662 +/- 0.0040</t>
  </si>
  <si>
    <t>0.1591 +/- 0.0096</t>
  </si>
  <si>
    <t>0.5414 +/- 0.0060</t>
  </si>
  <si>
    <t>0.4177 +/- 0.0000</t>
  </si>
  <si>
    <t>0.5560 +/- 0.0000</t>
  </si>
  <si>
    <t>0.5396 +/- 0.0102</t>
  </si>
  <si>
    <t>0.5145 +/- 0.0039</t>
  </si>
  <si>
    <t>0.5423 +/- 0.0108</t>
  </si>
  <si>
    <t>0.5536 +/- 0.0073</t>
  </si>
  <si>
    <t>0.6008 +/- 0.0028</t>
  </si>
  <si>
    <t>0.5890 +/- 0.0000</t>
  </si>
  <si>
    <t>0.5906 +/- 0.0075</t>
  </si>
  <si>
    <t>0.5774 +/- 0.0048</t>
  </si>
  <si>
    <t>0.5883 +/- 0.0073</t>
  </si>
  <si>
    <t>0.5934 +/- 0.0034</t>
  </si>
  <si>
    <t>0.4915 +/- 0.0094</t>
  </si>
  <si>
    <t>0.3026 +/- 0.0000</t>
  </si>
  <si>
    <t>0.2628 +/- 0.0000</t>
  </si>
  <si>
    <t>0.5626 +/- 0.0126</t>
  </si>
  <si>
    <t>0.5306 +/- 0.0068</t>
  </si>
  <si>
    <t>0.5405 +/- 0.0112</t>
  </si>
  <si>
    <t>0.5510 +/- 0.0068</t>
  </si>
  <si>
    <t>0.6159 +/- 0.0054</t>
  </si>
  <si>
    <t>0.4021 +/- 0.0000</t>
  </si>
  <si>
    <t>0.4699 +/- 0.0000</t>
  </si>
  <si>
    <t>0.6135 +/- 0.0075</t>
  </si>
  <si>
    <t>0.5822 +/- 0.0068</t>
  </si>
  <si>
    <t>16.28</t>
  </si>
  <si>
    <t>0.5929 +/- 0.0079</t>
  </si>
  <si>
    <t>0.5520 +/- 0.0091</t>
  </si>
  <si>
    <t>8.79</t>
  </si>
  <si>
    <t>7.94</t>
  </si>
  <si>
    <t>13.24</t>
  </si>
  <si>
    <t>12.69</t>
  </si>
  <si>
    <t>13.04</t>
  </si>
  <si>
    <t>11.57</t>
  </si>
  <si>
    <t>0.6042 +/- 0.0094</t>
  </si>
  <si>
    <t>0.4583 +/- 0.0000</t>
  </si>
  <si>
    <t>0.4427 +/- 0.0000</t>
  </si>
  <si>
    <t>0.6098 +/- 0.0172</t>
  </si>
  <si>
    <t>0.6086 +/- 0.0065</t>
  </si>
  <si>
    <t>0.5941 +/- 0.0169</t>
  </si>
  <si>
    <t>0.5365 +/- 0.0145</t>
  </si>
  <si>
    <t>0.0566 +/- 0.0000</t>
  </si>
  <si>
    <t>0.4759 +/- 0.0000</t>
  </si>
  <si>
    <t>0.6130 +/- 0.0039</t>
  </si>
  <si>
    <t>0.4018 +/- 0.0000</t>
  </si>
  <si>
    <t>0.4687 +/- 0.0000</t>
  </si>
  <si>
    <t>0.6031 +/- 0.0086</t>
  </si>
  <si>
    <t>0.5673 +/- 0.0050</t>
  </si>
  <si>
    <t>0.5829 +/- 0.0068</t>
  </si>
  <si>
    <t>0.5827 +/- 0.0042</t>
  </si>
  <si>
    <t>0.5302 +/- 0.0065</t>
  </si>
  <si>
    <t>0.3866 +/- 0.0000</t>
  </si>
  <si>
    <t>0.3907 +/- 0.0000</t>
  </si>
  <si>
    <t>0.6048 +/- 0.0156</t>
  </si>
  <si>
    <t>0.5884 +/- 0.0098</t>
  </si>
  <si>
    <t>0.2207 +/- 0.0000</t>
  </si>
  <si>
    <t>0.5921 +/- 0.0105</t>
  </si>
  <si>
    <t>0.5917 +/- 0.0067</t>
  </si>
  <si>
    <t>0.1750 +/- 0.0000</t>
  </si>
  <si>
    <t>0.6939 +/- 0.0060</t>
  </si>
  <si>
    <t>0.4686 +/- 0.0000</t>
  </si>
  <si>
    <t>0.5524 +/- 0.0000</t>
  </si>
  <si>
    <t>0.6920 +/- 0.0163</t>
  </si>
  <si>
    <t>0.6864 +/- 0.0065</t>
  </si>
  <si>
    <t>0.6980 +/- 0.0089</t>
  </si>
  <si>
    <t>0.6207 +/- 0.0101</t>
  </si>
  <si>
    <t>0.2213 +/- 0.0184</t>
  </si>
  <si>
    <t>0.2706 +/- 0.0000</t>
  </si>
  <si>
    <t>0.2071 +/- 0.0313</t>
  </si>
  <si>
    <t>0.1906 +/- 0.0155</t>
  </si>
  <si>
    <t>0.2110 +/- 0.0263</t>
  </si>
  <si>
    <t>0.1833 +/- 0.0204</t>
  </si>
  <si>
    <t>0.6666 +/- 0.0133</t>
  </si>
  <si>
    <t>0.5231 +/- 0.0000</t>
  </si>
  <si>
    <t>0.6088 +/- 0.0000</t>
  </si>
  <si>
    <t>0.6613 +/- 0.0153</t>
  </si>
  <si>
    <t>0.6609 +/- 0.0096</t>
  </si>
  <si>
    <t>0.6650 +/- 0.0127</t>
  </si>
  <si>
    <t>0.5266 +/- 0.0172</t>
  </si>
  <si>
    <t>0.1480 +/- 0.0093</t>
  </si>
  <si>
    <t>0.1335 +/- 0.0000</t>
  </si>
  <si>
    <t>0.1290 +/- 0.0000</t>
  </si>
  <si>
    <t>0.1382 +/- 0.0160</t>
  </si>
  <si>
    <t>0.1222 +/- 0.0091</t>
  </si>
  <si>
    <t>0.1387 +/- 0.0122</t>
  </si>
  <si>
    <t>0.1306 +/- 0.0134</t>
  </si>
  <si>
    <t>0.5704 +/- 0.0061</t>
  </si>
  <si>
    <t>0.3996 +/- 0.0000</t>
  </si>
  <si>
    <t>0.3799 +/- 0.0000</t>
  </si>
  <si>
    <t>0.5652 +/- 0.0080</t>
  </si>
  <si>
    <t>0.5627 +/- 0.0077</t>
  </si>
  <si>
    <t>0.5706 +/- 0.0063</t>
  </si>
  <si>
    <t>0.5148 +/- 0.0048</t>
  </si>
  <si>
    <t>0.2411 +/- 0.0186</t>
  </si>
  <si>
    <t>0.1170 +/- 0.0000</t>
  </si>
  <si>
    <t>0.3854 +/- 0.0000</t>
  </si>
  <si>
    <t>0.2309 +/- 0.0363</t>
  </si>
  <si>
    <t>0.1962 +/- 0.0360</t>
  </si>
  <si>
    <t>0.2205 +/- 0.0510</t>
  </si>
  <si>
    <t>0.1368 +/- 0.0279</t>
  </si>
  <si>
    <t>0.4634 +/- 0.0512</t>
  </si>
  <si>
    <t>0.2488 +/- 0.0000</t>
  </si>
  <si>
    <t>0.4030 +/- 0.0000</t>
  </si>
  <si>
    <t>0.2429 +/- 0.0497</t>
  </si>
  <si>
    <t>0.2100 +/- 0.0327</t>
  </si>
  <si>
    <t>0.1963 +/- 0.0391</t>
  </si>
  <si>
    <t>0.1778 +/- 0.0537</t>
  </si>
  <si>
    <t>61.01</t>
  </si>
  <si>
    <t>49.57</t>
  </si>
  <si>
    <t>48.17</t>
  </si>
  <si>
    <t>61.17</t>
  </si>
  <si>
    <t>59.97</t>
  </si>
  <si>
    <t>60.90</t>
  </si>
  <si>
    <t>58.02</t>
  </si>
  <si>
    <t>55/0/11</t>
  </si>
  <si>
    <t>35/3/28</t>
  </si>
  <si>
    <t>43/2/21</t>
  </si>
  <si>
    <t>22.52</t>
  </si>
  <si>
    <t>15.72</t>
  </si>
  <si>
    <t>30.65</t>
  </si>
  <si>
    <t>18.27</t>
  </si>
  <si>
    <t>16.60</t>
  </si>
  <si>
    <t>15.10</t>
  </si>
  <si>
    <t>-0.0803 +/- 0.0089</t>
  </si>
  <si>
    <t>0.1386 +/- 0.0000</t>
  </si>
  <si>
    <t>-0.1348 +/- 0.0000</t>
  </si>
  <si>
    <t>-0.0758 +/- 0.0186</t>
  </si>
  <si>
    <t>-0.0808 +/- 0.0077</t>
  </si>
  <si>
    <t>-0.0736 +/- 0.0206</t>
  </si>
  <si>
    <t>-0.0173 +/- 0.0501</t>
  </si>
  <si>
    <t>0.2785 +/- 0.0345</t>
  </si>
  <si>
    <t>-0.0814 +/- 0.0000</t>
  </si>
  <si>
    <t>0.2610 +/- 0.0000</t>
  </si>
  <si>
    <t>0.2840 +/- 0.0403</t>
  </si>
  <si>
    <t>0.2814 +/- 0.0267</t>
  </si>
  <si>
    <t>0.2671 +/- 0.0259</t>
  </si>
  <si>
    <t>0.2164 +/- 0.0221</t>
  </si>
  <si>
    <t>0.3173 +/- 0.0591</t>
  </si>
  <si>
    <t>-0.1296 +/- 0.0000</t>
  </si>
  <si>
    <t>-0.0904 +/- 0.0000</t>
  </si>
  <si>
    <t>0.3227 +/- 0.0514</t>
  </si>
  <si>
    <t>0.3232 +/- 0.0526</t>
  </si>
  <si>
    <t>0.3501 +/- 0.0235</t>
  </si>
  <si>
    <t>0.2131 +/- 0.0816</t>
  </si>
  <si>
    <t>0.0740 +/- 0.0323</t>
  </si>
  <si>
    <t>0.1868 +/- 0.0000</t>
  </si>
  <si>
    <t>0.1345 +/- 0.0000</t>
  </si>
  <si>
    <t>0.0627 +/- 0.0362</t>
  </si>
  <si>
    <t>0.0754 +/- 0.0437</t>
  </si>
  <si>
    <t>0.0695 +/- 0.0310</t>
  </si>
  <si>
    <t>0.1405 +/- 0.0200</t>
  </si>
  <si>
    <t>0.1484 +/- 0.0369</t>
  </si>
  <si>
    <t>0.0434 +/- 0.0000</t>
  </si>
  <si>
    <t>-0.0467 +/- 0.0000</t>
  </si>
  <si>
    <t>0.1454 +/- 0.0361</t>
  </si>
  <si>
    <t>0.1130 +/- 0.0323</t>
  </si>
  <si>
    <t>0.1491 +/- 0.0368</t>
  </si>
  <si>
    <t>0.1261 +/- 0.0383</t>
  </si>
  <si>
    <t>0.3147 +/- 0.0215</t>
  </si>
  <si>
    <t>0.3418 +/- 0.0000</t>
  </si>
  <si>
    <t>0.0281 +/- 0.0000</t>
  </si>
  <si>
    <t>0.2908 +/- 0.0216</t>
  </si>
  <si>
    <t>0.3127 +/- 0.0220</t>
  </si>
  <si>
    <t>0.3077 +/- 0.0256</t>
  </si>
  <si>
    <t>0.2118 +/- 0.0605</t>
  </si>
  <si>
    <t>0.4647 +/- 0.0100</t>
  </si>
  <si>
    <t>0.5179 +/- 0.0000</t>
  </si>
  <si>
    <t>0.5635 +/- 0.0000</t>
  </si>
  <si>
    <t>0.4782 +/- 0.0355</t>
  </si>
  <si>
    <t>0.4629 +/- 0.0000</t>
  </si>
  <si>
    <t>0.4495 +/- 0.1265</t>
  </si>
  <si>
    <t>0.2770 +/- 0.0254</t>
  </si>
  <si>
    <t>-0.0286 +/- 0.0000</t>
  </si>
  <si>
    <t>0.2420 +/- 0.0174</t>
  </si>
  <si>
    <t>0.2743 +/- 0.0166</t>
  </si>
  <si>
    <t>0.2745 +/- 0.0237</t>
  </si>
  <si>
    <t>0.1456 +/- 0.0552</t>
  </si>
  <si>
    <t>0.2083 +/- 0.0057</t>
  </si>
  <si>
    <t>0.3443 +/- 0.0000</t>
  </si>
  <si>
    <t>0.2462 +/- 0.0283</t>
  </si>
  <si>
    <t>0.2531 +/- 0.0177</t>
  </si>
  <si>
    <t>0.2544 +/- 0.0243</t>
  </si>
  <si>
    <t>0.2452 +/- 0.0365</t>
  </si>
  <si>
    <t>0.3904 +/- 0.0477</t>
  </si>
  <si>
    <t>0.2530 +/- 0.0000</t>
  </si>
  <si>
    <t>0.3202 +/- 0.0000</t>
  </si>
  <si>
    <t>0.2477 +/- 0.0400</t>
  </si>
  <si>
    <t>0.0892 +/- 0.0271</t>
  </si>
  <si>
    <t>0.2244 +/- 0.0472</t>
  </si>
  <si>
    <t>-0.0008 +/- 0.0170</t>
  </si>
  <si>
    <t>0.5572 +/- 0.0408</t>
  </si>
  <si>
    <t>0.4781 +/- 0.0000</t>
  </si>
  <si>
    <t>0.5158 +/- 0.0641</t>
  </si>
  <si>
    <t>0.3871 +/- 0.0645</t>
  </si>
  <si>
    <t>0.4844 +/- 0.0641</t>
  </si>
  <si>
    <t>0.4257 +/- 0.0393</t>
  </si>
  <si>
    <t>0.0428 +/- 0.0236</t>
  </si>
  <si>
    <t>0.0354 +/- 0.0000</t>
  </si>
  <si>
    <t>-0.1601 +/- 0.0000</t>
  </si>
  <si>
    <t>0.0170 +/- 0.0280</t>
  </si>
  <si>
    <t>0.0222 +/- 0.0222</t>
  </si>
  <si>
    <t>0.0148 +/- 0.0265</t>
  </si>
  <si>
    <t>0.0077 +/- 0.0325</t>
  </si>
  <si>
    <t>0.1531 +/- 0.0152</t>
  </si>
  <si>
    <t>0.1665 +/- 0.0000</t>
  </si>
  <si>
    <t>0.1930 +/- 0.0000</t>
  </si>
  <si>
    <t>0.1889 +/- 0.0293</t>
  </si>
  <si>
    <t>0.1772 +/- 0.0317</t>
  </si>
  <si>
    <t>0.1641 +/- 0.0241</t>
  </si>
  <si>
    <t>0.1224 +/- 0.0288</t>
  </si>
  <si>
    <t>0.3988 +/- 0.0222</t>
  </si>
  <si>
    <t>0.4584 +/- 0.0000</t>
  </si>
  <si>
    <t>0.2013 +/- 0.0000</t>
  </si>
  <si>
    <t>0.3843 +/- 0.0122</t>
  </si>
  <si>
    <t>0.3998 +/- 0.0175</t>
  </si>
  <si>
    <t>0.3966 +/- 0.0201</t>
  </si>
  <si>
    <t>0.2557 +/- 0.0931</t>
  </si>
  <si>
    <t>0.3753 +/- 0.0444</t>
  </si>
  <si>
    <t>0.2743 +/- 0.0000</t>
  </si>
  <si>
    <t>0.1581 +/- 0.0000</t>
  </si>
  <si>
    <t>0.3990 +/- 0.0451</t>
  </si>
  <si>
    <t>0.4147 +/- 0.0309</t>
  </si>
  <si>
    <t>0.3911 +/- 0.0380</t>
  </si>
  <si>
    <t>0.3091 +/- 0.0391</t>
  </si>
  <si>
    <t>0.2803 +/- 0.0261</t>
  </si>
  <si>
    <t>0.2380 +/- 0.0000</t>
  </si>
  <si>
    <t>0.0837 +/- 0.0000</t>
  </si>
  <si>
    <t>0.2604 +/- 0.0201</t>
  </si>
  <si>
    <t>0.2807 +/- 0.0202</t>
  </si>
  <si>
    <t>0.2670 +/- 0.0289</t>
  </si>
  <si>
    <t>0.2933 +/- 0.0582</t>
  </si>
  <si>
    <t>0.1585 +/- 0.0279</t>
  </si>
  <si>
    <t>0.1929 +/- 0.0000</t>
  </si>
  <si>
    <t>0.2028 +/- 0.0000</t>
  </si>
  <si>
    <t>0.1215 +/- 0.0333</t>
  </si>
  <si>
    <t>0.1026 +/- 0.0305</t>
  </si>
  <si>
    <t>0.1097 +/- 0.0306</t>
  </si>
  <si>
    <t>0.0835 +/- 0.0245</t>
  </si>
  <si>
    <t>0.3674 +/- 0.0163</t>
  </si>
  <si>
    <t>0.0610 +/- 0.0000</t>
  </si>
  <si>
    <t>0.3871 +/- 0.0345</t>
  </si>
  <si>
    <t>0.3401 +/- 0.0450</t>
  </si>
  <si>
    <t>0.3605 +/- 0.0438</t>
  </si>
  <si>
    <t>0.2638 +/- 0.0542</t>
  </si>
  <si>
    <t>0.2382 +/- 0.0251</t>
  </si>
  <si>
    <t>0.0136 +/- 0.0000</t>
  </si>
  <si>
    <t>0.2054 +/- 0.0000</t>
  </si>
  <si>
    <t>0.1673 +/- 0.0390</t>
  </si>
  <si>
    <t>0.0913 +/- 0.0358</t>
  </si>
  <si>
    <t>0.1165 +/- 0.0422</t>
  </si>
  <si>
    <t>-0.0339 +/- 0.0324</t>
  </si>
  <si>
    <t>Group</t>
  </si>
  <si>
    <t>Data</t>
  </si>
  <si>
    <t>Purity</t>
  </si>
  <si>
    <t>ARI</t>
  </si>
  <si>
    <t>NMI</t>
  </si>
  <si>
    <t>CM1</t>
  </si>
  <si>
    <t>87.16 +/- 0.00</t>
  </si>
  <si>
    <t>14.92 +/- 0.00</t>
  </si>
  <si>
    <t>4.04 +/- 0.00</t>
  </si>
  <si>
    <t>MW1</t>
  </si>
  <si>
    <t>0.4925 +/- 0.0396</t>
  </si>
  <si>
    <t>90.04 +/- 0.00</t>
  </si>
  <si>
    <t>0.3649 +/- 0.0000</t>
  </si>
  <si>
    <t>0.2988 +/- 0.0000</t>
  </si>
  <si>
    <t>17.23 +/- 0.27</t>
  </si>
  <si>
    <t>0.5120 +/- 0.0702</t>
  </si>
  <si>
    <t>0.4452 +/- 0.0329</t>
  </si>
  <si>
    <t>0.4850 +/- 0.0590</t>
  </si>
  <si>
    <t>8.79 +/- 0.13</t>
  </si>
  <si>
    <t>0.2851 +/- 0.0413</t>
  </si>
  <si>
    <t>PC1</t>
  </si>
  <si>
    <t>92.10 +/- 0.00</t>
  </si>
  <si>
    <t>18.27 +/- 0.52</t>
  </si>
  <si>
    <t>5.51 +/- 0.26</t>
  </si>
  <si>
    <t>PC3</t>
  </si>
  <si>
    <t>87.70 +/- 0.00</t>
  </si>
  <si>
    <t>-0.46 +/- 0.06</t>
  </si>
  <si>
    <t>0.43 +/- 0.04</t>
  </si>
  <si>
    <t>PC4</t>
  </si>
  <si>
    <t>86.21 +/- 0.00</t>
  </si>
  <si>
    <t>7.36 +/- 0.23</t>
  </si>
  <si>
    <t>1.15 +/- 0.07</t>
  </si>
  <si>
    <t>A</t>
  </si>
  <si>
    <t>58.25 +/- 0.00</t>
  </si>
  <si>
    <t>2.43 +/- 0.00</t>
  </si>
  <si>
    <t>4.85 +/- 0.00</t>
  </si>
  <si>
    <t>S</t>
  </si>
  <si>
    <t>73.21 +/- 0.00</t>
  </si>
  <si>
    <t>19.67 +/- 0.00</t>
  </si>
  <si>
    <t>14.25 +/- 0.00</t>
  </si>
  <si>
    <t>Z</t>
  </si>
  <si>
    <t>70.43 +/- 0.00</t>
  </si>
  <si>
    <t>5.96 +/- 0.00</t>
  </si>
  <si>
    <t>1.72 +/- 0.00</t>
  </si>
  <si>
    <t>AR1</t>
  </si>
  <si>
    <t>92.56 +/- 0.00</t>
  </si>
  <si>
    <t>6.50 +/- 0.25</t>
  </si>
  <si>
    <t>1.97 +/- 0.09</t>
  </si>
  <si>
    <t>AR3</t>
  </si>
  <si>
    <t>90.48 +/- 0.00</t>
  </si>
  <si>
    <t>53.23 +/- 0.00</t>
  </si>
  <si>
    <t>33.97 +/- 0.00</t>
  </si>
  <si>
    <t>AR4</t>
  </si>
  <si>
    <t>85.98 +/- 0.00</t>
  </si>
  <si>
    <t>33.68 +/- 0.00</t>
  </si>
  <si>
    <t>21.10 +/- 0.00</t>
  </si>
  <si>
    <t>AR5</t>
  </si>
  <si>
    <t>86.11 +/- 0.00</t>
  </si>
  <si>
    <t>48.92 +/- 0.00</t>
  </si>
  <si>
    <t>37.27 +/- 0.00</t>
  </si>
  <si>
    <t>AR6</t>
  </si>
  <si>
    <t>85.15 +/- 0.00</t>
  </si>
  <si>
    <t>13.40 +/- 0.00</t>
  </si>
  <si>
    <t>4.66 +/- 0.00</t>
  </si>
  <si>
    <t>EQ</t>
  </si>
  <si>
    <t>64.81 +/- 0.00</t>
  </si>
  <si>
    <t>5.50 +/- 0.00</t>
  </si>
  <si>
    <t>12.49 +/- 0.00</t>
  </si>
  <si>
    <t>JDT</t>
  </si>
  <si>
    <t>84.45 +/- 0.02</t>
  </si>
  <si>
    <t>30.61 +/- 0.12</t>
  </si>
  <si>
    <t>20.56 +/- 0.11</t>
  </si>
  <si>
    <t>LC</t>
  </si>
  <si>
    <t>92.04 +/- 0.00</t>
  </si>
  <si>
    <t>22.42 +/- 0.00</t>
  </si>
  <si>
    <t>19.39 +/- 0.00</t>
  </si>
  <si>
    <t>ML</t>
  </si>
  <si>
    <t>86.84 +/- 0.00</t>
  </si>
  <si>
    <t>16.77 +/- 0.07</t>
  </si>
  <si>
    <t>5.53 +/- 0.05</t>
  </si>
  <si>
    <t>PDE</t>
  </si>
  <si>
    <t>86.04 +/- 0.00</t>
  </si>
  <si>
    <t>21.57 +/- 0.00</t>
  </si>
  <si>
    <t>7.61 +/- 0.00</t>
  </si>
  <si>
    <t>27.29</t>
  </si>
  <si>
    <t>21.69</t>
  </si>
  <si>
    <t>14.41</t>
  </si>
  <si>
    <t>25.99</t>
  </si>
  <si>
    <t>23.83</t>
  </si>
  <si>
    <t>25.38</t>
  </si>
  <si>
    <t>18.71</t>
  </si>
  <si>
    <t>0.2881 +/- 0.0127</t>
  </si>
  <si>
    <t>0.2403 +/- 0.0000</t>
  </si>
  <si>
    <t>0.0363 +/- 0.0000</t>
  </si>
  <si>
    <t>0.2129 +/- 0.0181</t>
  </si>
  <si>
    <t>0.2172 +/- 0.0131</t>
  </si>
  <si>
    <t>0.2198 +/- 0.0202</t>
  </si>
  <si>
    <t>0.2054 +/- 0.0158</t>
  </si>
  <si>
    <t>0.1894 +/- 0.0092</t>
  </si>
  <si>
    <t>0.1922 +/- 0.0000</t>
  </si>
  <si>
    <t>-0.1548 +/- 0.0000</t>
  </si>
  <si>
    <t>0.1629 +/- 0.0181</t>
  </si>
  <si>
    <t>0.1320 +/- 0.0112</t>
  </si>
  <si>
    <t>0.1546 +/- 0.0134</t>
  </si>
  <si>
    <t>0.1418 +/- 0.0188</t>
  </si>
  <si>
    <t>0.0575 +/- 0.0091</t>
  </si>
  <si>
    <t>0.0615 +/- 0.0000</t>
  </si>
  <si>
    <t>-0.0967 +/- 0.0000</t>
  </si>
  <si>
    <t>0.0268 +/- 0.0107</t>
  </si>
  <si>
    <t>-0.0170 +/- 0.0080</t>
  </si>
  <si>
    <t>0.0142 +/- 0.0104</t>
  </si>
  <si>
    <t>0.0361 +/- 0.0119</t>
  </si>
  <si>
    <t>0.2194 +/- 0.0097</t>
  </si>
  <si>
    <t>-0.1401 +/- 0.0000</t>
  </si>
  <si>
    <t>0.2069 +/- 0.0161</t>
  </si>
  <si>
    <t>0.1795 +/- 0.0091</t>
  </si>
  <si>
    <t>0.2014 +/- 0.0111</t>
  </si>
  <si>
    <t>0.1439 +/- 0.0127</t>
  </si>
  <si>
    <t>0.3277 +/- 0.0154</t>
  </si>
  <si>
    <t>0.3243 +/- 0.0000</t>
  </si>
  <si>
    <t>0.3233 +/- 0.0214</t>
  </si>
  <si>
    <t>0.3511 +/- 0.0155</t>
  </si>
  <si>
    <t>0.3626 +/- 0.0205</t>
  </si>
  <si>
    <t>0.3294 +/- 0.0128</t>
  </si>
  <si>
    <t>0.2061 +/- 0.0081</t>
  </si>
  <si>
    <t>0.2315 +/- 0.0000</t>
  </si>
  <si>
    <t>0.2758 +/- 0.0000</t>
  </si>
  <si>
    <t>0.1701 +/- 0.0177</t>
  </si>
  <si>
    <t>0.1347 +/- 0.0121</t>
  </si>
  <si>
    <t>0.1736 +/- 0.0146</t>
  </si>
  <si>
    <t>0.2060 +/- 0.0115</t>
  </si>
  <si>
    <t>0.2227 +/- 0.0061</t>
  </si>
  <si>
    <t>0.2044 +/- 0.0000</t>
  </si>
  <si>
    <t>0.2354 +/- 0.0000</t>
  </si>
  <si>
    <t>0.2043 +/- 0.0153</t>
  </si>
  <si>
    <t>0.1833 +/- 0.0089</t>
  </si>
  <si>
    <t>0.2027 +/- 0.0121</t>
  </si>
  <si>
    <t>0.1175 +/- 0.0079</t>
  </si>
  <si>
    <t>0.2737 +/- 0.0058</t>
  </si>
  <si>
    <t>0.2325 +/- 0.0000</t>
  </si>
  <si>
    <t>0.2651 +/- 0.0000</t>
  </si>
  <si>
    <t>0.2312 +/- 0.0128</t>
  </si>
  <si>
    <t>0.2322 +/- 0.0061</t>
  </si>
  <si>
    <t>0.2449 +/- 0.0080</t>
  </si>
  <si>
    <t>0.1712 +/- 0.0065</t>
  </si>
  <si>
    <t>0.3245 +/- 0.0145</t>
  </si>
  <si>
    <t>0.2417 +/- 0.0000</t>
  </si>
  <si>
    <t>0.3192 +/- 0.0000</t>
  </si>
  <si>
    <t>0.3298 +/- 0.0164</t>
  </si>
  <si>
    <t>0.2852 +/- 0.0137</t>
  </si>
  <si>
    <t>0.3159 +/- 0.0200</t>
  </si>
  <si>
    <t>0.2810 +/- 0.0095</t>
  </si>
  <si>
    <t>0.4657 +/- 0.0095</t>
  </si>
  <si>
    <t>0.4281 +/- 0.0000</t>
  </si>
  <si>
    <t>0.1003 +/- 0.0000</t>
  </si>
  <si>
    <t>0.4124 +/- 0.0097</t>
  </si>
  <si>
    <t>0.3825 +/- 0.0104</t>
  </si>
  <si>
    <t>0.4170 +/- 0.0131</t>
  </si>
  <si>
    <t>0.3255 +/- 0.0075</t>
  </si>
  <si>
    <t>0.1520 +/- 0.0092</t>
  </si>
  <si>
    <t>0.1798 +/- 0.0000</t>
  </si>
  <si>
    <t>0.1741 +/- 0.0000</t>
  </si>
  <si>
    <t>0.1224 +/- 0.0135</t>
  </si>
  <si>
    <t>0.0879 +/- 0.0048</t>
  </si>
  <si>
    <t>0.1235 +/- 0.0132</t>
  </si>
  <si>
    <t>0.1458 +/- 0.0092</t>
  </si>
  <si>
    <t>0.2376 +/- 0.0035</t>
  </si>
  <si>
    <t>0.2888 +/- 0.0000</t>
  </si>
  <si>
    <t>0.2654 +/- 0.0000</t>
  </si>
  <si>
    <t>0.2057 +/- 0.0110</t>
  </si>
  <si>
    <t>0.1893 +/- 0.0070</t>
  </si>
  <si>
    <t>0.2064 +/- 0.0095</t>
  </si>
  <si>
    <t>0.2103 +/- 0.0049</t>
  </si>
  <si>
    <t>0.2790 +/- 0.0135</t>
  </si>
  <si>
    <t>0.1809 +/- 0.0000</t>
  </si>
  <si>
    <t>0.1609 +/- 0.0000</t>
  </si>
  <si>
    <t>0.2507 +/- 0.0220</t>
  </si>
  <si>
    <t>0.1733 +/- 0.0104</t>
  </si>
  <si>
    <t>0.2180 +/- 0.0246</t>
  </si>
  <si>
    <t>0.2050 +/- 0.0108</t>
  </si>
  <si>
    <t>0.3481 +/- 0.0098</t>
  </si>
  <si>
    <t>0.2687 +/- 0.0000</t>
  </si>
  <si>
    <t>0.3758 +/- 0.0000</t>
  </si>
  <si>
    <t>0.2686 +/- 0.0113</t>
  </si>
  <si>
    <t>0.2041 +/- 0.0098</t>
  </si>
  <si>
    <t>0.2423 +/- 0.0127</t>
  </si>
  <si>
    <t>0.1458 +/- 0.0119</t>
  </si>
  <si>
    <t>0.1939 +/- 0.0102</t>
  </si>
  <si>
    <t>0.2247 +/- 0.0000</t>
  </si>
  <si>
    <t>0.2221 +/- 0.0000</t>
  </si>
  <si>
    <t>0.1575 +/- 0.0186</t>
  </si>
  <si>
    <t>0.1495 +/- 0.0071</t>
  </si>
  <si>
    <t>0.1414 +/- 0.0173</t>
  </si>
  <si>
    <t>0.0658 +/- 0.0143</t>
  </si>
  <si>
    <t>0.2335 +/- 0.0053</t>
  </si>
  <si>
    <t>0.2018 +/- 0.0000</t>
  </si>
  <si>
    <t>0.2538 +/- 0.0000</t>
  </si>
  <si>
    <t>0.1813 +/- 0.0122</t>
  </si>
  <si>
    <t>0.1269 +/- 0.0063</t>
  </si>
  <si>
    <t>0.1566 +/- 0.0090</t>
  </si>
  <si>
    <t>0.1446 +/- 0.0048</t>
  </si>
  <si>
    <t>0.2504 +/- 0.0108</t>
  </si>
  <si>
    <t>0.2110 +/- 0.0000</t>
  </si>
  <si>
    <t>0.3255 +/- 0.0263</t>
  </si>
  <si>
    <t>0.2922 +/- 0.0152</t>
  </si>
  <si>
    <t>0.3069 +/- 0.0159</t>
  </si>
  <si>
    <t>0.2715 +/- 0.0135</t>
  </si>
  <si>
    <t>0.4422 +/- 0.0114</t>
  </si>
  <si>
    <t>0.3550 +/- 0.0000</t>
  </si>
  <si>
    <t>0.4417 +/- 0.0000</t>
  </si>
  <si>
    <t>0.3458 +/- 0.0309</t>
  </si>
  <si>
    <t>0.3311 +/- 0.0115</t>
  </si>
  <si>
    <t>0.3590 +/- 0.0170</t>
  </si>
  <si>
    <t>0.2332 +/- 0.0155</t>
  </si>
  <si>
    <t>0.2914 +/- 0.0157</t>
  </si>
  <si>
    <t>0.3360 +/- 0.0000</t>
  </si>
  <si>
    <t>0.2871 +/- 0.0000</t>
  </si>
  <si>
    <t>0.2096 +/- 0.0178</t>
  </si>
  <si>
    <t>0.2101 +/- 0.0129</t>
  </si>
  <si>
    <t>0.2193 +/- 0.0160</t>
  </si>
  <si>
    <t>0.0618 +/- 0.0193</t>
  </si>
  <si>
    <t>0.1945 +/- 0.0059</t>
  </si>
  <si>
    <t>0.1707 +/- 0.0000</t>
  </si>
  <si>
    <t>0.1533 +/- 0.0000</t>
  </si>
  <si>
    <t>0.1125 +/- 0.0135</t>
  </si>
  <si>
    <t>0.1085 +/- 0.0110</t>
  </si>
  <si>
    <t>0.1226 +/- 0.0103</t>
  </si>
  <si>
    <t>0.0690 +/- 0.0059</t>
  </si>
  <si>
    <t>23.98</t>
  </si>
  <si>
    <t>19.22</t>
  </si>
  <si>
    <t>22.30</t>
  </si>
  <si>
    <t>19.77</t>
  </si>
  <si>
    <t>22.01</t>
  </si>
  <si>
    <t>17.55</t>
  </si>
  <si>
    <t>54/2/10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</si>
</sst>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Helvetica Neue"/>
    </font>
    <font>
      <color rgb="FF000000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0" fontId="1" numFmtId="49" xfId="0" applyAlignment="1" applyFont="1" applyNumberFormat="1">
      <alignment horizontal="center" shrinkToFit="0" wrapText="0"/>
    </xf>
    <xf borderId="0" fillId="0" fontId="1" numFmtId="49" xfId="0" applyAlignment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3" numFmtId="49" xfId="0" applyFont="1" applyNumberFormat="1"/>
    <xf borderId="0" fillId="0" fontId="4" numFmtId="0" xfId="0" applyFont="1"/>
    <xf borderId="0" fillId="0" fontId="3" numFmtId="0" xfId="0" applyFont="1"/>
    <xf borderId="0" fillId="0" fontId="1" numFmtId="49" xfId="0" applyAlignment="1" applyFont="1" applyNumberFormat="1">
      <alignment horizontal="left" shrinkToFit="0" wrapText="0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horizontal="center"/>
    </xf>
    <xf borderId="0" fillId="0" fontId="2" numFmtId="49" xfId="0" applyAlignment="1" applyFont="1" applyNumberFormat="1">
      <alignment readingOrder="0" shrinkToFit="0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readingOrder="0" shrinkToFit="0" wrapText="0"/>
    </xf>
    <xf borderId="0" fillId="0" fontId="3" numFmtId="49" xfId="0" applyAlignment="1" applyFont="1" applyNumberFormat="1">
      <alignment horizontal="left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49" xfId="0" applyFont="1" applyNumberFormat="1"/>
    <xf borderId="0" fillId="0" fontId="4" numFmtId="49" xfId="0" applyAlignment="1" applyFont="1" applyNumberFormat="1">
      <alignment readingOrder="0"/>
    </xf>
    <xf borderId="0" fillId="0" fontId="4" numFmtId="49" xfId="0" applyAlignment="1" applyFont="1" applyNumberFormat="1">
      <alignment horizontal="left"/>
    </xf>
    <xf borderId="0" fillId="0" fontId="1" numFmtId="49" xfId="0" applyAlignment="1" applyFont="1" applyNumberFormat="1">
      <alignment readingOrder="0"/>
    </xf>
    <xf borderId="0" fillId="0" fontId="2" numFmtId="49" xfId="0" applyAlignment="1" applyFont="1" applyNumberFormat="1">
      <alignment horizontal="left" readingOrder="0" shrinkToFit="0" wrapText="0"/>
    </xf>
    <xf borderId="0" fillId="0" fontId="1" numFmtId="49" xfId="0" applyAlignment="1" applyFont="1" applyNumberFormat="1">
      <alignment horizontal="left"/>
    </xf>
    <xf borderId="0" fillId="0" fontId="1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readingOrder="0" vertical="bottom"/>
    </xf>
    <xf borderId="0" fillId="0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horizontal="left" readingOrder="0" shrinkToFit="0" wrapText="0"/>
    </xf>
    <xf borderId="0" fillId="0" fontId="4" numFmtId="0" xfId="0" applyAlignment="1" applyFont="1">
      <alignment horizontal="left" readingOrder="0"/>
    </xf>
    <xf borderId="0" fillId="0" fontId="1" numFmtId="49" xfId="0" applyAlignment="1" applyFont="1" applyNumberFormat="1">
      <alignment horizontal="left" shrinkToFit="0" vertical="center" wrapText="0"/>
    </xf>
    <xf borderId="0" fillId="0" fontId="2" numFmtId="49" xfId="0" applyAlignment="1" applyFont="1" applyNumberFormat="1">
      <alignment shrinkToFit="0" wrapText="0"/>
    </xf>
    <xf borderId="0" fillId="0" fontId="3" numFmtId="0" xfId="0" applyAlignment="1" applyFont="1">
      <alignment horizontal="left" readingOrder="0"/>
    </xf>
    <xf borderId="0" fillId="0" fontId="1" numFmtId="49" xfId="0" applyAlignment="1" applyFont="1" applyNumberFormat="1">
      <alignment readingOrder="0" shrinkToFit="0" wrapText="0"/>
    </xf>
    <xf borderId="0" fillId="0" fontId="4" numFmtId="0" xfId="0" applyAlignment="1" applyFont="1">
      <alignment readingOrder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49" xfId="0" applyAlignment="1" applyFont="1" applyNumberFormat="1">
      <alignment horizontal="left" shrinkToFit="0" vertical="center" wrapText="0"/>
    </xf>
    <xf borderId="0" fillId="0" fontId="2" numFmtId="0" xfId="0" applyAlignment="1" applyFont="1">
      <alignment horizontal="left"/>
    </xf>
    <xf borderId="0" fillId="0" fontId="1" numFmtId="0" xfId="0" applyAlignment="1" applyFont="1">
      <alignment readingOrder="0" shrinkToFit="0" wrapText="0"/>
    </xf>
    <xf borderId="0" fillId="0" fontId="1" numFmtId="49" xfId="0" applyAlignment="1" applyFont="1" applyNumberFormat="1">
      <alignment horizontal="center" shrinkToFit="0" vertical="center" wrapText="0"/>
    </xf>
    <xf borderId="0" fillId="0" fontId="2" numFmtId="49" xfId="0" applyAlignment="1" applyFont="1" applyNumberFormat="1">
      <alignment horizontal="left" shrinkToFit="0" wrapText="0"/>
    </xf>
    <xf borderId="0" fillId="0" fontId="2" numFmtId="49" xfId="0" applyFont="1" applyNumberFormat="1"/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wrapText="0"/>
    </xf>
    <xf borderId="0" fillId="0" fontId="1" numFmtId="49" xfId="0" applyFont="1" applyNumberFormat="1"/>
    <xf borderId="0" fillId="0" fontId="1" numFmtId="0" xfId="0" applyAlignment="1" applyFont="1">
      <alignment horizontal="left" shrinkToFit="0" wrapText="0"/>
    </xf>
    <xf borderId="0" fillId="0" fontId="5" numFmtId="10" xfId="0" applyAlignment="1" applyFont="1" applyNumberFormat="1">
      <alignment horizontal="left" vertical="top"/>
    </xf>
    <xf borderId="0" fillId="0" fontId="1" numFmtId="10" xfId="0" applyAlignment="1" applyFont="1" applyNumberFormat="1">
      <alignment horizontal="left"/>
    </xf>
    <xf borderId="0" fillId="0" fontId="2" numFmtId="10" xfId="0" applyAlignment="1" applyFont="1" applyNumberFormat="1">
      <alignment horizontal="left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 readingOrder="0" vertical="top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1">
    <dxf>
      <font>
        <b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2" width="15.25"/>
    <col customWidth="1" min="3" max="3" width="16.0"/>
    <col customWidth="1" min="4" max="5" width="15.63"/>
    <col customWidth="1" min="6" max="6" width="16.38"/>
    <col customWidth="1" min="7" max="7" width="16.0"/>
    <col customWidth="1" min="8" max="8" width="16.5"/>
    <col customWidth="1" min="9" max="9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</row>
    <row r="2">
      <c r="A2" s="4" t="s">
        <v>9</v>
      </c>
      <c r="B2" s="4"/>
      <c r="C2" s="4"/>
      <c r="D2" s="4"/>
      <c r="E2" s="4"/>
      <c r="F2" s="4"/>
      <c r="G2" s="4"/>
      <c r="H2" s="4"/>
      <c r="I2" s="5" t="s">
        <v>9</v>
      </c>
    </row>
    <row r="3">
      <c r="A3" s="6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8" t="str">
        <f t="shared" ref="I3:I24" si="1">A3</f>
        <v>CM1→MW1</v>
      </c>
      <c r="J3" s="9" t="str">
        <f>IFERROR(__xludf.DUMMYFUNCTION("TEXT(VALUE(REGEXEXTRACT(B3,""^[+-]?[0-9]*\.?[0-9]+""))*100,""0.00"")&amp;"" +/- ""&amp;TEXT(VALUE(REGEXEXTRACT(B3,""[0-9]*\.?[0-9]+$""))*100,""0.00"")"),"75.54 +/- 1.03")</f>
        <v>75.54 +/- 1.03</v>
      </c>
      <c r="K3" s="9" t="str">
        <f>IFERROR(__xludf.DUMMYFUNCTION("TEXT(VALUE(REGEXEXTRACT(C3,""^[+-]?[0-9]*\.?[0-9]+""))*100,""0.00"")&amp;"" +/- ""&amp;TEXT(VALUE(REGEXEXTRACT(C3,""[0-9]*\.?[0-9]+$""))*100,""0.00"")"),"72.72 +/- 2.49")</f>
        <v>72.72 +/- 2.49</v>
      </c>
      <c r="L3" s="9" t="str">
        <f>IFERROR(__xludf.DUMMYFUNCTION("TEXT(VALUE(REGEXEXTRACT(D3,""^[+-]?[0-9]*\.?[0-9]+""))*100,""0.00"")&amp;"" +/- ""&amp;TEXT(VALUE(REGEXEXTRACT(D3,""[0-9]*\.?[0-9]+$""))*100,""0.00"")"),"70.75 +/- 1.74")</f>
        <v>70.75 +/- 1.74</v>
      </c>
      <c r="M3" s="10" t="str">
        <f>IFERROR(__xludf.DUMMYFUNCTION("TEXT(VALUE(REGEXEXTRACT(E3,""^[+-]?[0-9]*\.?[0-9]+""))*100,""0.00"")&amp;"" +/- ""&amp;TEXT(VALUE(REGEXEXTRACT(E3,""[0-9]*\.?[0-9]+$""))*100,""0.00"")"),"79.27 +/- 1.60")</f>
        <v>79.27 +/- 1.60</v>
      </c>
      <c r="N3" s="9" t="str">
        <f>IFERROR(__xludf.DUMMYFUNCTION("TEXT(VALUE(REGEXEXTRACT(F3,""^[+-]?[0-9]*\.?[0-9]+""))*100,""0.00"")&amp;"" +/- ""&amp;TEXT(VALUE(REGEXEXTRACT(F3,""[0-9]*\.?[0-9]+$""))*100,""0.00"")"),"78.67 +/- 1.07")</f>
        <v>78.67 +/- 1.07</v>
      </c>
      <c r="O3" s="9" t="str">
        <f>IFERROR(__xludf.DUMMYFUNCTION("TEXT(VALUE(REGEXEXTRACT(G3,""^[+-]?[0-9]*\.?[0-9]+""))*100,""0.00"")&amp;"" +/- ""&amp;TEXT(VALUE(REGEXEXTRACT(G3,""[0-9]*\.?[0-9]+$""))*100,""0.00"")"),"78.15 +/- 1.32")</f>
        <v>78.15 +/- 1.32</v>
      </c>
      <c r="P3" s="9" t="str">
        <f>IFERROR(__xludf.DUMMYFUNCTION("TEXT(VALUE(REGEXEXTRACT(H3,""^[+-]?[0-9]*\.?[0-9]+""))*100,""0.00"")&amp;"" +/- ""&amp;TEXT(VALUE(REGEXEXTRACT(H3,""[0-9]*\.?[0-9]+$""))*100,""0.00"")"),"51.59 +/- 2.34")</f>
        <v>51.59 +/- 2.34</v>
      </c>
    </row>
    <row r="4">
      <c r="A4" s="6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8" t="str">
        <f t="shared" si="1"/>
        <v>CM1→PC1</v>
      </c>
      <c r="J4" s="9" t="str">
        <f>IFERROR(__xludf.DUMMYFUNCTION("TEXT(VALUE(REGEXEXTRACT(B4,""^[+-]?[0-9]*\.?[0-9]+""))*100,""0.00"")&amp;"" +/- ""&amp;TEXT(VALUE(REGEXEXTRACT(B4,""[0-9]*\.?[0-9]+$""))*100,""0.00"")"),"73.77 +/- 0.74")</f>
        <v>73.77 +/- 0.74</v>
      </c>
      <c r="K4" s="10" t="str">
        <f>IFERROR(__xludf.DUMMYFUNCTION("TEXT(VALUE(REGEXEXTRACT(C4,""^[+-]?[0-9]*\.?[0-9]+""))*100,""0.00"")&amp;"" +/- ""&amp;TEXT(VALUE(REGEXEXTRACT(C4,""[0-9]*\.?[0-9]+$""))*100,""0.00"")"),"80.17 +/- 0.78")</f>
        <v>80.17 +/- 0.78</v>
      </c>
      <c r="L4" s="9" t="str">
        <f>IFERROR(__xludf.DUMMYFUNCTION("TEXT(VALUE(REGEXEXTRACT(D4,""^[+-]?[0-9]*\.?[0-9]+""))*100,""0.00"")&amp;"" +/- ""&amp;TEXT(VALUE(REGEXEXTRACT(D4,""[0-9]*\.?[0-9]+$""))*100,""0.00"")"),"79.24 +/- 1.11")</f>
        <v>79.24 +/- 1.11</v>
      </c>
      <c r="M4" s="9" t="str">
        <f>IFERROR(__xludf.DUMMYFUNCTION("TEXT(VALUE(REGEXEXTRACT(E4,""^[+-]?[0-9]*\.?[0-9]+""))*100,""0.00"")&amp;"" +/- ""&amp;TEXT(VALUE(REGEXEXTRACT(E4,""[0-9]*\.?[0-9]+$""))*100,""0.00"")"),"76.57 +/- 1.29")</f>
        <v>76.57 +/- 1.29</v>
      </c>
      <c r="N4" s="9" t="str">
        <f>IFERROR(__xludf.DUMMYFUNCTION("TEXT(VALUE(REGEXEXTRACT(F4,""^[+-]?[0-9]*\.?[0-9]+""))*100,""0.00"")&amp;"" +/- ""&amp;TEXT(VALUE(REGEXEXTRACT(F4,""[0-9]*\.?[0-9]+$""))*100,""0.00"")"),"76.28 +/- 1.05")</f>
        <v>76.28 +/- 1.05</v>
      </c>
      <c r="O4" s="9" t="str">
        <f>IFERROR(__xludf.DUMMYFUNCTION("TEXT(VALUE(REGEXEXTRACT(G4,""^[+-]?[0-9]*\.?[0-9]+""))*100,""0.00"")&amp;"" +/- ""&amp;TEXT(VALUE(REGEXEXTRACT(G4,""[0-9]*\.?[0-9]+$""))*100,""0.00"")"),"76.31 +/- 1.01")</f>
        <v>76.31 +/- 1.01</v>
      </c>
      <c r="P4" s="9" t="str">
        <f>IFERROR(__xludf.DUMMYFUNCTION("TEXT(VALUE(REGEXEXTRACT(H4,""^[+-]?[0-9]*\.?[0-9]+""))*100,""0.00"")&amp;"" +/- ""&amp;TEXT(VALUE(REGEXEXTRACT(H4,""[0-9]*\.?[0-9]+$""))*100,""0.00"")"),"77.33 +/- 1.79")</f>
        <v>77.33 +/- 1.79</v>
      </c>
    </row>
    <row r="5">
      <c r="A5" s="6" t="s">
        <v>26</v>
      </c>
      <c r="B5" s="7" t="s">
        <v>27</v>
      </c>
      <c r="C5" s="7" t="s">
        <v>28</v>
      </c>
      <c r="D5" s="7" t="s">
        <v>29</v>
      </c>
      <c r="E5" s="7" t="s">
        <v>30</v>
      </c>
      <c r="F5" s="7" t="s">
        <v>31</v>
      </c>
      <c r="G5" s="7" t="s">
        <v>32</v>
      </c>
      <c r="H5" s="7" t="s">
        <v>33</v>
      </c>
      <c r="I5" s="8" t="str">
        <f t="shared" si="1"/>
        <v>CM1→PC3</v>
      </c>
      <c r="J5" s="10" t="str">
        <f>IFERROR(__xludf.DUMMYFUNCTION("TEXT(VALUE(REGEXEXTRACT(B5,""^[+-]?[0-9]*\.?[0-9]+""))*100,""0.00"")&amp;"" +/- ""&amp;TEXT(VALUE(REGEXEXTRACT(B5,""[0-9]*\.?[0-9]+$""))*100,""0.00"")"),"77.54 +/- 0.69")</f>
        <v>77.54 +/- 0.69</v>
      </c>
      <c r="K5" s="9" t="str">
        <f>IFERROR(__xludf.DUMMYFUNCTION("TEXT(VALUE(REGEXEXTRACT(C5,""^[+-]?[0-9]*\.?[0-9]+""))*100,""0.00"")&amp;"" +/- ""&amp;TEXT(VALUE(REGEXEXTRACT(C5,""[0-9]*\.?[0-9]+$""))*100,""0.00"")"),"75.76 +/- 0.70")</f>
        <v>75.76 +/- 0.70</v>
      </c>
      <c r="L5" s="9" t="str">
        <f>IFERROR(__xludf.DUMMYFUNCTION("TEXT(VALUE(REGEXEXTRACT(D5,""^[+-]?[0-9]*\.?[0-9]+""))*100,""0.00"")&amp;"" +/- ""&amp;TEXT(VALUE(REGEXEXTRACT(D5,""[0-9]*\.?[0-9]+$""))*100,""0.00"")"),"74.63 +/- 0.80")</f>
        <v>74.63 +/- 0.80</v>
      </c>
      <c r="M5" s="9" t="str">
        <f>IFERROR(__xludf.DUMMYFUNCTION("TEXT(VALUE(REGEXEXTRACT(E5,""^[+-]?[0-9]*\.?[0-9]+""))*100,""0.00"")&amp;"" +/- ""&amp;TEXT(VALUE(REGEXEXTRACT(E5,""[0-9]*\.?[0-9]+$""))*100,""0.00"")"),"74.98 +/- 0.99")</f>
        <v>74.98 +/- 0.99</v>
      </c>
      <c r="N5" s="9" t="str">
        <f>IFERROR(__xludf.DUMMYFUNCTION("TEXT(VALUE(REGEXEXTRACT(F5,""^[+-]?[0-9]*\.?[0-9]+""))*100,""0.00"")&amp;"" +/- ""&amp;TEXT(VALUE(REGEXEXTRACT(F5,""[0-9]*\.?[0-9]+$""))*100,""0.00"")"),"73.42 +/- 0.92")</f>
        <v>73.42 +/- 0.92</v>
      </c>
      <c r="O5" s="9" t="str">
        <f>IFERROR(__xludf.DUMMYFUNCTION("TEXT(VALUE(REGEXEXTRACT(G5,""^[+-]?[0-9]*\.?[0-9]+""))*100,""0.00"")&amp;"" +/- ""&amp;TEXT(VALUE(REGEXEXTRACT(G5,""[0-9]*\.?[0-9]+$""))*100,""0.00"")"),"74.37 +/- 1.36")</f>
        <v>74.37 +/- 1.36</v>
      </c>
      <c r="P5" s="9" t="str">
        <f>IFERROR(__xludf.DUMMYFUNCTION("TEXT(VALUE(REGEXEXTRACT(H5,""^[+-]?[0-9]*\.?[0-9]+""))*100,""0.00"")&amp;"" +/- ""&amp;TEXT(VALUE(REGEXEXTRACT(H5,""[0-9]*\.?[0-9]+$""))*100,""0.00"")"),"73.07 +/- 1.23")</f>
        <v>73.07 +/- 1.23</v>
      </c>
    </row>
    <row r="6">
      <c r="A6" s="6" t="s">
        <v>34</v>
      </c>
      <c r="B6" s="7" t="s">
        <v>35</v>
      </c>
      <c r="C6" s="7" t="s">
        <v>36</v>
      </c>
      <c r="D6" s="7" t="s">
        <v>37</v>
      </c>
      <c r="E6" s="7" t="s">
        <v>38</v>
      </c>
      <c r="F6" s="7" t="s">
        <v>39</v>
      </c>
      <c r="G6" s="7" t="s">
        <v>40</v>
      </c>
      <c r="H6" s="7" t="s">
        <v>41</v>
      </c>
      <c r="I6" s="8" t="str">
        <f t="shared" si="1"/>
        <v>CM1→PC4</v>
      </c>
      <c r="J6" s="9" t="str">
        <f>IFERROR(__xludf.DUMMYFUNCTION("TEXT(VALUE(REGEXEXTRACT(B6,""^[+-]?[0-9]*\.?[0-9]+""))*100,""0.00"")&amp;"" +/- ""&amp;TEXT(VALUE(REGEXEXTRACT(B6,""[0-9]*\.?[0-9]+$""))*100,""0.00"")"),"67.71 +/- 1.15")</f>
        <v>67.71 +/- 1.15</v>
      </c>
      <c r="K6" s="9" t="str">
        <f>IFERROR(__xludf.DUMMYFUNCTION("TEXT(VALUE(REGEXEXTRACT(C6,""^[+-]?[0-9]*\.?[0-9]+""))*100,""0.00"")&amp;"" +/- ""&amp;TEXT(VALUE(REGEXEXTRACT(C6,""[0-9]*\.?[0-9]+$""))*100,""0.00"")"),"66.84 +/- 1.26")</f>
        <v>66.84 +/- 1.26</v>
      </c>
      <c r="L6" s="9" t="str">
        <f>IFERROR(__xludf.DUMMYFUNCTION("TEXT(VALUE(REGEXEXTRACT(D6,""^[+-]?[0-9]*\.?[0-9]+""))*100,""0.00"")&amp;"" +/- ""&amp;TEXT(VALUE(REGEXEXTRACT(D6,""[0-9]*\.?[0-9]+$""))*100,""0.00"")"),"60.27 +/- 1.86")</f>
        <v>60.27 +/- 1.86</v>
      </c>
      <c r="M6" s="9" t="str">
        <f>IFERROR(__xludf.DUMMYFUNCTION("TEXT(VALUE(REGEXEXTRACT(E6,""^[+-]?[0-9]*\.?[0-9]+""))*100,""0.00"")&amp;"" +/- ""&amp;TEXT(VALUE(REGEXEXTRACT(E6,""[0-9]*\.?[0-9]+$""))*100,""0.00"")"),"64.11 +/- 1.87")</f>
        <v>64.11 +/- 1.87</v>
      </c>
      <c r="N6" s="9" t="str">
        <f>IFERROR(__xludf.DUMMYFUNCTION("TEXT(VALUE(REGEXEXTRACT(F6,""^[+-]?[0-9]*\.?[0-9]+""))*100,""0.00"")&amp;"" +/- ""&amp;TEXT(VALUE(REGEXEXTRACT(F6,""[0-9]*\.?[0-9]+$""))*100,""0.00"")"),"67.88 +/- 1.24")</f>
        <v>67.88 +/- 1.24</v>
      </c>
      <c r="O6" s="10" t="str">
        <f>IFERROR(__xludf.DUMMYFUNCTION("TEXT(VALUE(REGEXEXTRACT(G6,""^[+-]?[0-9]*\.?[0-9]+""))*100,""0.00"")&amp;"" +/- ""&amp;TEXT(VALUE(REGEXEXTRACT(G6,""[0-9]*\.?[0-9]+$""))*100,""0.00"")"),"68.19 +/- 1.34")</f>
        <v>68.19 +/- 1.34</v>
      </c>
      <c r="P6" s="9" t="str">
        <f>IFERROR(__xludf.DUMMYFUNCTION("TEXT(VALUE(REGEXEXTRACT(H6,""^[+-]?[0-9]*\.?[0-9]+""))*100,""0.00"")&amp;"" +/- ""&amp;TEXT(VALUE(REGEXEXTRACT(H6,""[0-9]*\.?[0-9]+$""))*100,""0.00"")"),"58.66 +/- 2.20")</f>
        <v>58.66 +/- 2.20</v>
      </c>
    </row>
    <row r="7">
      <c r="A7" s="6" t="s">
        <v>42</v>
      </c>
      <c r="B7" s="7" t="s">
        <v>43</v>
      </c>
      <c r="C7" s="7" t="s">
        <v>44</v>
      </c>
      <c r="D7" s="7" t="s">
        <v>45</v>
      </c>
      <c r="E7" s="7" t="s">
        <v>46</v>
      </c>
      <c r="F7" s="7" t="s">
        <v>47</v>
      </c>
      <c r="G7" s="7" t="s">
        <v>48</v>
      </c>
      <c r="H7" s="7" t="s">
        <v>49</v>
      </c>
      <c r="I7" s="8" t="str">
        <f t="shared" si="1"/>
        <v>MW1→CM1</v>
      </c>
      <c r="J7" s="9" t="str">
        <f>IFERROR(__xludf.DUMMYFUNCTION("TEXT(VALUE(REGEXEXTRACT(B7,""^[+-]?[0-9]*\.?[0-9]+""))*100,""0.00"")&amp;"" +/- ""&amp;TEXT(VALUE(REGEXEXTRACT(B7,""[0-9]*\.?[0-9]+$""))*100,""0.00"")"),"69.80 +/- 1.85")</f>
        <v>69.80 +/- 1.85</v>
      </c>
      <c r="K7" s="9" t="str">
        <f>IFERROR(__xludf.DUMMYFUNCTION("TEXT(VALUE(REGEXEXTRACT(C7,""^[+-]?[0-9]*\.?[0-9]+""))*100,""0.00"")&amp;"" +/- ""&amp;TEXT(VALUE(REGEXEXTRACT(C7,""[0-9]*\.?[0-9]+$""))*100,""0.00"")"),"65.56 +/- 1.52")</f>
        <v>65.56 +/- 1.52</v>
      </c>
      <c r="L7" s="9" t="str">
        <f>IFERROR(__xludf.DUMMYFUNCTION("TEXT(VALUE(REGEXEXTRACT(D7,""^[+-]?[0-9]*\.?[0-9]+""))*100,""0.00"")&amp;"" +/- ""&amp;TEXT(VALUE(REGEXEXTRACT(D7,""[0-9]*\.?[0-9]+$""))*100,""0.00"")"),"54.61 +/- 1.81")</f>
        <v>54.61 +/- 1.81</v>
      </c>
      <c r="M7" s="9" t="str">
        <f>IFERROR(__xludf.DUMMYFUNCTION("TEXT(VALUE(REGEXEXTRACT(E7,""^[+-]?[0-9]*\.?[0-9]+""))*100,""0.00"")&amp;"" +/- ""&amp;TEXT(VALUE(REGEXEXTRACT(E7,""[0-9]*\.?[0-9]+$""))*100,""0.00"")"),"69.45 +/- 1.72")</f>
        <v>69.45 +/- 1.72</v>
      </c>
      <c r="N7" s="9" t="str">
        <f>IFERROR(__xludf.DUMMYFUNCTION("TEXT(VALUE(REGEXEXTRACT(F7,""^[+-]?[0-9]*\.?[0-9]+""))*100,""0.00"")&amp;"" +/- ""&amp;TEXT(VALUE(REGEXEXTRACT(F7,""[0-9]*\.?[0-9]+$""))*100,""0.00"")"),"68.09 +/- 1.55")</f>
        <v>68.09 +/- 1.55</v>
      </c>
      <c r="O7" s="10" t="str">
        <f>IFERROR(__xludf.DUMMYFUNCTION("TEXT(VALUE(REGEXEXTRACT(G7,""^[+-]?[0-9]*\.?[0-9]+""))*100,""0.00"")&amp;"" +/- ""&amp;TEXT(VALUE(REGEXEXTRACT(G7,""[0-9]*\.?[0-9]+$""))*100,""0.00"")"),"69.97 +/- 1.96")</f>
        <v>69.97 +/- 1.96</v>
      </c>
      <c r="P7" s="9" t="str">
        <f>IFERROR(__xludf.DUMMYFUNCTION("TEXT(VALUE(REGEXEXTRACT(H7,""^[+-]?[0-9]*\.?[0-9]+""))*100,""0.00"")&amp;"" +/- ""&amp;TEXT(VALUE(REGEXEXTRACT(H7,""[0-9]*\.?[0-9]+$""))*100,""0.00"")"),"68.79 +/- 0.98")</f>
        <v>68.79 +/- 0.98</v>
      </c>
    </row>
    <row r="8">
      <c r="A8" s="6" t="s">
        <v>50</v>
      </c>
      <c r="B8" s="7" t="s">
        <v>51</v>
      </c>
      <c r="C8" s="7" t="s">
        <v>52</v>
      </c>
      <c r="D8" s="7" t="s">
        <v>53</v>
      </c>
      <c r="E8" s="7" t="s">
        <v>54</v>
      </c>
      <c r="F8" s="7" t="s">
        <v>55</v>
      </c>
      <c r="G8" s="7" t="s">
        <v>56</v>
      </c>
      <c r="H8" s="7" t="s">
        <v>57</v>
      </c>
      <c r="I8" s="8" t="str">
        <f t="shared" si="1"/>
        <v>MW1→PC1</v>
      </c>
      <c r="J8" s="10" t="str">
        <f>IFERROR(__xludf.DUMMYFUNCTION("TEXT(VALUE(REGEXEXTRACT(B8,""^[+-]?[0-9]*\.?[0-9]+""))*100,""0.00"")&amp;"" +/- ""&amp;TEXT(VALUE(REGEXEXTRACT(B8,""[0-9]*\.?[0-9]+$""))*100,""0.00"")"),"75.50 +/- 2.07")</f>
        <v>75.50 +/- 2.07</v>
      </c>
      <c r="K8" s="9" t="str">
        <f>IFERROR(__xludf.DUMMYFUNCTION("TEXT(VALUE(REGEXEXTRACT(C8,""^[+-]?[0-9]*\.?[0-9]+""))*100,""0.00"")&amp;"" +/- ""&amp;TEXT(VALUE(REGEXEXTRACT(C8,""[0-9]*\.?[0-9]+$""))*100,""0.00"")"),"76.42 +/- 2.20")</f>
        <v>76.42 +/- 2.20</v>
      </c>
      <c r="L8" s="9" t="str">
        <f>IFERROR(__xludf.DUMMYFUNCTION("TEXT(VALUE(REGEXEXTRACT(D8,""^[+-]?[0-9]*\.?[0-9]+""))*100,""0.00"")&amp;"" +/- ""&amp;TEXT(VALUE(REGEXEXTRACT(D8,""[0-9]*\.?[0-9]+$""))*100,""0.00"")"),"70.33 +/- 2.11")</f>
        <v>70.33 +/- 2.11</v>
      </c>
      <c r="M8" s="9" t="str">
        <f>IFERROR(__xludf.DUMMYFUNCTION("TEXT(VALUE(REGEXEXTRACT(E8,""^[+-]?[0-9]*\.?[0-9]+""))*100,""0.00"")&amp;"" +/- ""&amp;TEXT(VALUE(REGEXEXTRACT(E8,""[0-9]*\.?[0-9]+$""))*100,""0.00"")"),"75.10 +/- 2.53")</f>
        <v>75.10 +/- 2.53</v>
      </c>
      <c r="N8" s="9" t="str">
        <f>IFERROR(__xludf.DUMMYFUNCTION("TEXT(VALUE(REGEXEXTRACT(F8,""^[+-]?[0-9]*\.?[0-9]+""))*100,""0.00"")&amp;"" +/- ""&amp;TEXT(VALUE(REGEXEXTRACT(F8,""[0-9]*\.?[0-9]+$""))*100,""0.00"")"),"69.85 +/- 3.12")</f>
        <v>69.85 +/- 3.12</v>
      </c>
      <c r="O8" s="9" t="str">
        <f>IFERROR(__xludf.DUMMYFUNCTION("TEXT(VALUE(REGEXEXTRACT(G8,""^[+-]?[0-9]*\.?[0-9]+""))*100,""0.00"")&amp;"" +/- ""&amp;TEXT(VALUE(REGEXEXTRACT(G8,""[0-9]*\.?[0-9]+$""))*100,""0.00"")"),"72.23 +/- 3.05")</f>
        <v>72.23 +/- 3.05</v>
      </c>
      <c r="P8" s="9" t="str">
        <f>IFERROR(__xludf.DUMMYFUNCTION("TEXT(VALUE(REGEXEXTRACT(H8,""^[+-]?[0-9]*\.?[0-9]+""))*100,""0.00"")&amp;"" +/- ""&amp;TEXT(VALUE(REGEXEXTRACT(H8,""[0-9]*\.?[0-9]+$""))*100,""0.00"")"),"74.50 +/- 1.44")</f>
        <v>74.50 +/- 1.44</v>
      </c>
    </row>
    <row r="9">
      <c r="A9" s="6" t="s">
        <v>58</v>
      </c>
      <c r="B9" s="7" t="s">
        <v>59</v>
      </c>
      <c r="C9" s="7" t="s">
        <v>60</v>
      </c>
      <c r="D9" s="7" t="s">
        <v>61</v>
      </c>
      <c r="E9" s="7" t="s">
        <v>62</v>
      </c>
      <c r="F9" s="7" t="s">
        <v>63</v>
      </c>
      <c r="G9" s="7" t="s">
        <v>64</v>
      </c>
      <c r="H9" s="7" t="s">
        <v>65</v>
      </c>
      <c r="I9" s="8" t="str">
        <f t="shared" si="1"/>
        <v>MW1→PC3</v>
      </c>
      <c r="J9" s="10" t="str">
        <f>IFERROR(__xludf.DUMMYFUNCTION("TEXT(VALUE(REGEXEXTRACT(B9,""^[+-]?[0-9]*\.?[0-9]+""))*100,""0.00"")&amp;"" +/- ""&amp;TEXT(VALUE(REGEXEXTRACT(B9,""[0-9]*\.?[0-9]+$""))*100,""0.00"")"),"74.90 +/- 2.45")</f>
        <v>74.90 +/- 2.45</v>
      </c>
      <c r="K9" s="9" t="str">
        <f>IFERROR(__xludf.DUMMYFUNCTION("TEXT(VALUE(REGEXEXTRACT(C9,""^[+-]?[0-9]*\.?[0-9]+""))*100,""0.00"")&amp;"" +/- ""&amp;TEXT(VALUE(REGEXEXTRACT(C9,""[0-9]*\.?[0-9]+$""))*100,""0.00"")"),"65.35 +/- 2.17")</f>
        <v>65.35 +/- 2.17</v>
      </c>
      <c r="L9" s="9" t="str">
        <f>IFERROR(__xludf.DUMMYFUNCTION("TEXT(VALUE(REGEXEXTRACT(D9,""^[+-]?[0-9]*\.?[0-9]+""))*100,""0.00"")&amp;"" +/- ""&amp;TEXT(VALUE(REGEXEXTRACT(D9,""[0-9]*\.?[0-9]+$""))*100,""0.00"")"),"63.66 +/- 2.66")</f>
        <v>63.66 +/- 2.66</v>
      </c>
      <c r="M9" s="9" t="str">
        <f>IFERROR(__xludf.DUMMYFUNCTION("TEXT(VALUE(REGEXEXTRACT(E9,""^[+-]?[0-9]*\.?[0-9]+""))*100,""0.00"")&amp;"" +/- ""&amp;TEXT(VALUE(REGEXEXTRACT(E9,""[0-9]*\.?[0-9]+$""))*100,""0.00"")"),"58.36 +/- 3.41")</f>
        <v>58.36 +/- 3.41</v>
      </c>
      <c r="N9" s="9" t="str">
        <f>IFERROR(__xludf.DUMMYFUNCTION("TEXT(VALUE(REGEXEXTRACT(F9,""^[+-]?[0-9]*\.?[0-9]+""))*100,""0.00"")&amp;"" +/- ""&amp;TEXT(VALUE(REGEXEXTRACT(F9,""[0-9]*\.?[0-9]+$""))*100,""0.00"")"),"52.75 +/- 1.86")</f>
        <v>52.75 +/- 1.86</v>
      </c>
      <c r="O9" s="9" t="str">
        <f>IFERROR(__xludf.DUMMYFUNCTION("TEXT(VALUE(REGEXEXTRACT(G9,""^[+-]?[0-9]*\.?[0-9]+""))*100,""0.00"")&amp;"" +/- ""&amp;TEXT(VALUE(REGEXEXTRACT(G9,""[0-9]*\.?[0-9]+$""))*100,""0.00"")"),"52.80 +/- 2.71")</f>
        <v>52.80 +/- 2.71</v>
      </c>
      <c r="P9" s="9" t="str">
        <f>IFERROR(__xludf.DUMMYFUNCTION("TEXT(VALUE(REGEXEXTRACT(H9,""^[+-]?[0-9]*\.?[0-9]+""))*100,""0.00"")&amp;"" +/- ""&amp;TEXT(VALUE(REGEXEXTRACT(H9,""[0-9]*\.?[0-9]+$""))*100,""0.00"")"),"67.56 +/- 2.42")</f>
        <v>67.56 +/- 2.42</v>
      </c>
    </row>
    <row r="10">
      <c r="A10" s="6" t="s">
        <v>66</v>
      </c>
      <c r="B10" s="7" t="s">
        <v>67</v>
      </c>
      <c r="C10" s="7" t="s">
        <v>68</v>
      </c>
      <c r="D10" s="7" t="s">
        <v>69</v>
      </c>
      <c r="E10" s="7" t="s">
        <v>70</v>
      </c>
      <c r="F10" s="7" t="s">
        <v>71</v>
      </c>
      <c r="G10" s="7" t="s">
        <v>72</v>
      </c>
      <c r="H10" s="7" t="s">
        <v>73</v>
      </c>
      <c r="I10" s="8" t="str">
        <f t="shared" si="1"/>
        <v>MW1→PC4</v>
      </c>
      <c r="J10" s="10" t="str">
        <f>IFERROR(__xludf.DUMMYFUNCTION("TEXT(VALUE(REGEXEXTRACT(B10,""^[+-]?[0-9]*\.?[0-9]+""))*100,""0.00"")&amp;"" +/- ""&amp;TEXT(VALUE(REGEXEXTRACT(B10,""[0-9]*\.?[0-9]+$""))*100,""0.00"")"),"67.90 +/- 1.80")</f>
        <v>67.90 +/- 1.80</v>
      </c>
      <c r="K10" s="9" t="str">
        <f>IFERROR(__xludf.DUMMYFUNCTION("TEXT(VALUE(REGEXEXTRACT(C10,""^[+-]?[0-9]*\.?[0-9]+""))*100,""0.00"")&amp;"" +/- ""&amp;TEXT(VALUE(REGEXEXTRACT(C10,""[0-9]*\.?[0-9]+$""))*100,""0.00"")"),"55.28 +/- 4.45")</f>
        <v>55.28 +/- 4.45</v>
      </c>
      <c r="L10" s="9" t="str">
        <f>IFERROR(__xludf.DUMMYFUNCTION("TEXT(VALUE(REGEXEXTRACT(D10,""^[+-]?[0-9]*\.?[0-9]+""))*100,""0.00"")&amp;"" +/- ""&amp;TEXT(VALUE(REGEXEXTRACT(D10,""[0-9]*\.?[0-9]+$""))*100,""0.00"")"),"63.41 +/- 1.28")</f>
        <v>63.41 +/- 1.28</v>
      </c>
      <c r="M10" s="9" t="str">
        <f>IFERROR(__xludf.DUMMYFUNCTION("TEXT(VALUE(REGEXEXTRACT(E10,""^[+-]?[0-9]*\.?[0-9]+""))*100,""0.00"")&amp;"" +/- ""&amp;TEXT(VALUE(REGEXEXTRACT(E10,""[0-9]*\.?[0-9]+$""))*100,""0.00"")"),"61.83 +/- 3.91")</f>
        <v>61.83 +/- 3.91</v>
      </c>
      <c r="N10" s="9" t="str">
        <f>IFERROR(__xludf.DUMMYFUNCTION("TEXT(VALUE(REGEXEXTRACT(F10,""^[+-]?[0-9]*\.?[0-9]+""))*100,""0.00"")&amp;"" +/- ""&amp;TEXT(VALUE(REGEXEXTRACT(F10,""[0-9]*\.?[0-9]+$""))*100,""0.00"")"),"57.82 +/- 2.80")</f>
        <v>57.82 +/- 2.80</v>
      </c>
      <c r="O10" s="9" t="str">
        <f>IFERROR(__xludf.DUMMYFUNCTION("TEXT(VALUE(REGEXEXTRACT(G10,""^[+-]?[0-9]*\.?[0-9]+""))*100,""0.00"")&amp;"" +/- ""&amp;TEXT(VALUE(REGEXEXTRACT(G10,""[0-9]*\.?[0-9]+$""))*100,""0.00"")"),"57.82 +/- 4.03")</f>
        <v>57.82 +/- 4.03</v>
      </c>
      <c r="P10" s="9" t="str">
        <f>IFERROR(__xludf.DUMMYFUNCTION("TEXT(VALUE(REGEXEXTRACT(H10,""^[+-]?[0-9]*\.?[0-9]+""))*100,""0.00"")&amp;"" +/- ""&amp;TEXT(VALUE(REGEXEXTRACT(H10,""[0-9]*\.?[0-9]+$""))*100,""0.00"")"),"56.29 +/- 2.56")</f>
        <v>56.29 +/- 2.56</v>
      </c>
    </row>
    <row r="11">
      <c r="A11" s="6" t="s">
        <v>79</v>
      </c>
      <c r="B11" s="7" t="s">
        <v>80</v>
      </c>
      <c r="C11" s="7" t="s">
        <v>81</v>
      </c>
      <c r="D11" s="7" t="s">
        <v>82</v>
      </c>
      <c r="E11" s="7" t="s">
        <v>83</v>
      </c>
      <c r="F11" s="7" t="s">
        <v>84</v>
      </c>
      <c r="G11" s="7" t="s">
        <v>85</v>
      </c>
      <c r="H11" s="7" t="s">
        <v>86</v>
      </c>
      <c r="I11" s="8" t="str">
        <f t="shared" si="1"/>
        <v>PC1→CM1</v>
      </c>
      <c r="J11" s="9" t="str">
        <f>IFERROR(__xludf.DUMMYFUNCTION("TEXT(VALUE(REGEXEXTRACT(B11,""^[+-]?[0-9]*\.?[0-9]+""))*100,""0.00"")&amp;"" +/- ""&amp;TEXT(VALUE(REGEXEXTRACT(B11,""[0-9]*\.?[0-9]+$""))*100,""0.00"")"),"68.14 +/- 1.28")</f>
        <v>68.14 +/- 1.28</v>
      </c>
      <c r="K11" s="9" t="str">
        <f>IFERROR(__xludf.DUMMYFUNCTION("TEXT(VALUE(REGEXEXTRACT(C11,""^[+-]?[0-9]*\.?[0-9]+""))*100,""0.00"")&amp;"" +/- ""&amp;TEXT(VALUE(REGEXEXTRACT(C11,""[0-9]*\.?[0-9]+$""))*100,""0.00"")"),"65.30 +/- 1.27")</f>
        <v>65.30 +/- 1.27</v>
      </c>
      <c r="L11" s="9" t="str">
        <f>IFERROR(__xludf.DUMMYFUNCTION("TEXT(VALUE(REGEXEXTRACT(D11,""^[+-]?[0-9]*\.?[0-9]+""))*100,""0.00"")&amp;"" +/- ""&amp;TEXT(VALUE(REGEXEXTRACT(D11,""[0-9]*\.?[0-9]+$""))*100,""0.00"")"),"66.70 +/- 1.60")</f>
        <v>66.70 +/- 1.60</v>
      </c>
      <c r="M11" s="9" t="str">
        <f>IFERROR(__xludf.DUMMYFUNCTION("TEXT(VALUE(REGEXEXTRACT(E11,""^[+-]?[0-9]*\.?[0-9]+""))*100,""0.00"")&amp;"" +/- ""&amp;TEXT(VALUE(REGEXEXTRACT(E11,""[0-9]*\.?[0-9]+$""))*100,""0.00"")"),"69.11 +/- 1.46")</f>
        <v>69.11 +/- 1.46</v>
      </c>
      <c r="N11" s="9" t="str">
        <f>IFERROR(__xludf.DUMMYFUNCTION("TEXT(VALUE(REGEXEXTRACT(F11,""^[+-]?[0-9]*\.?[0-9]+""))*100,""0.00"")&amp;"" +/- ""&amp;TEXT(VALUE(REGEXEXTRACT(F11,""[0-9]*\.?[0-9]+$""))*100,""0.00"")"),"69.42 +/- 1.13")</f>
        <v>69.42 +/- 1.13</v>
      </c>
      <c r="O11" s="10" t="str">
        <f>IFERROR(__xludf.DUMMYFUNCTION("TEXT(VALUE(REGEXEXTRACT(G11,""^[+-]?[0-9]*\.?[0-9]+""))*100,""0.00"")&amp;"" +/- ""&amp;TEXT(VALUE(REGEXEXTRACT(G11,""[0-9]*\.?[0-9]+$""))*100,""0.00"")"),"69.97 +/- 1.03")</f>
        <v>69.97 +/- 1.03</v>
      </c>
      <c r="P11" s="9" t="str">
        <f>IFERROR(__xludf.DUMMYFUNCTION("TEXT(VALUE(REGEXEXTRACT(H11,""^[+-]?[0-9]*\.?[0-9]+""))*100,""0.00"")&amp;"" +/- ""&amp;TEXT(VALUE(REGEXEXTRACT(H11,""[0-9]*\.?[0-9]+$""))*100,""0.00"")"),"46.43 +/- 1.57")</f>
        <v>46.43 +/- 1.57</v>
      </c>
    </row>
    <row r="12">
      <c r="A12" s="6" t="s">
        <v>94</v>
      </c>
      <c r="B12" s="7" t="s">
        <v>95</v>
      </c>
      <c r="C12" s="7" t="s">
        <v>96</v>
      </c>
      <c r="D12" s="7" t="s">
        <v>97</v>
      </c>
      <c r="E12" s="7" t="s">
        <v>98</v>
      </c>
      <c r="F12" s="7" t="s">
        <v>99</v>
      </c>
      <c r="G12" s="7" t="s">
        <v>100</v>
      </c>
      <c r="H12" s="7" t="s">
        <v>101</v>
      </c>
      <c r="I12" s="8" t="str">
        <f t="shared" si="1"/>
        <v>PC1→MW1</v>
      </c>
      <c r="J12" s="9" t="str">
        <f>IFERROR(__xludf.DUMMYFUNCTION("TEXT(VALUE(REGEXEXTRACT(B12,""^[+-]?[0-9]*\.?[0-9]+""))*100,""0.00"")&amp;"" +/- ""&amp;TEXT(VALUE(REGEXEXTRACT(B12,""[0-9]*\.?[0-9]+$""))*100,""0.00"")"),"77.48 +/- 0.98")</f>
        <v>77.48 +/- 0.98</v>
      </c>
      <c r="K12" s="9" t="str">
        <f>IFERROR(__xludf.DUMMYFUNCTION("TEXT(VALUE(REGEXEXTRACT(C12,""^[+-]?[0-9]*\.?[0-9]+""))*100,""0.00"")&amp;"" +/- ""&amp;TEXT(VALUE(REGEXEXTRACT(C12,""[0-9]*\.?[0-9]+$""))*100,""0.00"")"),"67.95 +/- 2.01")</f>
        <v>67.95 +/- 2.01</v>
      </c>
      <c r="L12" s="9" t="str">
        <f>IFERROR(__xludf.DUMMYFUNCTION("TEXT(VALUE(REGEXEXTRACT(D12,""^[+-]?[0-9]*\.?[0-9]+""))*100,""0.00"")&amp;"" +/- ""&amp;TEXT(VALUE(REGEXEXTRACT(D12,""[0-9]*\.?[0-9]+$""))*100,""0.00"")"),"64.02 +/- 2.78")</f>
        <v>64.02 +/- 2.78</v>
      </c>
      <c r="M12" s="9" t="str">
        <f>IFERROR(__xludf.DUMMYFUNCTION("TEXT(VALUE(REGEXEXTRACT(E12,""^[+-]?[0-9]*\.?[0-9]+""))*100,""0.00"")&amp;"" +/- ""&amp;TEXT(VALUE(REGEXEXTRACT(E12,""[0-9]*\.?[0-9]+$""))*100,""0.00"")"),"80.43 +/- 1.44")</f>
        <v>80.43 +/- 1.44</v>
      </c>
      <c r="N12" s="10" t="str">
        <f>IFERROR(__xludf.DUMMYFUNCTION("TEXT(VALUE(REGEXEXTRACT(F12,""^[+-]?[0-9]*\.?[0-9]+""))*100,""0.00"")&amp;"" +/- ""&amp;TEXT(VALUE(REGEXEXTRACT(F12,""[0-9]*\.?[0-9]+$""))*100,""0.00"")"),"79.65 +/- 1.07")</f>
        <v>79.65 +/- 1.07</v>
      </c>
      <c r="O12" s="9" t="str">
        <f>IFERROR(__xludf.DUMMYFUNCTION("TEXT(VALUE(REGEXEXTRACT(G12,""^[+-]?[0-9]*\.?[0-9]+""))*100,""0.00"")&amp;"" +/- ""&amp;TEXT(VALUE(REGEXEXTRACT(G12,""[0-9]*\.?[0-9]+$""))*100,""0.00"")"),"79.54 +/- 0.79")</f>
        <v>79.54 +/- 0.79</v>
      </c>
      <c r="P12" s="9" t="str">
        <f>IFERROR(__xludf.DUMMYFUNCTION("TEXT(VALUE(REGEXEXTRACT(H12,""^[+-]?[0-9]*\.?[0-9]+""))*100,""0.00"")&amp;"" +/- ""&amp;TEXT(VALUE(REGEXEXTRACT(H12,""[0-9]*\.?[0-9]+$""))*100,""0.00"")"),"58.98 +/- 2.12")</f>
        <v>58.98 +/- 2.12</v>
      </c>
    </row>
    <row r="13">
      <c r="A13" s="6" t="s">
        <v>109</v>
      </c>
      <c r="B13" s="7" t="s">
        <v>110</v>
      </c>
      <c r="C13" s="7" t="s">
        <v>111</v>
      </c>
      <c r="D13" s="7" t="s">
        <v>112</v>
      </c>
      <c r="E13" s="7" t="s">
        <v>113</v>
      </c>
      <c r="F13" s="7" t="s">
        <v>114</v>
      </c>
      <c r="G13" s="7" t="s">
        <v>115</v>
      </c>
      <c r="H13" s="7" t="s">
        <v>116</v>
      </c>
      <c r="I13" s="8" t="str">
        <f t="shared" si="1"/>
        <v>PC1→PC3</v>
      </c>
      <c r="J13" s="9" t="str">
        <f>IFERROR(__xludf.DUMMYFUNCTION("TEXT(VALUE(REGEXEXTRACT(B13,""^[+-]?[0-9]*\.?[0-9]+""))*100,""0.00"")&amp;"" +/- ""&amp;TEXT(VALUE(REGEXEXTRACT(B13,""[0-9]*\.?[0-9]+$""))*100,""0.00"")"),"80.83 +/- 0.53")</f>
        <v>80.83 +/- 0.53</v>
      </c>
      <c r="K13" s="9" t="str">
        <f>IFERROR(__xludf.DUMMYFUNCTION("TEXT(VALUE(REGEXEXTRACT(C13,""^[+-]?[0-9]*\.?[0-9]+""))*100,""0.00"")&amp;"" +/- ""&amp;TEXT(VALUE(REGEXEXTRACT(C13,""[0-9]*\.?[0-9]+$""))*100,""0.00"")"),"73.10 +/- 1.60")</f>
        <v>73.10 +/- 1.60</v>
      </c>
      <c r="L13" s="9" t="str">
        <f>IFERROR(__xludf.DUMMYFUNCTION("TEXT(VALUE(REGEXEXTRACT(D13,""^[+-]?[0-9]*\.?[0-9]+""))*100,""0.00"")&amp;"" +/- ""&amp;TEXT(VALUE(REGEXEXTRACT(D13,""[0-9]*\.?[0-9]+$""))*100,""0.00"")"),"75.04 +/- 0.90")</f>
        <v>75.04 +/- 0.90</v>
      </c>
      <c r="M13" s="9" t="str">
        <f>IFERROR(__xludf.DUMMYFUNCTION("TEXT(VALUE(REGEXEXTRACT(E13,""^[+-]?[0-9]*\.?[0-9]+""))*100,""0.00"")&amp;"" +/- ""&amp;TEXT(VALUE(REGEXEXTRACT(E13,""[0-9]*\.?[0-9]+$""))*100,""0.00"")"),"80.69 +/- 0.67")</f>
        <v>80.69 +/- 0.67</v>
      </c>
      <c r="N13" s="9" t="str">
        <f>IFERROR(__xludf.DUMMYFUNCTION("TEXT(VALUE(REGEXEXTRACT(F13,""^[+-]?[0-9]*\.?[0-9]+""))*100,""0.00"")&amp;"" +/- ""&amp;TEXT(VALUE(REGEXEXTRACT(F13,""[0-9]*\.?[0-9]+$""))*100,""0.00"")"),"81.30 +/- 0.45")</f>
        <v>81.30 +/- 0.45</v>
      </c>
      <c r="O13" s="10" t="str">
        <f>IFERROR(__xludf.DUMMYFUNCTION("TEXT(VALUE(REGEXEXTRACT(G13,""^[+-]?[0-9]*\.?[0-9]+""))*100,""0.00"")&amp;"" +/- ""&amp;TEXT(VALUE(REGEXEXTRACT(G13,""[0-9]*\.?[0-9]+$""))*100,""0.00"")"),"81.30 +/- 0.44")</f>
        <v>81.30 +/- 0.44</v>
      </c>
      <c r="P13" s="9" t="str">
        <f>IFERROR(__xludf.DUMMYFUNCTION("TEXT(VALUE(REGEXEXTRACT(H13,""^[+-]?[0-9]*\.?[0-9]+""))*100,""0.00"")&amp;"" +/- ""&amp;TEXT(VALUE(REGEXEXTRACT(H13,""[0-9]*\.?[0-9]+$""))*100,""0.00"")"),"69.29 +/- 2.94")</f>
        <v>69.29 +/- 2.94</v>
      </c>
    </row>
    <row r="14">
      <c r="A14" s="6" t="s">
        <v>124</v>
      </c>
      <c r="B14" s="7" t="s">
        <v>125</v>
      </c>
      <c r="C14" s="7" t="s">
        <v>126</v>
      </c>
      <c r="D14" s="7" t="s">
        <v>127</v>
      </c>
      <c r="E14" s="7" t="s">
        <v>128</v>
      </c>
      <c r="F14" s="7" t="s">
        <v>129</v>
      </c>
      <c r="G14" s="7" t="s">
        <v>130</v>
      </c>
      <c r="H14" s="7" t="s">
        <v>131</v>
      </c>
      <c r="I14" s="8" t="str">
        <f t="shared" si="1"/>
        <v>PC1→PC4</v>
      </c>
      <c r="J14" s="9" t="str">
        <f>IFERROR(__xludf.DUMMYFUNCTION("TEXT(VALUE(REGEXEXTRACT(B14,""^[+-]?[0-9]*\.?[0-9]+""))*100,""0.00"")&amp;"" +/- ""&amp;TEXT(VALUE(REGEXEXTRACT(B14,""[0-9]*\.?[0-9]+$""))*100,""0.00"")"),"73.04 +/- 0.98")</f>
        <v>73.04 +/- 0.98</v>
      </c>
      <c r="K14" s="9" t="str">
        <f>IFERROR(__xludf.DUMMYFUNCTION("TEXT(VALUE(REGEXEXTRACT(C14,""^[+-]?[0-9]*\.?[0-9]+""))*100,""0.00"")&amp;"" +/- ""&amp;TEXT(VALUE(REGEXEXTRACT(C14,""[0-9]*\.?[0-9]+$""))*100,""0.00"")"),"71.99 +/- 1.79")</f>
        <v>71.99 +/- 1.79</v>
      </c>
      <c r="L14" s="9" t="str">
        <f>IFERROR(__xludf.DUMMYFUNCTION("TEXT(VALUE(REGEXEXTRACT(D14,""^[+-]?[0-9]*\.?[0-9]+""))*100,""0.00"")&amp;"" +/- ""&amp;TEXT(VALUE(REGEXEXTRACT(D14,""[0-9]*\.?[0-9]+$""))*100,""0.00"")"),"64.89 +/- 1.34")</f>
        <v>64.89 +/- 1.34</v>
      </c>
      <c r="M14" s="9" t="str">
        <f>IFERROR(__xludf.DUMMYFUNCTION("TEXT(VALUE(REGEXEXTRACT(E14,""^[+-]?[0-9]*\.?[0-9]+""))*100,""0.00"")&amp;"" +/- ""&amp;TEXT(VALUE(REGEXEXTRACT(E14,""[0-9]*\.?[0-9]+$""))*100,""0.00"")"),"74.53 +/- 1.23")</f>
        <v>74.53 +/- 1.23</v>
      </c>
      <c r="N14" s="10" t="str">
        <f>IFERROR(__xludf.DUMMYFUNCTION("TEXT(VALUE(REGEXEXTRACT(F14,""^[+-]?[0-9]*\.?[0-9]+""))*100,""0.00"")&amp;"" +/- ""&amp;TEXT(VALUE(REGEXEXTRACT(F14,""[0-9]*\.?[0-9]+$""))*100,""0.00"")"),"76.88 +/- 0.89")</f>
        <v>76.88 +/- 0.89</v>
      </c>
      <c r="O14" s="9" t="str">
        <f>IFERROR(__xludf.DUMMYFUNCTION("TEXT(VALUE(REGEXEXTRACT(G14,""^[+-]?[0-9]*\.?[0-9]+""))*100,""0.00"")&amp;"" +/- ""&amp;TEXT(VALUE(REGEXEXTRACT(G14,""[0-9]*\.?[0-9]+$""))*100,""0.00"")"),"76.55 +/- 0.63")</f>
        <v>76.55 +/- 0.63</v>
      </c>
      <c r="P14" s="9" t="str">
        <f>IFERROR(__xludf.DUMMYFUNCTION("TEXT(VALUE(REGEXEXTRACT(H14,""^[+-]?[0-9]*\.?[0-9]+""))*100,""0.00"")&amp;"" +/- ""&amp;TEXT(VALUE(REGEXEXTRACT(H14,""[0-9]*\.?[0-9]+$""))*100,""0.00"")"),"51.44 +/- 2.30")</f>
        <v>51.44 +/- 2.30</v>
      </c>
    </row>
    <row r="15">
      <c r="A15" s="6" t="s">
        <v>139</v>
      </c>
      <c r="B15" s="7" t="s">
        <v>140</v>
      </c>
      <c r="C15" s="7" t="s">
        <v>141</v>
      </c>
      <c r="D15" s="7" t="s">
        <v>142</v>
      </c>
      <c r="E15" s="7" t="s">
        <v>143</v>
      </c>
      <c r="F15" s="7" t="s">
        <v>144</v>
      </c>
      <c r="G15" s="7" t="s">
        <v>145</v>
      </c>
      <c r="H15" s="7" t="s">
        <v>146</v>
      </c>
      <c r="I15" s="8" t="str">
        <f t="shared" si="1"/>
        <v>PC3→CM1</v>
      </c>
      <c r="J15" s="9" t="str">
        <f>IFERROR(__xludf.DUMMYFUNCTION("TEXT(VALUE(REGEXEXTRACT(B15,""^[+-]?[0-9]*\.?[0-9]+""))*100,""0.00"")&amp;"" +/- ""&amp;TEXT(VALUE(REGEXEXTRACT(B15,""[0-9]*\.?[0-9]+$""))*100,""0.00"")"),"64.99 +/- 1.45")</f>
        <v>64.99 +/- 1.45</v>
      </c>
      <c r="K15" s="9" t="str">
        <f>IFERROR(__xludf.DUMMYFUNCTION("TEXT(VALUE(REGEXEXTRACT(C15,""^[+-]?[0-9]*\.?[0-9]+""))*100,""0.00"")&amp;"" +/- ""&amp;TEXT(VALUE(REGEXEXTRACT(C15,""[0-9]*\.?[0-9]+$""))*100,""0.00"")"),"62.90 +/- 1.34")</f>
        <v>62.90 +/- 1.34</v>
      </c>
      <c r="L15" s="9" t="str">
        <f>IFERROR(__xludf.DUMMYFUNCTION("TEXT(VALUE(REGEXEXTRACT(D15,""^[+-]?[0-9]*\.?[0-9]+""))*100,""0.00"")&amp;"" +/- ""&amp;TEXT(VALUE(REGEXEXTRACT(D15,""[0-9]*\.?[0-9]+$""))*100,""0.00"")"),"66.36 +/- 1.39")</f>
        <v>66.36 +/- 1.39</v>
      </c>
      <c r="M15" s="9" t="str">
        <f>IFERROR(__xludf.DUMMYFUNCTION("TEXT(VALUE(REGEXEXTRACT(E15,""^[+-]?[0-9]*\.?[0-9]+""))*100,""0.00"")&amp;"" +/- ""&amp;TEXT(VALUE(REGEXEXTRACT(E15,""[0-9]*\.?[0-9]+$""))*100,""0.00"")"),"65.08 +/- 0.88")</f>
        <v>65.08 +/- 0.88</v>
      </c>
      <c r="N15" s="10" t="str">
        <f>IFERROR(__xludf.DUMMYFUNCTION("TEXT(VALUE(REGEXEXTRACT(F15,""^[+-]?[0-9]*\.?[0-9]+""))*100,""0.00"")&amp;"" +/- ""&amp;TEXT(VALUE(REGEXEXTRACT(F15,""[0-9]*\.?[0-9]+$""))*100,""0.00"")"),"67.76 +/- 0.96")</f>
        <v>67.76 +/- 0.96</v>
      </c>
      <c r="O15" s="9" t="str">
        <f>IFERROR(__xludf.DUMMYFUNCTION("TEXT(VALUE(REGEXEXTRACT(G15,""^[+-]?[0-9]*\.?[0-9]+""))*100,""0.00"")&amp;"" +/- ""&amp;TEXT(VALUE(REGEXEXTRACT(G15,""[0-9]*\.?[0-9]+$""))*100,""0.00"")"),"67.45 +/- 1.03")</f>
        <v>67.45 +/- 1.03</v>
      </c>
      <c r="P15" s="9" t="str">
        <f>IFERROR(__xludf.DUMMYFUNCTION("TEXT(VALUE(REGEXEXTRACT(H15,""^[+-]?[0-9]*\.?[0-9]+""))*100,""0.00"")&amp;"" +/- ""&amp;TEXT(VALUE(REGEXEXTRACT(H15,""[0-9]*\.?[0-9]+$""))*100,""0.00"")"),"48.84 +/- 2.13")</f>
        <v>48.84 +/- 2.13</v>
      </c>
    </row>
    <row r="16">
      <c r="A16" s="6" t="s">
        <v>154</v>
      </c>
      <c r="B16" s="7" t="s">
        <v>155</v>
      </c>
      <c r="C16" s="7" t="s">
        <v>156</v>
      </c>
      <c r="D16" s="7" t="s">
        <v>157</v>
      </c>
      <c r="E16" s="7" t="s">
        <v>158</v>
      </c>
      <c r="F16" s="7" t="s">
        <v>159</v>
      </c>
      <c r="G16" s="7" t="s">
        <v>160</v>
      </c>
      <c r="H16" s="7" t="s">
        <v>161</v>
      </c>
      <c r="I16" s="8" t="str">
        <f t="shared" si="1"/>
        <v>PC3→MW1</v>
      </c>
      <c r="J16" s="9" t="str">
        <f>IFERROR(__xludf.DUMMYFUNCTION("TEXT(VALUE(REGEXEXTRACT(B16,""^[+-]?[0-9]*\.?[0-9]+""))*100,""0.00"")&amp;"" +/- ""&amp;TEXT(VALUE(REGEXEXTRACT(B16,""[0-9]*\.?[0-9]+$""))*100,""0.00"")"),"70.31 +/- 0.96")</f>
        <v>70.31 +/- 0.96</v>
      </c>
      <c r="K16" s="9" t="str">
        <f>IFERROR(__xludf.DUMMYFUNCTION("TEXT(VALUE(REGEXEXTRACT(C16,""^[+-]?[0-9]*\.?[0-9]+""))*100,""0.00"")&amp;"" +/- ""&amp;TEXT(VALUE(REGEXEXTRACT(C16,""[0-9]*\.?[0-9]+$""))*100,""0.00"")"),"60.75 +/- 2.60")</f>
        <v>60.75 +/- 2.60</v>
      </c>
      <c r="L16" s="10" t="str">
        <f>IFERROR(__xludf.DUMMYFUNCTION("TEXT(VALUE(REGEXEXTRACT(D16,""^[+-]?[0-9]*\.?[0-9]+""))*100,""0.00"")&amp;"" +/- ""&amp;TEXT(VALUE(REGEXEXTRACT(D16,""[0-9]*\.?[0-9]+$""))*100,""0.00"")"),"73.29 +/- 2.10")</f>
        <v>73.29 +/- 2.10</v>
      </c>
      <c r="M16" s="9" t="str">
        <f>IFERROR(__xludf.DUMMYFUNCTION("TEXT(VALUE(REGEXEXTRACT(E16,""^[+-]?[0-9]*\.?[0-9]+""))*100,""0.00"")&amp;"" +/- ""&amp;TEXT(VALUE(REGEXEXTRACT(E16,""[0-9]*\.?[0-9]+$""))*100,""0.00"")"),"71.62 +/- 1.26")</f>
        <v>71.62 +/- 1.26</v>
      </c>
      <c r="N16" s="9" t="str">
        <f>IFERROR(__xludf.DUMMYFUNCTION("TEXT(VALUE(REGEXEXTRACT(F16,""^[+-]?[0-9]*\.?[0-9]+""))*100,""0.00"")&amp;"" +/- ""&amp;TEXT(VALUE(REGEXEXTRACT(F16,""[0-9]*\.?[0-9]+$""))*100,""0.00"")"),"71.88 +/- 0.98")</f>
        <v>71.88 +/- 0.98</v>
      </c>
      <c r="O16" s="9" t="str">
        <f>IFERROR(__xludf.DUMMYFUNCTION("TEXT(VALUE(REGEXEXTRACT(G16,""^[+-]?[0-9]*\.?[0-9]+""))*100,""0.00"")&amp;"" +/- ""&amp;TEXT(VALUE(REGEXEXTRACT(G16,""[0-9]*\.?[0-9]+$""))*100,""0.00"")"),"72.17 +/- 1.16")</f>
        <v>72.17 +/- 1.16</v>
      </c>
      <c r="P16" s="9" t="str">
        <f>IFERROR(__xludf.DUMMYFUNCTION("TEXT(VALUE(REGEXEXTRACT(H16,""^[+-]?[0-9]*\.?[0-9]+""))*100,""0.00"")&amp;"" +/- ""&amp;TEXT(VALUE(REGEXEXTRACT(H16,""[0-9]*\.?[0-9]+$""))*100,""0.00"")"),"41.53 +/- 2.02")</f>
        <v>41.53 +/- 2.02</v>
      </c>
    </row>
    <row r="17">
      <c r="A17" s="6" t="s">
        <v>169</v>
      </c>
      <c r="B17" s="7" t="s">
        <v>170</v>
      </c>
      <c r="C17" s="7" t="s">
        <v>171</v>
      </c>
      <c r="D17" s="7" t="s">
        <v>172</v>
      </c>
      <c r="E17" s="7" t="s">
        <v>173</v>
      </c>
      <c r="F17" s="7" t="s">
        <v>174</v>
      </c>
      <c r="G17" s="7" t="s">
        <v>175</v>
      </c>
      <c r="H17" s="7" t="s">
        <v>176</v>
      </c>
      <c r="I17" s="8" t="str">
        <f t="shared" si="1"/>
        <v>PC3→PC1</v>
      </c>
      <c r="J17" s="9" t="str">
        <f>IFERROR(__xludf.DUMMYFUNCTION("TEXT(VALUE(REGEXEXTRACT(B17,""^[+-]?[0-9]*\.?[0-9]+""))*100,""0.00"")&amp;"" +/- ""&amp;TEXT(VALUE(REGEXEXTRACT(B17,""[0-9]*\.?[0-9]+$""))*100,""0.00"")"),"77.29 +/- 1.11")</f>
        <v>77.29 +/- 1.11</v>
      </c>
      <c r="K17" s="10" t="str">
        <f>IFERROR(__xludf.DUMMYFUNCTION("TEXT(VALUE(REGEXEXTRACT(C17,""^[+-]?[0-9]*\.?[0-9]+""))*100,""0.00"")&amp;"" +/- ""&amp;TEXT(VALUE(REGEXEXTRACT(C17,""[0-9]*\.?[0-9]+$""))*100,""0.00"")"),"80.51 +/- 0.65")</f>
        <v>80.51 +/- 0.65</v>
      </c>
      <c r="L17" s="9" t="str">
        <f>IFERROR(__xludf.DUMMYFUNCTION("TEXT(VALUE(REGEXEXTRACT(D17,""^[+-]?[0-9]*\.?[0-9]+""))*100,""0.00"")&amp;"" +/- ""&amp;TEXT(VALUE(REGEXEXTRACT(D17,""[0-9]*\.?[0-9]+$""))*100,""0.00"")"),"78.06 +/- 0.96")</f>
        <v>78.06 +/- 0.96</v>
      </c>
      <c r="M17" s="9" t="str">
        <f>IFERROR(__xludf.DUMMYFUNCTION("TEXT(VALUE(REGEXEXTRACT(E17,""^[+-]?[0-9]*\.?[0-9]+""))*100,""0.00"")&amp;"" +/- ""&amp;TEXT(VALUE(REGEXEXTRACT(E17,""[0-9]*\.?[0-9]+$""))*100,""0.00"")"),"80.26 +/- 0.97")</f>
        <v>80.26 +/- 0.97</v>
      </c>
      <c r="N17" s="9" t="str">
        <f>IFERROR(__xludf.DUMMYFUNCTION("TEXT(VALUE(REGEXEXTRACT(F17,""^[+-]?[0-9]*\.?[0-9]+""))*100,""0.00"")&amp;"" +/- ""&amp;TEXT(VALUE(REGEXEXTRACT(F17,""[0-9]*\.?[0-9]+$""))*100,""0.00"")"),"79.31 +/- 0.48")</f>
        <v>79.31 +/- 0.48</v>
      </c>
      <c r="O17" s="9" t="str">
        <f>IFERROR(__xludf.DUMMYFUNCTION("TEXT(VALUE(REGEXEXTRACT(G17,""^[+-]?[0-9]*\.?[0-9]+""))*100,""0.00"")&amp;"" +/- ""&amp;TEXT(VALUE(REGEXEXTRACT(G17,""[0-9]*\.?[0-9]+$""))*100,""0.00"")"),"79.59 +/- 0.72")</f>
        <v>79.59 +/- 0.72</v>
      </c>
      <c r="P17" s="9" t="str">
        <f>IFERROR(__xludf.DUMMYFUNCTION("TEXT(VALUE(REGEXEXTRACT(H17,""^[+-]?[0-9]*\.?[0-9]+""))*100,""0.00"")&amp;"" +/- ""&amp;TEXT(VALUE(REGEXEXTRACT(H17,""[0-9]*\.?[0-9]+$""))*100,""0.00"")"),"77.27 +/- 1.30")</f>
        <v>77.27 +/- 1.30</v>
      </c>
    </row>
    <row r="18">
      <c r="A18" s="6" t="s">
        <v>184</v>
      </c>
      <c r="B18" s="7" t="s">
        <v>185</v>
      </c>
      <c r="C18" s="7" t="s">
        <v>186</v>
      </c>
      <c r="D18" s="7" t="s">
        <v>187</v>
      </c>
      <c r="E18" s="7" t="s">
        <v>188</v>
      </c>
      <c r="F18" s="7" t="s">
        <v>189</v>
      </c>
      <c r="G18" s="7" t="s">
        <v>190</v>
      </c>
      <c r="H18" s="7" t="s">
        <v>191</v>
      </c>
      <c r="I18" s="8" t="str">
        <f t="shared" si="1"/>
        <v>PC3→PC4</v>
      </c>
      <c r="J18" s="9" t="str">
        <f>IFERROR(__xludf.DUMMYFUNCTION("TEXT(VALUE(REGEXEXTRACT(B18,""^[+-]?[0-9]*\.?[0-9]+""))*100,""0.00"")&amp;"" +/- ""&amp;TEXT(VALUE(REGEXEXTRACT(B18,""[0-9]*\.?[0-9]+$""))*100,""0.00"")"),"72.81 +/- 0.86")</f>
        <v>72.81 +/- 0.86</v>
      </c>
      <c r="K18" s="9" t="str">
        <f>IFERROR(__xludf.DUMMYFUNCTION("TEXT(VALUE(REGEXEXTRACT(C18,""^[+-]?[0-9]*\.?[0-9]+""))*100,""0.00"")&amp;"" +/- ""&amp;TEXT(VALUE(REGEXEXTRACT(C18,""[0-9]*\.?[0-9]+$""))*100,""0.00"")"),"70.87 +/- 1.16")</f>
        <v>70.87 +/- 1.16</v>
      </c>
      <c r="L18" s="9" t="str">
        <f>IFERROR(__xludf.DUMMYFUNCTION("TEXT(VALUE(REGEXEXTRACT(D18,""^[+-]?[0-9]*\.?[0-9]+""))*100,""0.00"")&amp;"" +/- ""&amp;TEXT(VALUE(REGEXEXTRACT(D18,""[0-9]*\.?[0-9]+$""))*100,""0.00"")"),"67.12 +/- 0.97")</f>
        <v>67.12 +/- 0.97</v>
      </c>
      <c r="M18" s="9" t="str">
        <f>IFERROR(__xludf.DUMMYFUNCTION("TEXT(VALUE(REGEXEXTRACT(E18,""^[+-]?[0-9]*\.?[0-9]+""))*100,""0.00"")&amp;"" +/- ""&amp;TEXT(VALUE(REGEXEXTRACT(E18,""[0-9]*\.?[0-9]+$""))*100,""0.00"")"),"74.85 +/- 1.09")</f>
        <v>74.85 +/- 1.09</v>
      </c>
      <c r="N18" s="9" t="str">
        <f>IFERROR(__xludf.DUMMYFUNCTION("TEXT(VALUE(REGEXEXTRACT(F18,""^[+-]?[0-9]*\.?[0-9]+""))*100,""0.00"")&amp;"" +/- ""&amp;TEXT(VALUE(REGEXEXTRACT(F18,""[0-9]*\.?[0-9]+$""))*100,""0.00"")"),"76.27 +/- 0.54")</f>
        <v>76.27 +/- 0.54</v>
      </c>
      <c r="O18" s="9" t="str">
        <f>IFERROR(__xludf.DUMMYFUNCTION("TEXT(VALUE(REGEXEXTRACT(G18,""^[+-]?[0-9]*\.?[0-9]+""))*100,""0.00"")&amp;"" +/- ""&amp;TEXT(VALUE(REGEXEXTRACT(G18,""[0-9]*\.?[0-9]+$""))*100,""0.00"")"),"76.00 +/- 0.90")</f>
        <v>76.00 +/- 0.90</v>
      </c>
      <c r="P18" s="9" t="str">
        <f>IFERROR(__xludf.DUMMYFUNCTION("TEXT(VALUE(REGEXEXTRACT(H18,""^[+-]?[0-9]*\.?[0-9]+""))*100,""0.00"")&amp;"" +/- ""&amp;TEXT(VALUE(REGEXEXTRACT(H18,""[0-9]*\.?[0-9]+$""))*100,""0.00"")"),"56.93 +/- 3.05")</f>
        <v>56.93 +/- 3.05</v>
      </c>
    </row>
    <row r="19">
      <c r="A19" s="6" t="s">
        <v>194</v>
      </c>
      <c r="B19" s="7" t="s">
        <v>199</v>
      </c>
      <c r="C19" s="7" t="s">
        <v>202</v>
      </c>
      <c r="D19" s="7" t="s">
        <v>203</v>
      </c>
      <c r="E19" s="7" t="s">
        <v>204</v>
      </c>
      <c r="F19" s="7" t="s">
        <v>206</v>
      </c>
      <c r="G19" s="7" t="s">
        <v>207</v>
      </c>
      <c r="H19" s="7" t="s">
        <v>208</v>
      </c>
      <c r="I19" s="8" t="str">
        <f t="shared" si="1"/>
        <v>PC4→CM1</v>
      </c>
      <c r="J19" s="9" t="str">
        <f>IFERROR(__xludf.DUMMYFUNCTION("TEXT(VALUE(REGEXEXTRACT(B19,""^[+-]?[0-9]*\.?[0-9]+""))*100,""0.00"")&amp;"" +/- ""&amp;TEXT(VALUE(REGEXEXTRACT(B19,""[0-9]*\.?[0-9]+$""))*100,""0.00"")"),"59.59 +/- 1.45")</f>
        <v>59.59 +/- 1.45</v>
      </c>
      <c r="K19" s="9" t="str">
        <f>IFERROR(__xludf.DUMMYFUNCTION("TEXT(VALUE(REGEXEXTRACT(C19,""^[+-]?[0-9]*\.?[0-9]+""))*100,""0.00"")&amp;"" +/- ""&amp;TEXT(VALUE(REGEXEXTRACT(C19,""[0-9]*\.?[0-9]+$""))*100,""0.00"")"),"57.94 +/- 1.86")</f>
        <v>57.94 +/- 1.86</v>
      </c>
      <c r="L19" s="9" t="str">
        <f>IFERROR(__xludf.DUMMYFUNCTION("TEXT(VALUE(REGEXEXTRACT(D19,""^[+-]?[0-9]*\.?[0-9]+""))*100,""0.00"")&amp;"" +/- ""&amp;TEXT(VALUE(REGEXEXTRACT(D19,""[0-9]*\.?[0-9]+$""))*100,""0.00"")"),"62.66 +/- 1.44")</f>
        <v>62.66 +/- 1.44</v>
      </c>
      <c r="M19" s="9" t="str">
        <f>IFERROR(__xludf.DUMMYFUNCTION("TEXT(VALUE(REGEXEXTRACT(E19,""^[+-]?[0-9]*\.?[0-9]+""))*100,""0.00"")&amp;"" +/- ""&amp;TEXT(VALUE(REGEXEXTRACT(E19,""[0-9]*\.?[0-9]+$""))*100,""0.00"")"),"60.19 +/- 1.53")</f>
        <v>60.19 +/- 1.53</v>
      </c>
      <c r="N19" s="9" t="str">
        <f>IFERROR(__xludf.DUMMYFUNCTION("TEXT(VALUE(REGEXEXTRACT(F19,""^[+-]?[0-9]*\.?[0-9]+""))*100,""0.00"")&amp;"" +/- ""&amp;TEXT(VALUE(REGEXEXTRACT(F19,""[0-9]*\.?[0-9]+$""))*100,""0.00"")"),"60.04 +/- 1.44")</f>
        <v>60.04 +/- 1.44</v>
      </c>
      <c r="O19" s="10" t="str">
        <f>IFERROR(__xludf.DUMMYFUNCTION("TEXT(VALUE(REGEXEXTRACT(G19,""^[+-]?[0-9]*\.?[0-9]+""))*100,""0.00"")&amp;"" +/- ""&amp;TEXT(VALUE(REGEXEXTRACT(G19,""[0-9]*\.?[0-9]+$""))*100,""0.00"")"),"60.34 +/- 1.48")</f>
        <v>60.34 +/- 1.48</v>
      </c>
      <c r="P19" s="9" t="str">
        <f>IFERROR(__xludf.DUMMYFUNCTION("TEXT(VALUE(REGEXEXTRACT(H19,""^[+-]?[0-9]*\.?[0-9]+""))*100,""0.00"")&amp;"" +/- ""&amp;TEXT(VALUE(REGEXEXTRACT(H19,""[0-9]*\.?[0-9]+$""))*100,""0.00"")"),"57.02 +/- 1.79")</f>
        <v>57.02 +/- 1.79</v>
      </c>
    </row>
    <row r="20">
      <c r="A20" s="6" t="s">
        <v>216</v>
      </c>
      <c r="B20" s="7" t="s">
        <v>217</v>
      </c>
      <c r="C20" s="7" t="s">
        <v>218</v>
      </c>
      <c r="D20" s="7" t="s">
        <v>219</v>
      </c>
      <c r="E20" s="7" t="s">
        <v>220</v>
      </c>
      <c r="F20" s="7" t="s">
        <v>221</v>
      </c>
      <c r="G20" s="7" t="s">
        <v>222</v>
      </c>
      <c r="H20" s="7" t="s">
        <v>223</v>
      </c>
      <c r="I20" s="8" t="str">
        <f t="shared" si="1"/>
        <v>PC4→MW1</v>
      </c>
      <c r="J20" s="9" t="str">
        <f>IFERROR(__xludf.DUMMYFUNCTION("TEXT(VALUE(REGEXEXTRACT(B20,""^[+-]?[0-9]*\.?[0-9]+""))*100,""0.00"")&amp;"" +/- ""&amp;TEXT(VALUE(REGEXEXTRACT(B20,""[0-9]*\.?[0-9]+$""))*100,""0.00"")"),"68.50 +/- 1.51")</f>
        <v>68.50 +/- 1.51</v>
      </c>
      <c r="K20" s="9" t="str">
        <f>IFERROR(__xludf.DUMMYFUNCTION("TEXT(VALUE(REGEXEXTRACT(C20,""^[+-]?[0-9]*\.?[0-9]+""))*100,""0.00"")&amp;"" +/- ""&amp;TEXT(VALUE(REGEXEXTRACT(C20,""[0-9]*\.?[0-9]+$""))*100,""0.00"")"),"53.61 +/- 2.17")</f>
        <v>53.61 +/- 2.17</v>
      </c>
      <c r="L20" s="9" t="str">
        <f>IFERROR(__xludf.DUMMYFUNCTION("TEXT(VALUE(REGEXEXTRACT(D20,""^[+-]?[0-9]*\.?[0-9]+""))*100,""0.00"")&amp;"" +/- ""&amp;TEXT(VALUE(REGEXEXTRACT(D20,""[0-9]*\.?[0-9]+$""))*100,""0.00"")"),"74.47 +/- 2.01")</f>
        <v>74.47 +/- 2.01</v>
      </c>
      <c r="M20" s="9" t="str">
        <f>IFERROR(__xludf.DUMMYFUNCTION("TEXT(VALUE(REGEXEXTRACT(E20,""^[+-]?[0-9]*\.?[0-9]+""))*100,""0.00"")&amp;"" +/- ""&amp;TEXT(VALUE(REGEXEXTRACT(E20,""[0-9]*\.?[0-9]+$""))*100,""0.00"")"),"65.93 +/- 1.84")</f>
        <v>65.93 +/- 1.84</v>
      </c>
      <c r="N20" s="9" t="str">
        <f>IFERROR(__xludf.DUMMYFUNCTION("TEXT(VALUE(REGEXEXTRACT(F20,""^[+-]?[0-9]*\.?[0-9]+""))*100,""0.00"")&amp;"" +/- ""&amp;TEXT(VALUE(REGEXEXTRACT(F20,""[0-9]*\.?[0-9]+$""))*100,""0.00"")"),"68.44 +/- 1.84")</f>
        <v>68.44 +/- 1.84</v>
      </c>
      <c r="O20" s="10" t="str">
        <f>IFERROR(__xludf.DUMMYFUNCTION("TEXT(VALUE(REGEXEXTRACT(G20,""^[+-]?[0-9]*\.?[0-9]+""))*100,""0.00"")&amp;"" +/- ""&amp;TEXT(VALUE(REGEXEXTRACT(G20,""[0-9]*\.?[0-9]+$""))*100,""0.00"")"),"69.14 +/- 1.72")</f>
        <v>69.14 +/- 1.72</v>
      </c>
      <c r="P20" s="9" t="str">
        <f>IFERROR(__xludf.DUMMYFUNCTION("TEXT(VALUE(REGEXEXTRACT(H20,""^[+-]?[0-9]*\.?[0-9]+""))*100,""0.00"")&amp;"" +/- ""&amp;TEXT(VALUE(REGEXEXTRACT(H20,""[0-9]*\.?[0-9]+$""))*100,""0.00"")"),"39.02 +/- 1.32")</f>
        <v>39.02 +/- 1.32</v>
      </c>
    </row>
    <row r="21">
      <c r="A21" s="6" t="s">
        <v>245</v>
      </c>
      <c r="B21" s="7" t="s">
        <v>246</v>
      </c>
      <c r="C21" s="7" t="s">
        <v>247</v>
      </c>
      <c r="D21" s="7" t="s">
        <v>248</v>
      </c>
      <c r="E21" s="7" t="s">
        <v>249</v>
      </c>
      <c r="F21" s="7" t="s">
        <v>250</v>
      </c>
      <c r="G21" s="7" t="s">
        <v>251</v>
      </c>
      <c r="H21" s="7" t="s">
        <v>252</v>
      </c>
      <c r="I21" s="8" t="str">
        <f t="shared" si="1"/>
        <v>PC4→PC1</v>
      </c>
      <c r="J21" s="9" t="str">
        <f>IFERROR(__xludf.DUMMYFUNCTION("TEXT(VALUE(REGEXEXTRACT(B21,""^[+-]?[0-9]*\.?[0-9]+""))*100,""0.00"")&amp;"" +/- ""&amp;TEXT(VALUE(REGEXEXTRACT(B21,""[0-9]*\.?[0-9]+$""))*100,""0.00"")"),"77.64 +/- 0.84")</f>
        <v>77.64 +/- 0.84</v>
      </c>
      <c r="K21" s="10" t="str">
        <f>IFERROR(__xludf.DUMMYFUNCTION("TEXT(VALUE(REGEXEXTRACT(C21,""^[+-]?[0-9]*\.?[0-9]+""))*100,""0.00"")&amp;"" +/- ""&amp;TEXT(VALUE(REGEXEXTRACT(C21,""[0-9]*\.?[0-9]+$""))*100,""0.00"")"),"79.19 +/- 1.20")</f>
        <v>79.19 +/- 1.20</v>
      </c>
      <c r="L21" s="9" t="str">
        <f>IFERROR(__xludf.DUMMYFUNCTION("TEXT(VALUE(REGEXEXTRACT(D21,""^[+-]?[0-9]*\.?[0-9]+""))*100,""0.00"")&amp;"" +/- ""&amp;TEXT(VALUE(REGEXEXTRACT(D21,""[0-9]*\.?[0-9]+$""))*100,""0.00"")"),"76.55 +/- 1.18")</f>
        <v>76.55 +/- 1.18</v>
      </c>
      <c r="M21" s="9" t="str">
        <f>IFERROR(__xludf.DUMMYFUNCTION("TEXT(VALUE(REGEXEXTRACT(E21,""^[+-]?[0-9]*\.?[0-9]+""))*100,""0.00"")&amp;"" +/- ""&amp;TEXT(VALUE(REGEXEXTRACT(E21,""[0-9]*\.?[0-9]+$""))*100,""0.00"")"),"79.69 +/- 1.03")</f>
        <v>79.69 +/- 1.03</v>
      </c>
      <c r="N21" s="9" t="str">
        <f>IFERROR(__xludf.DUMMYFUNCTION("TEXT(VALUE(REGEXEXTRACT(F21,""^[+-]?[0-9]*\.?[0-9]+""))*100,""0.00"")&amp;"" +/- ""&amp;TEXT(VALUE(REGEXEXTRACT(F21,""[0-9]*\.?[0-9]+$""))*100,""0.00"")"),"77.24 +/- 1.19")</f>
        <v>77.24 +/- 1.19</v>
      </c>
      <c r="O21" s="9" t="str">
        <f>IFERROR(__xludf.DUMMYFUNCTION("TEXT(VALUE(REGEXEXTRACT(G21,""^[+-]?[0-9]*\.?[0-9]+""))*100,""0.00"")&amp;"" +/- ""&amp;TEXT(VALUE(REGEXEXTRACT(G21,""[0-9]*\.?[0-9]+$""))*100,""0.00"")"),"78.89 +/- 1.42")</f>
        <v>78.89 +/- 1.42</v>
      </c>
      <c r="P21" s="9" t="str">
        <f>IFERROR(__xludf.DUMMYFUNCTION("TEXT(VALUE(REGEXEXTRACT(H21,""^[+-]?[0-9]*\.?[0-9]+""))*100,""0.00"")&amp;"" +/- ""&amp;TEXT(VALUE(REGEXEXTRACT(H21,""[0-9]*\.?[0-9]+$""))*100,""0.00"")"),"76.90 +/- 1.19")</f>
        <v>76.90 +/- 1.19</v>
      </c>
    </row>
    <row r="22">
      <c r="A22" s="6" t="s">
        <v>267</v>
      </c>
      <c r="B22" s="7" t="s">
        <v>268</v>
      </c>
      <c r="C22" s="7" t="s">
        <v>269</v>
      </c>
      <c r="D22" s="7" t="s">
        <v>270</v>
      </c>
      <c r="E22" s="7" t="s">
        <v>271</v>
      </c>
      <c r="F22" s="7" t="s">
        <v>272</v>
      </c>
      <c r="G22" s="7" t="s">
        <v>273</v>
      </c>
      <c r="H22" s="7" t="s">
        <v>280</v>
      </c>
      <c r="I22" s="8" t="str">
        <f t="shared" si="1"/>
        <v>PC4→PC3</v>
      </c>
      <c r="J22" s="10" t="str">
        <f>IFERROR(__xludf.DUMMYFUNCTION("TEXT(VALUE(REGEXEXTRACT(B22,""^[+-]?[0-9]*\.?[0-9]+""))*100,""0.00"")&amp;"" +/- ""&amp;TEXT(VALUE(REGEXEXTRACT(B22,""[0-9]*\.?[0-9]+$""))*100,""0.00"")"),"79.62 +/- 0.62")</f>
        <v>79.62 +/- 0.62</v>
      </c>
      <c r="K22" s="9" t="str">
        <f>IFERROR(__xludf.DUMMYFUNCTION("TEXT(VALUE(REGEXEXTRACT(C22,""^[+-]?[0-9]*\.?[0-9]+""))*100,""0.00"")&amp;"" +/- ""&amp;TEXT(VALUE(REGEXEXTRACT(C22,""[0-9]*\.?[0-9]+$""))*100,""0.00"")"),"76.58 +/- 0.82")</f>
        <v>76.58 +/- 0.82</v>
      </c>
      <c r="L22" s="9" t="str">
        <f>IFERROR(__xludf.DUMMYFUNCTION("TEXT(VALUE(REGEXEXTRACT(D22,""^[+-]?[0-9]*\.?[0-9]+""))*100,""0.00"")&amp;"" +/- ""&amp;TEXT(VALUE(REGEXEXTRACT(D22,""[0-9]*\.?[0-9]+$""))*100,""0.00"")"),"71.28 +/- 0.84")</f>
        <v>71.28 +/- 0.84</v>
      </c>
      <c r="M22" s="9" t="str">
        <f>IFERROR(__xludf.DUMMYFUNCTION("TEXT(VALUE(REGEXEXTRACT(E22,""^[+-]?[0-9]*\.?[0-9]+""))*100,""0.00"")&amp;"" +/- ""&amp;TEXT(VALUE(REGEXEXTRACT(E22,""[0-9]*\.?[0-9]+$""))*100,""0.00"")"),"74.25 +/- 0.79")</f>
        <v>74.25 +/- 0.79</v>
      </c>
      <c r="N22" s="9" t="str">
        <f>IFERROR(__xludf.DUMMYFUNCTION("TEXT(VALUE(REGEXEXTRACT(F22,""^[+-]?[0-9]*\.?[0-9]+""))*100,""0.00"")&amp;"" +/- ""&amp;TEXT(VALUE(REGEXEXTRACT(F22,""[0-9]*\.?[0-9]+$""))*100,""0.00"")"),"72.34 +/- 0.63")</f>
        <v>72.34 +/- 0.63</v>
      </c>
      <c r="O22" s="9" t="str">
        <f>IFERROR(__xludf.DUMMYFUNCTION("TEXT(VALUE(REGEXEXTRACT(G22,""^[+-]?[0-9]*\.?[0-9]+""))*100,""0.00"")&amp;"" +/- ""&amp;TEXT(VALUE(REGEXEXTRACT(G22,""[0-9]*\.?[0-9]+$""))*100,""0.00"")"),"73.62 +/- 0.60")</f>
        <v>73.62 +/- 0.60</v>
      </c>
      <c r="P22" s="9" t="str">
        <f>IFERROR(__xludf.DUMMYFUNCTION("TEXT(VALUE(REGEXEXTRACT(H22,""^[+-]?[0-9]*\.?[0-9]+""))*100,""0.00"")&amp;"" +/- ""&amp;TEXT(VALUE(REGEXEXTRACT(H22,""[0-9]*\.?[0-9]+$""))*100,""0.00"")"),"73.14 +/- 1.33")</f>
        <v>73.14 +/- 1.33</v>
      </c>
    </row>
    <row r="23">
      <c r="A23" s="6" t="s">
        <v>371</v>
      </c>
      <c r="B23" s="14"/>
      <c r="C23" s="21" t="s">
        <v>388</v>
      </c>
      <c r="D23" s="21" t="s">
        <v>392</v>
      </c>
      <c r="E23" s="21" t="s">
        <v>395</v>
      </c>
      <c r="F23" s="21" t="s">
        <v>397</v>
      </c>
      <c r="G23" s="21" t="s">
        <v>399</v>
      </c>
      <c r="H23" s="21" t="s">
        <v>400</v>
      </c>
      <c r="I23" s="8" t="str">
        <f t="shared" si="1"/>
        <v>W/T/L</v>
      </c>
      <c r="K23" s="20" t="str">
        <f>IFERROR(__xludf.DUMMYFUNCTION("SUM(ARRAYFORMULA(IFERROR(
  (VALUE(REGEXEXTRACT($J$3:$J$22,""^[+-]?[0-9]*\.?[0-9]+""))&gt;
   VALUE(REGEXEXTRACT(K$3:K$22,""^[+-]?[0-9]*\.?[0-9]+"")))*1,0)))
&amp;""/""&amp;
SUM(ARRAYFORMULA(IFERROR(
  (VALUE(REGEXEXTRACT($J$3:$J$22,""^[+-]?[0-9]*\.?[0-9]+""))=
   V"&amp;"ALUE(REGEXEXTRACT(K$3:K$22,""^[+-]?[0-9]*\.?[0-9]+"")))*1,0)))
&amp;""/""&amp;
SUM(ARRAYFORMULA(IFERROR(
  (VALUE(REGEXEXTRACT($J$3:$J$22,""^[+-]?[0-9]*\.?[0-9]+""))&lt;
   VALUE(REGEXEXTRACT(K$3:K$22,""^[+-]?[0-9]*\.?[0-9]+"")))*1,0)))"),"16/0/4")</f>
        <v>16/0/4</v>
      </c>
      <c r="L23" s="20" t="str">
        <f>IFERROR(__xludf.DUMMYFUNCTION("SUM(ARRAYFORMULA(IFERROR(
  (VALUE(REGEXEXTRACT($J$3:$J$22,""^[+-]?[0-9]*\.?[0-9]+""))&gt;
   VALUE(REGEXEXTRACT(L$3:L$22,""^[+-]?[0-9]*\.?[0-9]+"")))*1,0)))
&amp;""/""&amp;
SUM(ARRAYFORMULA(IFERROR(
  (VALUE(REGEXEXTRACT($J$3:$J$22,""^[+-]?[0-9]*\.?[0-9]+""))=
   V"&amp;"ALUE(REGEXEXTRACT(L$3:L$22,""^[+-]?[0-9]*\.?[0-9]+"")))*1,0)))
&amp;""/""&amp;
SUM(ARRAYFORMULA(IFERROR(
  (VALUE(REGEXEXTRACT($J$3:$J$22,""^[+-]?[0-9]*\.?[0-9]+""))&lt;
   VALUE(REGEXEXTRACT(L$3:L$22,""^[+-]?[0-9]*\.?[0-9]+"")))*1,0)))"),"14/0/6")</f>
        <v>14/0/6</v>
      </c>
      <c r="M23" s="20" t="str">
        <f>IFERROR(__xludf.DUMMYFUNCTION("SUM(ARRAYFORMULA(IFERROR(
  (VALUE(REGEXEXTRACT($J$3:$J$22,""^[+-]?[0-9]*\.?[0-9]+""))&gt;
   VALUE(REGEXEXTRACT(M$3:M$22,""^[+-]?[0-9]*\.?[0-9]+"")))*1,0)))
&amp;""/""&amp;
SUM(ARRAYFORMULA(IFERROR(
  (VALUE(REGEXEXTRACT($J$3:$J$22,""^[+-]?[0-9]*\.?[0-9]+""))=
   V"&amp;"ALUE(REGEXEXTRACT(M$3:M$22,""^[+-]?[0-9]*\.?[0-9]+"")))*1,0)))
&amp;""/""&amp;
SUM(ARRAYFORMULA(IFERROR(
  (VALUE(REGEXEXTRACT($J$3:$J$22,""^[+-]?[0-9]*\.?[0-9]+""))&lt;
   VALUE(REGEXEXTRACT(M$3:M$22,""^[+-]?[0-9]*\.?[0-9]+"")))*1,0)))"),"9/0/11")</f>
        <v>9/0/11</v>
      </c>
      <c r="N23" s="20" t="str">
        <f>IFERROR(__xludf.DUMMYFUNCTION("SUM(ARRAYFORMULA(IFERROR(
  (VALUE(REGEXEXTRACT($J$3:$J$22,""^[+-]?[0-9]*\.?[0-9]+""))&gt;
   VALUE(REGEXEXTRACT(N$3:N$22,""^[+-]?[0-9]*\.?[0-9]+"")))*1,0)))
&amp;""/""&amp;
SUM(ARRAYFORMULA(IFERROR(
  (VALUE(REGEXEXTRACT($J$3:$J$22,""^[+-]?[0-9]*\.?[0-9]+""))=
   V"&amp;"ALUE(REGEXEXTRACT(N$3:N$22,""^[+-]?[0-9]*\.?[0-9]+"")))*1,0)))
&amp;""/""&amp;
SUM(ARRAYFORMULA(IFERROR(
  (VALUE(REGEXEXTRACT($J$3:$J$22,""^[+-]?[0-9]*\.?[0-9]+""))&lt;
   VALUE(REGEXEXTRACT(N$3:N$22,""^[+-]?[0-9]*\.?[0-9]+"")))*1,0)))"),"8/0/12")</f>
        <v>8/0/12</v>
      </c>
      <c r="O23" s="20" t="str">
        <f>IFERROR(__xludf.DUMMYFUNCTION("SUM(ARRAYFORMULA(IFERROR(
  (VALUE(REGEXEXTRACT($J$3:$J$22,""^[+-]?[0-9]*\.?[0-9]+""))&gt;
   VALUE(REGEXEXTRACT(O$3:O$22,""^[+-]?[0-9]*\.?[0-9]+"")))*1,0)))
&amp;""/""&amp;
SUM(ARRAYFORMULA(IFERROR(
  (VALUE(REGEXEXTRACT($J$3:$J$22,""^[+-]?[0-9]*\.?[0-9]+""))=
   V"&amp;"ALUE(REGEXEXTRACT(O$3:O$22,""^[+-]?[0-9]*\.?[0-9]+"")))*1,0)))
&amp;""/""&amp;
SUM(ARRAYFORMULA(IFERROR(
  (VALUE(REGEXEXTRACT($J$3:$J$22,""^[+-]?[0-9]*\.?[0-9]+""))&lt;
   VALUE(REGEXEXTRACT(O$3:O$22,""^[+-]?[0-9]*\.?[0-9]+"")))*1,0)))"),"5/0/15")</f>
        <v>5/0/15</v>
      </c>
      <c r="P23" s="20" t="str">
        <f>IFERROR(__xludf.DUMMYFUNCTION("SUM(ARRAYFORMULA(IFERROR(
  (VALUE(REGEXEXTRACT($J$3:$J$22,""^[+-]?[0-9]*\.?[0-9]+""))&gt;
   VALUE(REGEXEXTRACT(P$3:P$22,""^[+-]?[0-9]*\.?[0-9]+"")))*1,0)))
&amp;""/""&amp;
SUM(ARRAYFORMULA(IFERROR(
  (VALUE(REGEXEXTRACT($J$3:$J$22,""^[+-]?[0-9]*\.?[0-9]+""))=
   V"&amp;"ALUE(REGEXEXTRACT(P$3:P$22,""^[+-]?[0-9]*\.?[0-9]+"")))*1,0)))
&amp;""/""&amp;
SUM(ARRAYFORMULA(IFERROR(
  (VALUE(REGEXEXTRACT($J$3:$J$22,""^[+-]?[0-9]*\.?[0-9]+""))&lt;
   VALUE(REGEXEXTRACT(P$3:P$22,""^[+-]?[0-9]*\.?[0-9]+"")))*1,0)))"),"19/0/1")</f>
        <v>19/0/1</v>
      </c>
    </row>
    <row r="24">
      <c r="A24" s="6" t="s">
        <v>489</v>
      </c>
      <c r="B24" s="14" t="s">
        <v>508</v>
      </c>
      <c r="C24" s="14" t="s">
        <v>509</v>
      </c>
      <c r="D24" s="14" t="s">
        <v>510</v>
      </c>
      <c r="E24" s="14" t="s">
        <v>511</v>
      </c>
      <c r="F24" s="14" t="s">
        <v>512</v>
      </c>
      <c r="G24" s="14" t="s">
        <v>513</v>
      </c>
      <c r="H24" s="14" t="s">
        <v>514</v>
      </c>
      <c r="I24" s="8" t="str">
        <f t="shared" si="1"/>
        <v>Average (%)</v>
      </c>
      <c r="J24" s="14">
        <f>IFERROR(__xludf.DUMMYFUNCTION("ROUND(AVERAGE(ARRAYFORMULA(IFERROR(VALUE(REGEXEXTRACT(J$3:J$22,""^[+-]?[0-9]*\.?[0-9]+"")),""""))),2)"),72.65)</f>
        <v>72.65</v>
      </c>
      <c r="K24" s="14">
        <f>IFERROR(__xludf.DUMMYFUNCTION("ROUND(AVERAGE(ARRAYFORMULA(IFERROR(VALUE(REGEXEXTRACT(K$3:K$22,""^[+-]?[0-9]*\.?[0-9]+"")),""""))),2)"),68.94)</f>
        <v>68.94</v>
      </c>
      <c r="L24" s="14">
        <f>IFERROR(__xludf.DUMMYFUNCTION("ROUND(AVERAGE(ARRAYFORMULA(IFERROR(VALUE(REGEXEXTRACT(L$3:L$22,""^[+-]?[0-9]*\.?[0-9]+"")),""""))),2)"),68.87)</f>
        <v>68.87</v>
      </c>
      <c r="M24" s="14">
        <f>IFERROR(__xludf.DUMMYFUNCTION("ROUND(AVERAGE(ARRAYFORMULA(IFERROR(VALUE(REGEXEXTRACT(M$3:M$22,""^[+-]?[0-9]*\.?[0-9]+"")),""""))),2)"),71.82)</f>
        <v>71.82</v>
      </c>
      <c r="N24" s="14">
        <f>IFERROR(__xludf.DUMMYFUNCTION("ROUND(AVERAGE(ARRAYFORMULA(IFERROR(VALUE(REGEXEXTRACT(N$3:N$22,""^[+-]?[0-9]*\.?[0-9]+"")),""""))),2)"),71.26)</f>
        <v>71.26</v>
      </c>
      <c r="O24" s="14">
        <f>IFERROR(__xludf.DUMMYFUNCTION("ROUND(AVERAGE(ARRAYFORMULA(IFERROR(VALUE(REGEXEXTRACT(O$3:O$22,""^[+-]?[0-9]*\.?[0-9]+"")),""""))),2)"),71.72)</f>
        <v>71.72</v>
      </c>
      <c r="P24" s="14">
        <f>IFERROR(__xludf.DUMMYFUNCTION("ROUND(AVERAGE(ARRAYFORMULA(IFERROR(VALUE(REGEXEXTRACT(P$3:P$22,""^[+-]?[0-9]*\.?[0-9]+"")),""""))),2)"),61.23)</f>
        <v>61.23</v>
      </c>
    </row>
    <row r="25">
      <c r="A25" s="4" t="s">
        <v>504</v>
      </c>
      <c r="B25" s="26"/>
      <c r="C25" s="26"/>
      <c r="D25" s="26"/>
      <c r="E25" s="26"/>
      <c r="F25" s="26"/>
      <c r="G25" s="26"/>
      <c r="H25" s="26"/>
      <c r="I25" s="4" t="s">
        <v>504</v>
      </c>
    </row>
    <row r="26">
      <c r="A26" s="23" t="s">
        <v>505</v>
      </c>
      <c r="B26" s="7" t="s">
        <v>581</v>
      </c>
      <c r="C26" s="7" t="s">
        <v>581</v>
      </c>
      <c r="D26" s="7" t="s">
        <v>584</v>
      </c>
      <c r="E26" s="7" t="s">
        <v>581</v>
      </c>
      <c r="F26" s="7" t="s">
        <v>581</v>
      </c>
      <c r="G26" s="7" t="s">
        <v>581</v>
      </c>
      <c r="H26" s="7" t="s">
        <v>581</v>
      </c>
      <c r="I26" s="8" t="str">
        <f t="shared" ref="I26:I33" si="2">A26</f>
        <v>A→S</v>
      </c>
      <c r="J26" s="10" t="str">
        <f>IFERROR(__xludf.DUMMYFUNCTION("TEXT(VALUE(REGEXEXTRACT(B26,""^[+-]?[0-9]*\.?[0-9]+""))*100,""0.00"")&amp;"" +/- ""&amp;TEXT(VALUE(REGEXEXTRACT(B26,""[0-9]*\.?[0-9]+$""))*100,""0.00"")"),"81.30 +/- 1.95")</f>
        <v>81.30 +/- 1.95</v>
      </c>
      <c r="K26" s="10" t="str">
        <f>IFERROR(__xludf.DUMMYFUNCTION("TEXT(VALUE(REGEXEXTRACT(C26,""^[+-]?[0-9]*\.?[0-9]+""))*100,""0.00"")&amp;"" +/- ""&amp;TEXT(VALUE(REGEXEXTRACT(C26,""[0-9]*\.?[0-9]+$""))*100,""0.00"")"),"81.30 +/- 1.95")</f>
        <v>81.30 +/- 1.95</v>
      </c>
      <c r="L26" s="9" t="str">
        <f>IFERROR(__xludf.DUMMYFUNCTION("TEXT(VALUE(REGEXEXTRACT(D26,""^[+-]?[0-9]*\.?[0-9]+""))*100,""0.00"")&amp;"" +/- ""&amp;TEXT(VALUE(REGEXEXTRACT(D26,""[0-9]*\.?[0-9]+$""))*100,""0.00"")"),"67.58 +/- 4.74")</f>
        <v>67.58 +/- 4.74</v>
      </c>
      <c r="M26" s="10" t="str">
        <f>IFERROR(__xludf.DUMMYFUNCTION("TEXT(VALUE(REGEXEXTRACT(E26,""^[+-]?[0-9]*\.?[0-9]+""))*100,""0.00"")&amp;"" +/- ""&amp;TEXT(VALUE(REGEXEXTRACT(E26,""[0-9]*\.?[0-9]+$""))*100,""0.00"")"),"81.30 +/- 1.95")</f>
        <v>81.30 +/- 1.95</v>
      </c>
      <c r="N26" s="10" t="str">
        <f>IFERROR(__xludf.DUMMYFUNCTION("TEXT(VALUE(REGEXEXTRACT(F26,""^[+-]?[0-9]*\.?[0-9]+""))*100,""0.00"")&amp;"" +/- ""&amp;TEXT(VALUE(REGEXEXTRACT(F26,""[0-9]*\.?[0-9]+$""))*100,""0.00"")"),"81.30 +/- 1.95")</f>
        <v>81.30 +/- 1.95</v>
      </c>
      <c r="O26" s="10" t="str">
        <f>IFERROR(__xludf.DUMMYFUNCTION("TEXT(VALUE(REGEXEXTRACT(G26,""^[+-]?[0-9]*\.?[0-9]+""))*100,""0.00"")&amp;"" +/- ""&amp;TEXT(VALUE(REGEXEXTRACT(G26,""[0-9]*\.?[0-9]+$""))*100,""0.00"")"),"81.30 +/- 1.95")</f>
        <v>81.30 +/- 1.95</v>
      </c>
      <c r="P26" s="10" t="str">
        <f>IFERROR(__xludf.DUMMYFUNCTION("TEXT(VALUE(REGEXEXTRACT(H26,""^[+-]?[0-9]*\.?[0-9]+""))*100,""0.00"")&amp;"" +/- ""&amp;TEXT(VALUE(REGEXEXTRACT(H26,""[0-9]*\.?[0-9]+$""))*100,""0.00"")"),"81.30 +/- 1.95")</f>
        <v>81.30 +/- 1.95</v>
      </c>
    </row>
    <row r="27">
      <c r="A27" s="6" t="s">
        <v>529</v>
      </c>
      <c r="B27" s="7" t="s">
        <v>615</v>
      </c>
      <c r="C27" s="7" t="s">
        <v>615</v>
      </c>
      <c r="D27" s="7" t="s">
        <v>616</v>
      </c>
      <c r="E27" s="7" t="s">
        <v>615</v>
      </c>
      <c r="F27" s="7" t="s">
        <v>615</v>
      </c>
      <c r="G27" s="7" t="s">
        <v>615</v>
      </c>
      <c r="H27" s="7" t="s">
        <v>615</v>
      </c>
      <c r="I27" s="8" t="str">
        <f t="shared" si="2"/>
        <v>A→Z</v>
      </c>
      <c r="J27" s="10" t="str">
        <f>IFERROR(__xludf.DUMMYFUNCTION("TEXT(VALUE(REGEXEXTRACT(B27,""^[+-]?[0-9]*\.?[0-9]+""))*100,""0.00"")&amp;"" +/- ""&amp;TEXT(VALUE(REGEXEXTRACT(B27,""[0-9]*\.?[0-9]+$""))*100,""0.00"")"),"64.22 +/- 1.15")</f>
        <v>64.22 +/- 1.15</v>
      </c>
      <c r="K27" s="10" t="str">
        <f>IFERROR(__xludf.DUMMYFUNCTION("TEXT(VALUE(REGEXEXTRACT(C27,""^[+-]?[0-9]*\.?[0-9]+""))*100,""0.00"")&amp;"" +/- ""&amp;TEXT(VALUE(REGEXEXTRACT(C27,""[0-9]*\.?[0-9]+$""))*100,""0.00"")"),"64.22 +/- 1.15")</f>
        <v>64.22 +/- 1.15</v>
      </c>
      <c r="L27" s="9" t="str">
        <f>IFERROR(__xludf.DUMMYFUNCTION("TEXT(VALUE(REGEXEXTRACT(D27,""^[+-]?[0-9]*\.?[0-9]+""))*100,""0.00"")&amp;"" +/- ""&amp;TEXT(VALUE(REGEXEXTRACT(D27,""[0-9]*\.?[0-9]+$""))*100,""0.00"")"),"56.64 +/- 3.29")</f>
        <v>56.64 +/- 3.29</v>
      </c>
      <c r="M27" s="10" t="str">
        <f>IFERROR(__xludf.DUMMYFUNCTION("TEXT(VALUE(REGEXEXTRACT(E27,""^[+-]?[0-9]*\.?[0-9]+""))*100,""0.00"")&amp;"" +/- ""&amp;TEXT(VALUE(REGEXEXTRACT(E27,""[0-9]*\.?[0-9]+$""))*100,""0.00"")"),"64.22 +/- 1.15")</f>
        <v>64.22 +/- 1.15</v>
      </c>
      <c r="N27" s="10" t="str">
        <f>IFERROR(__xludf.DUMMYFUNCTION("TEXT(VALUE(REGEXEXTRACT(F27,""^[+-]?[0-9]*\.?[0-9]+""))*100,""0.00"")&amp;"" +/- ""&amp;TEXT(VALUE(REGEXEXTRACT(F27,""[0-9]*\.?[0-9]+$""))*100,""0.00"")"),"64.22 +/- 1.15")</f>
        <v>64.22 +/- 1.15</v>
      </c>
      <c r="O27" s="10" t="str">
        <f>IFERROR(__xludf.DUMMYFUNCTION("TEXT(VALUE(REGEXEXTRACT(G27,""^[+-]?[0-9]*\.?[0-9]+""))*100,""0.00"")&amp;"" +/- ""&amp;TEXT(VALUE(REGEXEXTRACT(G27,""[0-9]*\.?[0-9]+$""))*100,""0.00"")"),"64.22 +/- 1.15")</f>
        <v>64.22 +/- 1.15</v>
      </c>
      <c r="P27" s="10" t="str">
        <f>IFERROR(__xludf.DUMMYFUNCTION("TEXT(VALUE(REGEXEXTRACT(H27,""^[+-]?[0-9]*\.?[0-9]+""))*100,""0.00"")&amp;"" +/- ""&amp;TEXT(VALUE(REGEXEXTRACT(H27,""[0-9]*\.?[0-9]+$""))*100,""0.00"")"),"64.22 +/- 1.15")</f>
        <v>64.22 +/- 1.15</v>
      </c>
    </row>
    <row r="28">
      <c r="A28" s="6" t="s">
        <v>539</v>
      </c>
      <c r="B28" s="7" t="s">
        <v>709</v>
      </c>
      <c r="C28" s="7" t="s">
        <v>710</v>
      </c>
      <c r="D28" s="7" t="s">
        <v>711</v>
      </c>
      <c r="E28" s="7" t="s">
        <v>712</v>
      </c>
      <c r="F28" s="7" t="s">
        <v>713</v>
      </c>
      <c r="G28" s="7" t="s">
        <v>714</v>
      </c>
      <c r="H28" s="7" t="s">
        <v>715</v>
      </c>
      <c r="I28" s="8" t="str">
        <f t="shared" si="2"/>
        <v>S→A</v>
      </c>
      <c r="J28" s="9" t="str">
        <f>IFERROR(__xludf.DUMMYFUNCTION("TEXT(VALUE(REGEXEXTRACT(B28,""^[+-]?[0-9]*\.?[0-9]+""))*100,""0.00"")&amp;"" +/- ""&amp;TEXT(VALUE(REGEXEXTRACT(B28,""[0-9]*\.?[0-9]+$""))*100,""0.00"")"),"77.47 +/- 0.72")</f>
        <v>77.47 +/- 0.72</v>
      </c>
      <c r="K28" s="9" t="str">
        <f>IFERROR(__xludf.DUMMYFUNCTION("TEXT(VALUE(REGEXEXTRACT(C28,""^[+-]?[0-9]*\.?[0-9]+""))*100,""0.00"")&amp;"" +/- ""&amp;TEXT(VALUE(REGEXEXTRACT(C28,""[0-9]*\.?[0-9]+$""))*100,""0.00"")"),"77.65 +/- 0.53")</f>
        <v>77.65 +/- 0.53</v>
      </c>
      <c r="L28" s="9" t="str">
        <f>IFERROR(__xludf.DUMMYFUNCTION("TEXT(VALUE(REGEXEXTRACT(D28,""^[+-]?[0-9]*\.?[0-9]+""))*100,""0.00"")&amp;"" +/- ""&amp;TEXT(VALUE(REGEXEXTRACT(D28,""[0-9]*\.?[0-9]+$""))*100,""0.00"")"),"63.99 +/- 2.11")</f>
        <v>63.99 +/- 2.11</v>
      </c>
      <c r="M28" s="9" t="str">
        <f>IFERROR(__xludf.DUMMYFUNCTION("TEXT(VALUE(REGEXEXTRACT(E28,""^[+-]?[0-9]*\.?[0-9]+""))*100,""0.00"")&amp;"" +/- ""&amp;TEXT(VALUE(REGEXEXTRACT(E28,""[0-9]*\.?[0-9]+$""))*100,""0.00"")"),"77.42 +/- 1.08")</f>
        <v>77.42 +/- 1.08</v>
      </c>
      <c r="N28" s="10" t="str">
        <f>IFERROR(__xludf.DUMMYFUNCTION("TEXT(VALUE(REGEXEXTRACT(F28,""^[+-]?[0-9]*\.?[0-9]+""))*100,""0.00"")&amp;"" +/- ""&amp;TEXT(VALUE(REGEXEXTRACT(F28,""[0-9]*\.?[0-9]+$""))*100,""0.00"")"),"77.98 +/- 0.74")</f>
        <v>77.98 +/- 0.74</v>
      </c>
      <c r="O28" s="9" t="str">
        <f>IFERROR(__xludf.DUMMYFUNCTION("TEXT(VALUE(REGEXEXTRACT(G28,""^[+-]?[0-9]*\.?[0-9]+""))*100,""0.00"")&amp;"" +/- ""&amp;TEXT(VALUE(REGEXEXTRACT(G28,""[0-9]*\.?[0-9]+$""))*100,""0.00"")"),"77.62 +/- 0.73")</f>
        <v>77.62 +/- 0.73</v>
      </c>
      <c r="P28" s="9" t="str">
        <f>IFERROR(__xludf.DUMMYFUNCTION("TEXT(VALUE(REGEXEXTRACT(H28,""^[+-]?[0-9]*\.?[0-9]+""))*100,""0.00"")&amp;"" +/- ""&amp;TEXT(VALUE(REGEXEXTRACT(H28,""[0-9]*\.?[0-9]+$""))*100,""0.00"")"),"75.37 +/- 1.27")</f>
        <v>75.37 +/- 1.27</v>
      </c>
    </row>
    <row r="29">
      <c r="A29" s="6" t="s">
        <v>556</v>
      </c>
      <c r="B29" s="7" t="s">
        <v>785</v>
      </c>
      <c r="C29" s="7" t="s">
        <v>786</v>
      </c>
      <c r="D29" s="7" t="s">
        <v>787</v>
      </c>
      <c r="E29" s="7" t="s">
        <v>788</v>
      </c>
      <c r="F29" s="7" t="s">
        <v>789</v>
      </c>
      <c r="G29" s="7" t="s">
        <v>790</v>
      </c>
      <c r="H29" s="7" t="s">
        <v>848</v>
      </c>
      <c r="I29" s="8" t="str">
        <f t="shared" si="2"/>
        <v>S→Z</v>
      </c>
      <c r="J29" s="9" t="str">
        <f>IFERROR(__xludf.DUMMYFUNCTION("TEXT(VALUE(REGEXEXTRACT(B29,""^[+-]?[0-9]*\.?[0-9]+""))*100,""0.00"")&amp;"" +/- ""&amp;TEXT(VALUE(REGEXEXTRACT(B29,""[0-9]*\.?[0-9]+$""))*100,""0.00"")"),"63.63 +/- 0.55")</f>
        <v>63.63 +/- 0.55</v>
      </c>
      <c r="K29" s="9" t="str">
        <f>IFERROR(__xludf.DUMMYFUNCTION("TEXT(VALUE(REGEXEXTRACT(C29,""^[+-]?[0-9]*\.?[0-9]+""))*100,""0.00"")&amp;"" +/- ""&amp;TEXT(VALUE(REGEXEXTRACT(C29,""[0-9]*\.?[0-9]+$""))*100,""0.00"")"),"63.75 +/- 0.52")</f>
        <v>63.75 +/- 0.52</v>
      </c>
      <c r="L29" s="9" t="str">
        <f>IFERROR(__xludf.DUMMYFUNCTION("TEXT(VALUE(REGEXEXTRACT(D29,""^[+-]?[0-9]*\.?[0-9]+""))*100,""0.00"")&amp;"" +/- ""&amp;TEXT(VALUE(REGEXEXTRACT(D29,""[0-9]*\.?[0-9]+$""))*100,""0.00"")"),"50.37 +/- 2.25")</f>
        <v>50.37 +/- 2.25</v>
      </c>
      <c r="M29" s="9" t="str">
        <f>IFERROR(__xludf.DUMMYFUNCTION("TEXT(VALUE(REGEXEXTRACT(E29,""^[+-]?[0-9]*\.?[0-9]+""))*100,""0.00"")&amp;"" +/- ""&amp;TEXT(VALUE(REGEXEXTRACT(E29,""[0-9]*\.?[0-9]+$""))*100,""0.00"")"),"63.38 +/- 0.81")</f>
        <v>63.38 +/- 0.81</v>
      </c>
      <c r="N29" s="10" t="str">
        <f>IFERROR(__xludf.DUMMYFUNCTION("TEXT(VALUE(REGEXEXTRACT(F29,""^[+-]?[0-9]*\.?[0-9]+""))*100,""0.00"")&amp;"" +/- ""&amp;TEXT(VALUE(REGEXEXTRACT(F29,""[0-9]*\.?[0-9]+$""))*100,""0.00"")"),"64.21 +/- 0.68")</f>
        <v>64.21 +/- 0.68</v>
      </c>
      <c r="O29" s="9" t="str">
        <f>IFERROR(__xludf.DUMMYFUNCTION("TEXT(VALUE(REGEXEXTRACT(G29,""^[+-]?[0-9]*\.?[0-9]+""))*100,""0.00"")&amp;"" +/- ""&amp;TEXT(VALUE(REGEXEXTRACT(G29,""[0-9]*\.?[0-9]+$""))*100,""0.00"")"),"63.77 +/- 0.80")</f>
        <v>63.77 +/- 0.80</v>
      </c>
      <c r="P29" s="9" t="str">
        <f>IFERROR(__xludf.DUMMYFUNCTION("TEXT(VALUE(REGEXEXTRACT(H29,""^[+-]?[0-9]*\.?[0-9]+""))*100,""0.00"")&amp;"" +/- ""&amp;TEXT(VALUE(REGEXEXTRACT(H29,""[0-9]*\.?[0-9]+$""))*100,""0.00"")"),"61.83 +/- 0.88")</f>
        <v>61.83 +/- 0.88</v>
      </c>
    </row>
    <row r="30">
      <c r="A30" s="6" t="s">
        <v>572</v>
      </c>
      <c r="B30" s="7" t="s">
        <v>930</v>
      </c>
      <c r="C30" s="7" t="s">
        <v>931</v>
      </c>
      <c r="D30" s="7" t="s">
        <v>932</v>
      </c>
      <c r="E30" s="7" t="s">
        <v>933</v>
      </c>
      <c r="F30" s="7" t="s">
        <v>934</v>
      </c>
      <c r="G30" s="7" t="s">
        <v>935</v>
      </c>
      <c r="H30" s="7" t="s">
        <v>936</v>
      </c>
      <c r="I30" s="8" t="str">
        <f t="shared" si="2"/>
        <v>Z→A</v>
      </c>
      <c r="J30" s="10" t="str">
        <f>IFERROR(__xludf.DUMMYFUNCTION("TEXT(VALUE(REGEXEXTRACT(B30,""^[+-]?[0-9]*\.?[0-9]+""))*100,""0.00"")&amp;"" +/- ""&amp;TEXT(VALUE(REGEXEXTRACT(B30,""[0-9]*\.?[0-9]+$""))*100,""0.00"")"),"72.02 +/- 1.38")</f>
        <v>72.02 +/- 1.38</v>
      </c>
      <c r="K30" s="9" t="str">
        <f>IFERROR(__xludf.DUMMYFUNCTION("TEXT(VALUE(REGEXEXTRACT(C30,""^[+-]?[0-9]*\.?[0-9]+""))*100,""0.00"")&amp;"" +/- ""&amp;TEXT(VALUE(REGEXEXTRACT(C30,""[0-9]*\.?[0-9]+$""))*100,""0.00"")"),"65.94 +/- 2.42")</f>
        <v>65.94 +/- 2.42</v>
      </c>
      <c r="L30" s="9" t="str">
        <f>IFERROR(__xludf.DUMMYFUNCTION("TEXT(VALUE(REGEXEXTRACT(D30,""^[+-]?[0-9]*\.?[0-9]+""))*100,""0.00"")&amp;"" +/- ""&amp;TEXT(VALUE(REGEXEXTRACT(D30,""[0-9]*\.?[0-9]+$""))*100,""0.00"")"),"61.90 +/- 3.02")</f>
        <v>61.90 +/- 3.02</v>
      </c>
      <c r="M30" s="9" t="str">
        <f>IFERROR(__xludf.DUMMYFUNCTION("TEXT(VALUE(REGEXEXTRACT(E30,""^[+-]?[0-9]*\.?[0-9]+""))*100,""0.00"")&amp;"" +/- ""&amp;TEXT(VALUE(REGEXEXTRACT(E30,""[0-9]*\.?[0-9]+$""))*100,""0.00"")"),"70.23 +/- 1.94")</f>
        <v>70.23 +/- 1.94</v>
      </c>
      <c r="N30" s="9" t="str">
        <f>IFERROR(__xludf.DUMMYFUNCTION("TEXT(VALUE(REGEXEXTRACT(F30,""^[+-]?[0-9]*\.?[0-9]+""))*100,""0.00"")&amp;"" +/- ""&amp;TEXT(VALUE(REGEXEXTRACT(F30,""[0-9]*\.?[0-9]+$""))*100,""0.00"")"),"71.61 +/- 1.68")</f>
        <v>71.61 +/- 1.68</v>
      </c>
      <c r="O30" s="9" t="str">
        <f>IFERROR(__xludf.DUMMYFUNCTION("TEXT(VALUE(REGEXEXTRACT(G30,""^[+-]?[0-9]*\.?[0-9]+""))*100,""0.00"")&amp;"" +/- ""&amp;TEXT(VALUE(REGEXEXTRACT(G30,""[0-9]*\.?[0-9]+$""))*100,""0.00"")"),"71.44 +/- 1.86")</f>
        <v>71.44 +/- 1.86</v>
      </c>
      <c r="P30" s="9" t="str">
        <f>IFERROR(__xludf.DUMMYFUNCTION("TEXT(VALUE(REGEXEXTRACT(H30,""^[+-]?[0-9]*\.?[0-9]+""))*100,""0.00"")&amp;"" +/- ""&amp;TEXT(VALUE(REGEXEXTRACT(H30,""[0-9]*\.?[0-9]+$""))*100,""0.00"")"),"39.25 +/- 3.10")</f>
        <v>39.25 +/- 3.10</v>
      </c>
    </row>
    <row r="31">
      <c r="A31" s="6" t="s">
        <v>583</v>
      </c>
      <c r="B31" s="7" t="s">
        <v>1144</v>
      </c>
      <c r="C31" s="7" t="s">
        <v>1145</v>
      </c>
      <c r="D31" s="7" t="s">
        <v>1146</v>
      </c>
      <c r="E31" s="7" t="s">
        <v>1147</v>
      </c>
      <c r="F31" s="7" t="s">
        <v>1148</v>
      </c>
      <c r="G31" s="7" t="s">
        <v>1149</v>
      </c>
      <c r="H31" s="7" t="s">
        <v>1150</v>
      </c>
      <c r="I31" s="8" t="str">
        <f t="shared" si="2"/>
        <v>Z→S</v>
      </c>
      <c r="J31" s="10" t="str">
        <f>IFERROR(__xludf.DUMMYFUNCTION("TEXT(VALUE(REGEXEXTRACT(B31,""^[+-]?[0-9]*\.?[0-9]+""))*100,""0.00"")&amp;"" +/- ""&amp;TEXT(VALUE(REGEXEXTRACT(B31,""[0-9]*\.?[0-9]+$""))*100,""0.00"")"),"85.34 +/- 2.23")</f>
        <v>85.34 +/- 2.23</v>
      </c>
      <c r="K31" s="9" t="str">
        <f>IFERROR(__xludf.DUMMYFUNCTION("TEXT(VALUE(REGEXEXTRACT(C31,""^[+-]?[0-9]*\.?[0-9]+""))*100,""0.00"")&amp;"" +/- ""&amp;TEXT(VALUE(REGEXEXTRACT(C31,""[0-9]*\.?[0-9]+$""))*100,""0.00"")"),"74.77 +/- 3.18")</f>
        <v>74.77 +/- 3.18</v>
      </c>
      <c r="L31" s="9" t="str">
        <f>IFERROR(__xludf.DUMMYFUNCTION("TEXT(VALUE(REGEXEXTRACT(D31,""^[+-]?[0-9]*\.?[0-9]+""))*100,""0.00"")&amp;"" +/- ""&amp;TEXT(VALUE(REGEXEXTRACT(D31,""[0-9]*\.?[0-9]+$""))*100,""0.00"")"),"49.59 +/- 4.87")</f>
        <v>49.59 +/- 4.87</v>
      </c>
      <c r="M31" s="9" t="str">
        <f>IFERROR(__xludf.DUMMYFUNCTION("TEXT(VALUE(REGEXEXTRACT(E31,""^[+-]?[0-9]*\.?[0-9]+""))*100,""0.00"")&amp;"" +/- ""&amp;TEXT(VALUE(REGEXEXTRACT(E31,""[0-9]*\.?[0-9]+$""))*100,""0.00"")"),"81.13 +/- 2.35")</f>
        <v>81.13 +/- 2.35</v>
      </c>
      <c r="N31" s="9" t="str">
        <f>IFERROR(__xludf.DUMMYFUNCTION("TEXT(VALUE(REGEXEXTRACT(F31,""^[+-]?[0-9]*\.?[0-9]+""))*100,""0.00"")&amp;"" +/- ""&amp;TEXT(VALUE(REGEXEXTRACT(F31,""[0-9]*\.?[0-9]+$""))*100,""0.00"")"),"81.70 +/- 2.16")</f>
        <v>81.70 +/- 2.16</v>
      </c>
      <c r="O31" s="9" t="str">
        <f>IFERROR(__xludf.DUMMYFUNCTION("TEXT(VALUE(REGEXEXTRACT(G31,""^[+-]?[0-9]*\.?[0-9]+""))*100,""0.00"")&amp;"" +/- ""&amp;TEXT(VALUE(REGEXEXTRACT(G31,""[0-9]*\.?[0-9]+$""))*100,""0.00"")"),"80.76 +/- 1.67")</f>
        <v>80.76 +/- 1.67</v>
      </c>
      <c r="P31" s="9" t="str">
        <f>IFERROR(__xludf.DUMMYFUNCTION("TEXT(VALUE(REGEXEXTRACT(H31,""^[+-]?[0-9]*\.?[0-9]+""))*100,""0.00"")&amp;"" +/- ""&amp;TEXT(VALUE(REGEXEXTRACT(H31,""[0-9]*\.?[0-9]+$""))*100,""0.00"")"),"41.56 +/- 3.07")</f>
        <v>41.56 +/- 3.07</v>
      </c>
    </row>
    <row r="32">
      <c r="A32" s="6" t="s">
        <v>371</v>
      </c>
      <c r="B32" s="14"/>
      <c r="C32" s="21" t="s">
        <v>607</v>
      </c>
      <c r="D32" s="21" t="s">
        <v>606</v>
      </c>
      <c r="E32" s="21" t="s">
        <v>671</v>
      </c>
      <c r="F32" s="21" t="s">
        <v>607</v>
      </c>
      <c r="G32" s="21" t="s">
        <v>607</v>
      </c>
      <c r="H32" s="21" t="s">
        <v>671</v>
      </c>
      <c r="I32" s="8" t="str">
        <f t="shared" si="2"/>
        <v>W/T/L</v>
      </c>
      <c r="K32" s="20" t="str">
        <f>IFERROR(__xludf.DUMMYFUNCTION("SUM(ARRAYFORMULA(IFERROR(
  (VALUE(REGEXEXTRACT($J$26:$J$31,""^[+-]?[0-9]*\.?[0-9]+""))&gt;
   VALUE(REGEXEXTRACT(K$26:K$31,""^[+-]?[0-9]*\.?[0-9]+"")))*1,0)))
&amp;""/""&amp;
SUM(ARRAYFORMULA(IFERROR(
  (VALUE(REGEXEXTRACT($J$26:$J$31,""^[+-]?[0-9]*\.?[0-9]+""))=
 "&amp;"  VALUE(REGEXEXTRACT(K$26:K$31,""^[+-]?[0-9]*\.?[0-9]+"")))*1,0)))
&amp;""/""&amp;
SUM(ARRAYFORMULA(IFERROR(
  (VALUE(REGEXEXTRACT($J$26:$J$31,""^[+-]?[0-9]*\.?[0-9]+""))&lt;
   VALUE(REGEXEXTRACT(K$26:K$31,""^[+-]?[0-9]*\.?[0-9]+"")))*1,0)))"),"2/2/2")</f>
        <v>2/2/2</v>
      </c>
      <c r="L32" s="20" t="str">
        <f>IFERROR(__xludf.DUMMYFUNCTION("SUM(ARRAYFORMULA(IFERROR(
  (VALUE(REGEXEXTRACT($J$26:$J$31,""^[+-]?[0-9]*\.?[0-9]+""))&gt;
   VALUE(REGEXEXTRACT(L$26:L$31,""^[+-]?[0-9]*\.?[0-9]+"")))*1,0)))
&amp;""/""&amp;
SUM(ARRAYFORMULA(IFERROR(
  (VALUE(REGEXEXTRACT($J$26:$J$31,""^[+-]?[0-9]*\.?[0-9]+""))=
 "&amp;"  VALUE(REGEXEXTRACT(L$26:L$31,""^[+-]?[0-9]*\.?[0-9]+"")))*1,0)))
&amp;""/""&amp;
SUM(ARRAYFORMULA(IFERROR(
  (VALUE(REGEXEXTRACT($J$26:$J$31,""^[+-]?[0-9]*\.?[0-9]+""))&lt;
   VALUE(REGEXEXTRACT(L$26:L$31,""^[+-]?[0-9]*\.?[0-9]+"")))*1,0)))"),"6/0/0")</f>
        <v>6/0/0</v>
      </c>
      <c r="M32" s="20" t="str">
        <f>IFERROR(__xludf.DUMMYFUNCTION("SUM(ARRAYFORMULA(IFERROR(
  (VALUE(REGEXEXTRACT($J$26:$J$31,""^[+-]?[0-9]*\.?[0-9]+""))&gt;
   VALUE(REGEXEXTRACT(M$26:M$31,""^[+-]?[0-9]*\.?[0-9]+"")))*1,0)))
&amp;""/""&amp;
SUM(ARRAYFORMULA(IFERROR(
  (VALUE(REGEXEXTRACT($J$26:$J$31,""^[+-]?[0-9]*\.?[0-9]+""))=
 "&amp;"  VALUE(REGEXEXTRACT(M$26:M$31,""^[+-]?[0-9]*\.?[0-9]+"")))*1,0)))
&amp;""/""&amp;
SUM(ARRAYFORMULA(IFERROR(
  (VALUE(REGEXEXTRACT($J$26:$J$31,""^[+-]?[0-9]*\.?[0-9]+""))&lt;
   VALUE(REGEXEXTRACT(M$26:M$31,""^[+-]?[0-9]*\.?[0-9]+"")))*1,0)))"),"4/2/0")</f>
        <v>4/2/0</v>
      </c>
      <c r="N32" s="20" t="str">
        <f>IFERROR(__xludf.DUMMYFUNCTION("SUM(ARRAYFORMULA(IFERROR(
  (VALUE(REGEXEXTRACT($J$26:$J$31,""^[+-]?[0-9]*\.?[0-9]+""))&gt;
   VALUE(REGEXEXTRACT(N$26:N$31,""^[+-]?[0-9]*\.?[0-9]+"")))*1,0)))
&amp;""/""&amp;
SUM(ARRAYFORMULA(IFERROR(
  (VALUE(REGEXEXTRACT($J$26:$J$31,""^[+-]?[0-9]*\.?[0-9]+""))=
 "&amp;"  VALUE(REGEXEXTRACT(N$26:N$31,""^[+-]?[0-9]*\.?[0-9]+"")))*1,0)))
&amp;""/""&amp;
SUM(ARRAYFORMULA(IFERROR(
  (VALUE(REGEXEXTRACT($J$26:$J$31,""^[+-]?[0-9]*\.?[0-9]+""))&lt;
   VALUE(REGEXEXTRACT(N$26:N$31,""^[+-]?[0-9]*\.?[0-9]+"")))*1,0)))"),"2/2/2")</f>
        <v>2/2/2</v>
      </c>
      <c r="O32" s="20" t="str">
        <f>IFERROR(__xludf.DUMMYFUNCTION("SUM(ARRAYFORMULA(IFERROR(
  (VALUE(REGEXEXTRACT($J$26:$J$31,""^[+-]?[0-9]*\.?[0-9]+""))&gt;
   VALUE(REGEXEXTRACT(O$26:O$31,""^[+-]?[0-9]*\.?[0-9]+"")))*1,0)))
&amp;""/""&amp;
SUM(ARRAYFORMULA(IFERROR(
  (VALUE(REGEXEXTRACT($J$26:$J$31,""^[+-]?[0-9]*\.?[0-9]+""))=
 "&amp;"  VALUE(REGEXEXTRACT(O$26:O$31,""^[+-]?[0-9]*\.?[0-9]+"")))*1,0)))
&amp;""/""&amp;
SUM(ARRAYFORMULA(IFERROR(
  (VALUE(REGEXEXTRACT($J$26:$J$31,""^[+-]?[0-9]*\.?[0-9]+""))&lt;
   VALUE(REGEXEXTRACT(O$26:O$31,""^[+-]?[0-9]*\.?[0-9]+"")))*1,0)))"),"2/2/2")</f>
        <v>2/2/2</v>
      </c>
      <c r="P32" s="20" t="str">
        <f>IFERROR(__xludf.DUMMYFUNCTION("SUM(ARRAYFORMULA(IFERROR(
  (VALUE(REGEXEXTRACT($J$26:$J$31,""^[+-]?[0-9]*\.?[0-9]+""))&gt;
   VALUE(REGEXEXTRACT(P$26:P$31,""^[+-]?[0-9]*\.?[0-9]+"")))*1,0)))
&amp;""/""&amp;
SUM(ARRAYFORMULA(IFERROR(
  (VALUE(REGEXEXTRACT($J$26:$J$31,""^[+-]?[0-9]*\.?[0-9]+""))=
 "&amp;"  VALUE(REGEXEXTRACT(P$26:P$31,""^[+-]?[0-9]*\.?[0-9]+"")))*1,0)))
&amp;""/""&amp;
SUM(ARRAYFORMULA(IFERROR(
  (VALUE(REGEXEXTRACT($J$26:$J$31,""^[+-]?[0-9]*\.?[0-9]+""))&lt;
   VALUE(REGEXEXTRACT(P$26:P$31,""^[+-]?[0-9]*\.?[0-9]+"")))*1,0)))"),"4/2/0")</f>
        <v>4/2/0</v>
      </c>
    </row>
    <row r="33">
      <c r="A33" s="6" t="s">
        <v>489</v>
      </c>
      <c r="B33" s="35">
        <v>74.0</v>
      </c>
      <c r="C33" s="35">
        <v>71.27</v>
      </c>
      <c r="D33" s="35">
        <v>58.35</v>
      </c>
      <c r="E33" s="35">
        <v>72.95</v>
      </c>
      <c r="F33" s="35">
        <v>73.5</v>
      </c>
      <c r="G33" s="35">
        <v>73.19</v>
      </c>
      <c r="H33" s="35">
        <v>60.59</v>
      </c>
      <c r="I33" s="8" t="str">
        <f t="shared" si="2"/>
        <v>Average (%)</v>
      </c>
      <c r="J33" s="9">
        <f>IFERROR(__xludf.DUMMYFUNCTION("ROUND(AVERAGE(ARRAYFORMULA(IFERROR(VALUE(REGEXEXTRACT(J$26:J$31,""^[+-]?[0-9]*\.?[0-9]+"")),""""))),2)"),74.0)</f>
        <v>74</v>
      </c>
      <c r="K33" s="9">
        <f>IFERROR(__xludf.DUMMYFUNCTION("ROUND(AVERAGE(ARRAYFORMULA(IFERROR(VALUE(REGEXEXTRACT(K$26:K$31,""^[+-]?[0-9]*\.?[0-9]+"")),""""))),2)"),71.27)</f>
        <v>71.27</v>
      </c>
      <c r="L33" s="9">
        <f>IFERROR(__xludf.DUMMYFUNCTION("ROUND(AVERAGE(ARRAYFORMULA(IFERROR(VALUE(REGEXEXTRACT(L$26:L$31,""^[+-]?[0-9]*\.?[0-9]+"")),""""))),2)"),58.35)</f>
        <v>58.35</v>
      </c>
      <c r="M33" s="9">
        <f>IFERROR(__xludf.DUMMYFUNCTION("ROUND(AVERAGE(ARRAYFORMULA(IFERROR(VALUE(REGEXEXTRACT(M$26:M$31,""^[+-]?[0-9]*\.?[0-9]+"")),""""))),2)"),72.95)</f>
        <v>72.95</v>
      </c>
      <c r="N33" s="9">
        <f>IFERROR(__xludf.DUMMYFUNCTION("ROUND(AVERAGE(ARRAYFORMULA(IFERROR(VALUE(REGEXEXTRACT(N$26:N$31,""^[+-]?[0-9]*\.?[0-9]+"")),""""))),2)"),73.5)</f>
        <v>73.5</v>
      </c>
      <c r="O33" s="9">
        <f>IFERROR(__xludf.DUMMYFUNCTION("ROUND(AVERAGE(ARRAYFORMULA(IFERROR(VALUE(REGEXEXTRACT(O$26:O$31,""^[+-]?[0-9]*\.?[0-9]+"")),""""))),2)"),73.19)</f>
        <v>73.19</v>
      </c>
      <c r="P33" s="9">
        <f>IFERROR(__xludf.DUMMYFUNCTION("ROUND(AVERAGE(ARRAYFORMULA(IFERROR(VALUE(REGEXEXTRACT(P$26:P$31,""^[+-]?[0-9]*\.?[0-9]+"")),""""))),2)"),60.59)</f>
        <v>60.59</v>
      </c>
    </row>
    <row r="34">
      <c r="A34" s="4" t="s">
        <v>659</v>
      </c>
      <c r="B34" s="26"/>
      <c r="C34" s="26"/>
      <c r="D34" s="26"/>
      <c r="E34" s="26"/>
      <c r="F34" s="26"/>
      <c r="G34" s="26"/>
      <c r="H34" s="26"/>
      <c r="I34" s="4" t="s">
        <v>659</v>
      </c>
    </row>
    <row r="35">
      <c r="A35" s="6" t="s">
        <v>660</v>
      </c>
      <c r="B35" s="7" t="s">
        <v>1602</v>
      </c>
      <c r="C35" s="7" t="s">
        <v>1603</v>
      </c>
      <c r="D35" s="7" t="s">
        <v>1604</v>
      </c>
      <c r="E35" s="7" t="s">
        <v>1605</v>
      </c>
      <c r="F35" s="7" t="s">
        <v>1606</v>
      </c>
      <c r="G35" s="7" t="s">
        <v>1607</v>
      </c>
      <c r="H35" s="7" t="s">
        <v>1608</v>
      </c>
      <c r="I35" s="8" t="str">
        <f t="shared" ref="I35:I56" si="3">A35</f>
        <v>AR1→AR3</v>
      </c>
      <c r="J35" s="9" t="str">
        <f>IFERROR(__xludf.DUMMYFUNCTION("TEXT(VALUE(REGEXEXTRACT(B35,""^[+-]?[0-9]*\.?[0-9]+""))*100,""0.00"")&amp;"" +/- ""&amp;TEXT(VALUE(REGEXEXTRACT(B35,""[0-9]*\.?[0-9]+$""))*100,""0.00"")"),"71.97 +/- 1.30")</f>
        <v>71.97 +/- 1.30</v>
      </c>
      <c r="K35" s="9" t="str">
        <f>IFERROR(__xludf.DUMMYFUNCTION("TEXT(VALUE(REGEXEXTRACT(C35,""^[+-]?[0-9]*\.?[0-9]+""))*100,""0.00"")&amp;"" +/- ""&amp;TEXT(VALUE(REGEXEXTRACT(C35,""[0-9]*\.?[0-9]+$""))*100,""0.00"")"),"80.23 +/- 2.71")</f>
        <v>80.23 +/- 2.71</v>
      </c>
      <c r="L35" s="9" t="str">
        <f>IFERROR(__xludf.DUMMYFUNCTION("TEXT(VALUE(REGEXEXTRACT(D35,""^[+-]?[0-9]*\.?[0-9]+""))*100,""0.00"")&amp;"" +/- ""&amp;TEXT(VALUE(REGEXEXTRACT(D35,""[0-9]*\.?[0-9]+$""))*100,""0.00"")"),"73.30 +/- 2.29")</f>
        <v>73.30 +/- 2.29</v>
      </c>
      <c r="M35" s="9" t="str">
        <f>IFERROR(__xludf.DUMMYFUNCTION("TEXT(VALUE(REGEXEXTRACT(E35,""^[+-]?[0-9]*\.?[0-9]+""))*100,""0.00"")&amp;"" +/- ""&amp;TEXT(VALUE(REGEXEXTRACT(E35,""[0-9]*\.?[0-9]+$""))*100,""0.00"")"),"78.36 +/- 1.61")</f>
        <v>78.36 +/- 1.61</v>
      </c>
      <c r="N35" s="9" t="str">
        <f>IFERROR(__xludf.DUMMYFUNCTION("TEXT(VALUE(REGEXEXTRACT(F35,""^[+-]?[0-9]*\.?[0-9]+""))*100,""0.00"")&amp;"" +/- ""&amp;TEXT(VALUE(REGEXEXTRACT(F35,""[0-9]*\.?[0-9]+$""))*100,""0.00"")"),"72.14 +/- 1.63")</f>
        <v>72.14 +/- 1.63</v>
      </c>
      <c r="O35" s="9" t="str">
        <f>IFERROR(__xludf.DUMMYFUNCTION("TEXT(VALUE(REGEXEXTRACT(G35,""^[+-]?[0-9]*\.?[0-9]+""))*100,""0.00"")&amp;"" +/- ""&amp;TEXT(VALUE(REGEXEXTRACT(G35,""[0-9]*\.?[0-9]+$""))*100,""0.00"")"),"71.85 +/- 1.52")</f>
        <v>71.85 +/- 1.52</v>
      </c>
      <c r="P35" s="10" t="str">
        <f>IFERROR(__xludf.DUMMYFUNCTION("TEXT(VALUE(REGEXEXTRACT(H35,""^[+-]?[0-9]*\.?[0-9]+""))*100,""0.00"")&amp;"" +/- ""&amp;TEXT(VALUE(REGEXEXTRACT(H35,""[0-9]*\.?[0-9]+$""))*100,""0.00"")"),"80.90 +/- 2.14")</f>
        <v>80.90 +/- 2.14</v>
      </c>
    </row>
    <row r="36">
      <c r="A36" s="6" t="s">
        <v>676</v>
      </c>
      <c r="B36" s="7" t="s">
        <v>1616</v>
      </c>
      <c r="C36" s="7" t="s">
        <v>1617</v>
      </c>
      <c r="D36" s="7" t="s">
        <v>1618</v>
      </c>
      <c r="E36" s="7" t="s">
        <v>1619</v>
      </c>
      <c r="F36" s="7" t="s">
        <v>1620</v>
      </c>
      <c r="G36" s="7" t="s">
        <v>1621</v>
      </c>
      <c r="H36" s="7" t="s">
        <v>1622</v>
      </c>
      <c r="I36" s="8" t="str">
        <f t="shared" si="3"/>
        <v>AR1→AR4</v>
      </c>
      <c r="J36" s="9" t="str">
        <f>IFERROR(__xludf.DUMMYFUNCTION("TEXT(VALUE(REGEXEXTRACT(B36,""^[+-]?[0-9]*\.?[0-9]+""))*100,""0.00"")&amp;"" +/- ""&amp;TEXT(VALUE(REGEXEXTRACT(B36,""[0-9]*\.?[0-9]+$""))*100,""0.00"")"),"72.76 +/- 1.58")</f>
        <v>72.76 +/- 1.58</v>
      </c>
      <c r="K36" s="9" t="str">
        <f>IFERROR(__xludf.DUMMYFUNCTION("TEXT(VALUE(REGEXEXTRACT(C36,""^[+-]?[0-9]*\.?[0-9]+""))*100,""0.00"")&amp;"" +/- ""&amp;TEXT(VALUE(REGEXEXTRACT(C36,""[0-9]*\.?[0-9]+$""))*100,""0.00"")"),"75.24 +/- 1.89")</f>
        <v>75.24 +/- 1.89</v>
      </c>
      <c r="L36" s="9" t="str">
        <f>IFERROR(__xludf.DUMMYFUNCTION("TEXT(VALUE(REGEXEXTRACT(D36,""^[+-]?[0-9]*\.?[0-9]+""))*100,""0.00"")&amp;"" +/- ""&amp;TEXT(VALUE(REGEXEXTRACT(D36,""[0-9]*\.?[0-9]+$""))*100,""0.00"")"),"62.86 +/- 2.38")</f>
        <v>62.86 +/- 2.38</v>
      </c>
      <c r="M36" s="9" t="str">
        <f>IFERROR(__xludf.DUMMYFUNCTION("TEXT(VALUE(REGEXEXTRACT(E36,""^[+-]?[0-9]*\.?[0-9]+""))*100,""0.00"")&amp;"" +/- ""&amp;TEXT(VALUE(REGEXEXTRACT(E36,""[0-9]*\.?[0-9]+$""))*100,""0.00"")"),"75.41 +/- 2.14")</f>
        <v>75.41 +/- 2.14</v>
      </c>
      <c r="N36" s="9" t="str">
        <f>IFERROR(__xludf.DUMMYFUNCTION("TEXT(VALUE(REGEXEXTRACT(F36,""^[+-]?[0-9]*\.?[0-9]+""))*100,""0.00"")&amp;"" +/- ""&amp;TEXT(VALUE(REGEXEXTRACT(F36,""[0-9]*\.?[0-9]+$""))*100,""0.00"")"),"72.56 +/- 1.33")</f>
        <v>72.56 +/- 1.33</v>
      </c>
      <c r="O36" s="9" t="str">
        <f>IFERROR(__xludf.DUMMYFUNCTION("TEXT(VALUE(REGEXEXTRACT(G36,""^[+-]?[0-9]*\.?[0-9]+""))*100,""0.00"")&amp;"" +/- ""&amp;TEXT(VALUE(REGEXEXTRACT(G36,""[0-9]*\.?[0-9]+$""))*100,""0.00"")"),"72.31 +/- 1.44")</f>
        <v>72.31 +/- 1.44</v>
      </c>
      <c r="P36" s="10" t="str">
        <f>IFERROR(__xludf.DUMMYFUNCTION("TEXT(VALUE(REGEXEXTRACT(H36,""^[+-]?[0-9]*\.?[0-9]+""))*100,""0.00"")&amp;"" +/- ""&amp;TEXT(VALUE(REGEXEXTRACT(H36,""[0-9]*\.?[0-9]+$""))*100,""0.00"")"),"78.51 +/- 1.78")</f>
        <v>78.51 +/- 1.78</v>
      </c>
    </row>
    <row r="37">
      <c r="A37" s="6" t="s">
        <v>684</v>
      </c>
      <c r="B37" s="7" t="s">
        <v>1630</v>
      </c>
      <c r="C37" s="7" t="s">
        <v>1631</v>
      </c>
      <c r="D37" s="7" t="s">
        <v>1632</v>
      </c>
      <c r="E37" s="7" t="s">
        <v>1633</v>
      </c>
      <c r="F37" s="7" t="s">
        <v>1634</v>
      </c>
      <c r="G37" s="7" t="s">
        <v>1635</v>
      </c>
      <c r="H37" s="7" t="s">
        <v>1636</v>
      </c>
      <c r="I37" s="8" t="str">
        <f t="shared" si="3"/>
        <v>AR1→AR5</v>
      </c>
      <c r="J37" s="10" t="str">
        <f>IFERROR(__xludf.DUMMYFUNCTION("TEXT(VALUE(REGEXEXTRACT(B37,""^[+-]?[0-9]*\.?[0-9]+""))*100,""0.00"")&amp;"" +/- ""&amp;TEXT(VALUE(REGEXEXTRACT(B37,""[0-9]*\.?[0-9]+$""))*100,""0.00"")"),"85.74 +/- 1.27")</f>
        <v>85.74 +/- 1.27</v>
      </c>
      <c r="K37" s="9" t="str">
        <f>IFERROR(__xludf.DUMMYFUNCTION("TEXT(VALUE(REGEXEXTRACT(C37,""^[+-]?[0-9]*\.?[0-9]+""))*100,""0.00"")&amp;"" +/- ""&amp;TEXT(VALUE(REGEXEXTRACT(C37,""[0-9]*\.?[0-9]+$""))*100,""0.00"")"),"65.80 +/- 5.95")</f>
        <v>65.80 +/- 5.95</v>
      </c>
      <c r="L37" s="9" t="str">
        <f>IFERROR(__xludf.DUMMYFUNCTION("TEXT(VALUE(REGEXEXTRACT(D37,""^[+-]?[0-9]*\.?[0-9]+""))*100,""0.00"")&amp;"" +/- ""&amp;TEXT(VALUE(REGEXEXTRACT(D37,""[0-9]*\.?[0-9]+$""))*100,""0.00"")"),"70.83 +/- 5.20")</f>
        <v>70.83 +/- 5.20</v>
      </c>
      <c r="M37" s="9" t="str">
        <f>IFERROR(__xludf.DUMMYFUNCTION("TEXT(VALUE(REGEXEXTRACT(E37,""^[+-]?[0-9]*\.?[0-9]+""))*100,""0.00"")&amp;"" +/- ""&amp;TEXT(VALUE(REGEXEXTRACT(E37,""[0-9]*\.?[0-9]+$""))*100,""0.00"")"),"87.23 +/- 1.65")</f>
        <v>87.23 +/- 1.65</v>
      </c>
      <c r="N37" s="9" t="str">
        <f>IFERROR(__xludf.DUMMYFUNCTION("TEXT(VALUE(REGEXEXTRACT(F37,""^[+-]?[0-9]*\.?[0-9]+""))*100,""0.00"")&amp;"" +/- ""&amp;TEXT(VALUE(REGEXEXTRACT(F37,""[0-9]*\.?[0-9]+$""))*100,""0.00"")"),"85.98 +/- 1.28")</f>
        <v>85.98 +/- 1.28</v>
      </c>
      <c r="O37" s="9" t="str">
        <f>IFERROR(__xludf.DUMMYFUNCTION("TEXT(VALUE(REGEXEXTRACT(G37,""^[+-]?[0-9]*\.?[0-9]+""))*100,""0.00"")&amp;"" +/- ""&amp;TEXT(VALUE(REGEXEXTRACT(G37,""[0-9]*\.?[0-9]+$""))*100,""0.00"")"),"86.00 +/- 1.29")</f>
        <v>86.00 +/- 1.29</v>
      </c>
      <c r="P37" s="9" t="str">
        <f>IFERROR(__xludf.DUMMYFUNCTION("TEXT(VALUE(REGEXEXTRACT(H37,""^[+-]?[0-9]*\.?[0-9]+""))*100,""0.00"")&amp;"" +/- ""&amp;TEXT(VALUE(REGEXEXTRACT(H37,""[0-9]*\.?[0-9]+$""))*100,""0.00"")"),"79.06 +/- 6.40")</f>
        <v>79.06 +/- 6.40</v>
      </c>
    </row>
    <row r="38">
      <c r="A38" s="6" t="s">
        <v>702</v>
      </c>
      <c r="B38" s="7" t="s">
        <v>1686</v>
      </c>
      <c r="C38" s="7" t="s">
        <v>1687</v>
      </c>
      <c r="D38" s="7" t="s">
        <v>1688</v>
      </c>
      <c r="E38" s="7" t="s">
        <v>1689</v>
      </c>
      <c r="F38" s="7" t="s">
        <v>1690</v>
      </c>
      <c r="G38" s="7" t="s">
        <v>1691</v>
      </c>
      <c r="H38" s="7" t="s">
        <v>1692</v>
      </c>
      <c r="I38" s="8" t="str">
        <f t="shared" si="3"/>
        <v>AR1→AR6</v>
      </c>
      <c r="J38" s="9" t="str">
        <f>IFERROR(__xludf.DUMMYFUNCTION("TEXT(VALUE(REGEXEXTRACT(B38,""^[+-]?[0-9]*\.?[0-9]+""))*100,""0.00"")&amp;"" +/- ""&amp;TEXT(VALUE(REGEXEXTRACT(B38,""[0-9]*\.?[0-9]+$""))*100,""0.00"")"),"59.53 +/- 1.50")</f>
        <v>59.53 +/- 1.50</v>
      </c>
      <c r="K38" s="10" t="str">
        <f>IFERROR(__xludf.DUMMYFUNCTION("TEXT(VALUE(REGEXEXTRACT(C38,""^[+-]?[0-9]*\.?[0-9]+""))*100,""0.00"")&amp;"" +/- ""&amp;TEXT(VALUE(REGEXEXTRACT(C38,""[0-9]*\.?[0-9]+$""))*100,""0.00"")"),"66.28 +/- 2.06")</f>
        <v>66.28 +/- 2.06</v>
      </c>
      <c r="L38" s="9" t="str">
        <f>IFERROR(__xludf.DUMMYFUNCTION("TEXT(VALUE(REGEXEXTRACT(D38,""^[+-]?[0-9]*\.?[0-9]+""))*100,""0.00"")&amp;"" +/- ""&amp;TEXT(VALUE(REGEXEXTRACT(D38,""[0-9]*\.?[0-9]+$""))*100,""0.00"")"),"57.79 +/- 2.27")</f>
        <v>57.79 +/- 2.27</v>
      </c>
      <c r="M38" s="9" t="str">
        <f>IFERROR(__xludf.DUMMYFUNCTION("TEXT(VALUE(REGEXEXTRACT(E38,""^[+-]?[0-9]*\.?[0-9]+""))*100,""0.00"")&amp;"" +/- ""&amp;TEXT(VALUE(REGEXEXTRACT(E38,""[0-9]*\.?[0-9]+$""))*100,""0.00"")"),"62.95 +/- 2.11")</f>
        <v>62.95 +/- 2.11</v>
      </c>
      <c r="N38" s="9" t="str">
        <f>IFERROR(__xludf.DUMMYFUNCTION("TEXT(VALUE(REGEXEXTRACT(F38,""^[+-]?[0-9]*\.?[0-9]+""))*100,""0.00"")&amp;"" +/- ""&amp;TEXT(VALUE(REGEXEXTRACT(F38,""[0-9]*\.?[0-9]+$""))*100,""0.00"")"),"59.83 +/- 1.77")</f>
        <v>59.83 +/- 1.77</v>
      </c>
      <c r="O38" s="9" t="str">
        <f>IFERROR(__xludf.DUMMYFUNCTION("TEXT(VALUE(REGEXEXTRACT(G38,""^[+-]?[0-9]*\.?[0-9]+""))*100,""0.00"")&amp;"" +/- ""&amp;TEXT(VALUE(REGEXEXTRACT(G38,""[0-9]*\.?[0-9]+$""))*100,""0.00"")"),"59.02 +/- 1.79")</f>
        <v>59.02 +/- 1.79</v>
      </c>
      <c r="P38" s="9" t="str">
        <f>IFERROR(__xludf.DUMMYFUNCTION("TEXT(VALUE(REGEXEXTRACT(H38,""^[+-]?[0-9]*\.?[0-9]+""))*100,""0.00"")&amp;"" +/- ""&amp;TEXT(VALUE(REGEXEXTRACT(H38,""[0-9]*\.?[0-9]+$""))*100,""0.00"")"),"60.32 +/- 2.37")</f>
        <v>60.32 +/- 2.37</v>
      </c>
    </row>
    <row r="39">
      <c r="A39" s="6" t="s">
        <v>738</v>
      </c>
      <c r="B39" s="7" t="s">
        <v>1707</v>
      </c>
      <c r="C39" s="7" t="s">
        <v>1708</v>
      </c>
      <c r="D39" s="7" t="s">
        <v>1709</v>
      </c>
      <c r="E39" s="7" t="s">
        <v>1710</v>
      </c>
      <c r="F39" s="7" t="s">
        <v>1711</v>
      </c>
      <c r="G39" s="7" t="s">
        <v>1712</v>
      </c>
      <c r="H39" s="7" t="s">
        <v>1713</v>
      </c>
      <c r="I39" s="8" t="str">
        <f t="shared" si="3"/>
        <v>AR3→AR1</v>
      </c>
      <c r="J39" s="9" t="str">
        <f>IFERROR(__xludf.DUMMYFUNCTION("TEXT(VALUE(REGEXEXTRACT(B39,""^[+-]?[0-9]*\.?[0-9]+""))*100,""0.00"")&amp;"" +/- ""&amp;TEXT(VALUE(REGEXEXTRACT(B39,""[0-9]*\.?[0-9]+$""))*100,""0.00"")"),"63.87 +/- 2.52")</f>
        <v>63.87 +/- 2.52</v>
      </c>
      <c r="K39" s="9" t="str">
        <f>IFERROR(__xludf.DUMMYFUNCTION("TEXT(VALUE(REGEXEXTRACT(C39,""^[+-]?[0-9]*\.?[0-9]+""))*100,""0.00"")&amp;"" +/- ""&amp;TEXT(VALUE(REGEXEXTRACT(C39,""[0-9]*\.?[0-9]+$""))*100,""0.00"")"),"60.90 +/- 3.74")</f>
        <v>60.90 +/- 3.74</v>
      </c>
      <c r="L39" s="9" t="str">
        <f>IFERROR(__xludf.DUMMYFUNCTION("TEXT(VALUE(REGEXEXTRACT(D39,""^[+-]?[0-9]*\.?[0-9]+""))*100,""0.00"")&amp;"" +/- ""&amp;TEXT(VALUE(REGEXEXTRACT(D39,""[0-9]*\.?[0-9]+$""))*100,""0.00"")"),"59.36 +/- 4.14")</f>
        <v>59.36 +/- 4.14</v>
      </c>
      <c r="M39" s="10" t="str">
        <f>IFERROR(__xludf.DUMMYFUNCTION("TEXT(VALUE(REGEXEXTRACT(E39,""^[+-]?[0-9]*\.?[0-9]+""))*100,""0.00"")&amp;"" +/- ""&amp;TEXT(VALUE(REGEXEXTRACT(E39,""[0-9]*\.?[0-9]+$""))*100,""0.00"")"),"65.19 +/- 5.30")</f>
        <v>65.19 +/- 5.30</v>
      </c>
      <c r="N39" s="9" t="str">
        <f>IFERROR(__xludf.DUMMYFUNCTION("TEXT(VALUE(REGEXEXTRACT(F39,""^[+-]?[0-9]*\.?[0-9]+""))*100,""0.00"")&amp;"" +/- ""&amp;TEXT(VALUE(REGEXEXTRACT(F39,""[0-9]*\.?[0-9]+$""))*100,""0.00"")"),"63.56 +/- 2.31")</f>
        <v>63.56 +/- 2.31</v>
      </c>
      <c r="O39" s="9" t="str">
        <f>IFERROR(__xludf.DUMMYFUNCTION("TEXT(VALUE(REGEXEXTRACT(G39,""^[+-]?[0-9]*\.?[0-9]+""))*100,""0.00"")&amp;"" +/- ""&amp;TEXT(VALUE(REGEXEXTRACT(G39,""[0-9]*\.?[0-9]+$""))*100,""0.00"")"),"63.41 +/- 1.99")</f>
        <v>63.41 +/- 1.99</v>
      </c>
      <c r="P39" s="9" t="str">
        <f>IFERROR(__xludf.DUMMYFUNCTION("TEXT(VALUE(REGEXEXTRACT(H39,""^[+-]?[0-9]*\.?[0-9]+""))*100,""0.00"")&amp;"" +/- ""&amp;TEXT(VALUE(REGEXEXTRACT(H39,""[0-9]*\.?[0-9]+$""))*100,""0.00"")"),"52.72 +/- 4.13")</f>
        <v>52.72 +/- 4.13</v>
      </c>
    </row>
    <row r="40">
      <c r="A40" s="6" t="s">
        <v>752</v>
      </c>
      <c r="B40" s="7" t="s">
        <v>1728</v>
      </c>
      <c r="C40" s="7" t="s">
        <v>1729</v>
      </c>
      <c r="D40" s="7" t="s">
        <v>1732</v>
      </c>
      <c r="E40" s="7" t="s">
        <v>1734</v>
      </c>
      <c r="F40" s="7" t="s">
        <v>1737</v>
      </c>
      <c r="G40" s="7" t="s">
        <v>1740</v>
      </c>
      <c r="H40" s="7" t="s">
        <v>1744</v>
      </c>
      <c r="I40" s="8" t="str">
        <f t="shared" si="3"/>
        <v>AR3→AR4</v>
      </c>
      <c r="J40" s="9" t="str">
        <f>IFERROR(__xludf.DUMMYFUNCTION("TEXT(VALUE(REGEXEXTRACT(B40,""^[+-]?[0-9]*\.?[0-9]+""))*100,""0.00"")&amp;"" +/- ""&amp;TEXT(VALUE(REGEXEXTRACT(B40,""[0-9]*\.?[0-9]+$""))*100,""0.00"")"),"74.05 +/- 2.65")</f>
        <v>74.05 +/- 2.65</v>
      </c>
      <c r="K40" s="9" t="str">
        <f>IFERROR(__xludf.DUMMYFUNCTION("TEXT(VALUE(REGEXEXTRACT(C40,""^[+-]?[0-9]*\.?[0-9]+""))*100,""0.00"")&amp;"" +/- ""&amp;TEXT(VALUE(REGEXEXTRACT(C40,""[0-9]*\.?[0-9]+$""))*100,""0.00"")"),"64.63 +/- 2.87")</f>
        <v>64.63 +/- 2.87</v>
      </c>
      <c r="L40" s="9" t="str">
        <f>IFERROR(__xludf.DUMMYFUNCTION("TEXT(VALUE(REGEXEXTRACT(D40,""^[+-]?[0-9]*\.?[0-9]+""))*100,""0.00"")&amp;"" +/- ""&amp;TEXT(VALUE(REGEXEXTRACT(D40,""[0-9]*\.?[0-9]+$""))*100,""0.00"")"),"66.82 +/- 2.86")</f>
        <v>66.82 +/- 2.86</v>
      </c>
      <c r="M40" s="9" t="str">
        <f>IFERROR(__xludf.DUMMYFUNCTION("TEXT(VALUE(REGEXEXTRACT(E40,""^[+-]?[0-9]*\.?[0-9]+""))*100,""0.00"")&amp;"" +/- ""&amp;TEXT(VALUE(REGEXEXTRACT(E40,""[0-9]*\.?[0-9]+$""))*100,""0.00"")"),"63.51 +/- 2.20")</f>
        <v>63.51 +/- 2.20</v>
      </c>
      <c r="N40" s="10" t="str">
        <f>IFERROR(__xludf.DUMMYFUNCTION("TEXT(VALUE(REGEXEXTRACT(F40,""^[+-]?[0-9]*\.?[0-9]+""))*100,""0.00"")&amp;"" +/- ""&amp;TEXT(VALUE(REGEXEXTRACT(F40,""[0-9]*\.?[0-9]+$""))*100,""0.00"")"),"75.59 +/- 2.34")</f>
        <v>75.59 +/- 2.34</v>
      </c>
      <c r="O40" s="9" t="str">
        <f>IFERROR(__xludf.DUMMYFUNCTION("TEXT(VALUE(REGEXEXTRACT(G40,""^[+-]?[0-9]*\.?[0-9]+""))*100,""0.00"")&amp;"" +/- ""&amp;TEXT(VALUE(REGEXEXTRACT(G40,""[0-9]*\.?[0-9]+$""))*100,""0.00"")"),"74.44 +/- 2.08")</f>
        <v>74.44 +/- 2.08</v>
      </c>
      <c r="P40" s="9" t="str">
        <f>IFERROR(__xludf.DUMMYFUNCTION("TEXT(VALUE(REGEXEXTRACT(H40,""^[+-]?[0-9]*\.?[0-9]+""))*100,""0.00"")&amp;"" +/- ""&amp;TEXT(VALUE(REGEXEXTRACT(H40,""[0-9]*\.?[0-9]+$""))*100,""0.00"")"),"61.63 +/- 1.66")</f>
        <v>61.63 +/- 1.66</v>
      </c>
    </row>
    <row r="41">
      <c r="A41" s="6" t="s">
        <v>771</v>
      </c>
      <c r="B41" s="7" t="s">
        <v>1755</v>
      </c>
      <c r="C41" s="7" t="s">
        <v>1757</v>
      </c>
      <c r="D41" s="7" t="s">
        <v>1759</v>
      </c>
      <c r="E41" s="7" t="s">
        <v>1761</v>
      </c>
      <c r="F41" s="7" t="s">
        <v>1763</v>
      </c>
      <c r="G41" s="7" t="s">
        <v>1765</v>
      </c>
      <c r="H41" s="7" t="s">
        <v>1767</v>
      </c>
      <c r="I41" s="8" t="str">
        <f t="shared" si="3"/>
        <v>AR3→AR5</v>
      </c>
      <c r="J41" s="9" t="str">
        <f>IFERROR(__xludf.DUMMYFUNCTION("TEXT(VALUE(REGEXEXTRACT(B41,""^[+-]?[0-9]*\.?[0-9]+""))*100,""0.00"")&amp;"" +/- ""&amp;TEXT(VALUE(REGEXEXTRACT(B41,""[0-9]*\.?[0-9]+$""))*100,""0.00"")"),"91.64 +/- 2.53")</f>
        <v>91.64 +/- 2.53</v>
      </c>
      <c r="K41" s="9" t="str">
        <f>IFERROR(__xludf.DUMMYFUNCTION("TEXT(VALUE(REGEXEXTRACT(C41,""^[+-]?[0-9]*\.?[0-9]+""))*100,""0.00"")&amp;"" +/- ""&amp;TEXT(VALUE(REGEXEXTRACT(C41,""[0-9]*\.?[0-9]+$""))*100,""0.00"")"),"65.83 +/- 3.67")</f>
        <v>65.83 +/- 3.67</v>
      </c>
      <c r="L41" s="9" t="str">
        <f>IFERROR(__xludf.DUMMYFUNCTION("TEXT(VALUE(REGEXEXTRACT(D41,""^[+-]?[0-9]*\.?[0-9]+""))*100,""0.00"")&amp;"" +/- ""&amp;TEXT(VALUE(REGEXEXTRACT(D41,""[0-9]*\.?[0-9]+$""))*100,""0.00"")"),"75.71 +/- 4.27")</f>
        <v>75.71 +/- 4.27</v>
      </c>
      <c r="M41" s="9" t="str">
        <f>IFERROR(__xludf.DUMMYFUNCTION("TEXT(VALUE(REGEXEXTRACT(E41,""^[+-]?[0-9]*\.?[0-9]+""))*100,""0.00"")&amp;"" +/- ""&amp;TEXT(VALUE(REGEXEXTRACT(E41,""[0-9]*\.?[0-9]+$""))*100,""0.00"")"),"84.36 +/- 5.26")</f>
        <v>84.36 +/- 5.26</v>
      </c>
      <c r="N41" s="9" t="str">
        <f>IFERROR(__xludf.DUMMYFUNCTION("TEXT(VALUE(REGEXEXTRACT(F41,""^[+-]?[0-9]*\.?[0-9]+""))*100,""0.00"")&amp;"" +/- ""&amp;TEXT(VALUE(REGEXEXTRACT(F41,""[0-9]*\.?[0-9]+$""))*100,""0.00"")"),"92.06 +/- 2.37")</f>
        <v>92.06 +/- 2.37</v>
      </c>
      <c r="O41" s="10" t="str">
        <f>IFERROR(__xludf.DUMMYFUNCTION("TEXT(VALUE(REGEXEXTRACT(G41,""^[+-]?[0-9]*\.?[0-9]+""))*100,""0.00"")&amp;"" +/- ""&amp;TEXT(VALUE(REGEXEXTRACT(G41,""[0-9]*\.?[0-9]+$""))*100,""0.00"")"),"92.51 +/- 2.38")</f>
        <v>92.51 +/- 2.38</v>
      </c>
      <c r="P41" s="9" t="str">
        <f>IFERROR(__xludf.DUMMYFUNCTION("TEXT(VALUE(REGEXEXTRACT(H41,""^[+-]?[0-9]*\.?[0-9]+""))*100,""0.00"")&amp;"" +/- ""&amp;TEXT(VALUE(REGEXEXTRACT(H41,""[0-9]*\.?[0-9]+$""))*100,""0.00"")"),"79.47 +/- 3.89")</f>
        <v>79.47 +/- 3.89</v>
      </c>
    </row>
    <row r="42">
      <c r="A42" s="6" t="s">
        <v>798</v>
      </c>
      <c r="B42" s="7" t="s">
        <v>1784</v>
      </c>
      <c r="C42" s="7" t="s">
        <v>1785</v>
      </c>
      <c r="D42" s="7" t="s">
        <v>1786</v>
      </c>
      <c r="E42" s="7" t="s">
        <v>1787</v>
      </c>
      <c r="F42" s="7" t="s">
        <v>1788</v>
      </c>
      <c r="G42" s="7" t="s">
        <v>1789</v>
      </c>
      <c r="H42" s="7" t="s">
        <v>1790</v>
      </c>
      <c r="I42" s="8" t="str">
        <f t="shared" si="3"/>
        <v>AR3→AR6</v>
      </c>
      <c r="J42" s="9" t="str">
        <f>IFERROR(__xludf.DUMMYFUNCTION("TEXT(VALUE(REGEXEXTRACT(B42,""^[+-]?[0-9]*\.?[0-9]+""))*100,""0.00"")&amp;"" +/- ""&amp;TEXT(VALUE(REGEXEXTRACT(B42,""[0-9]*\.?[0-9]+$""))*100,""0.00"")"),"57.20 +/- 4.94")</f>
        <v>57.20 +/- 4.94</v>
      </c>
      <c r="K42" s="10" t="str">
        <f>IFERROR(__xludf.DUMMYFUNCTION("TEXT(VALUE(REGEXEXTRACT(C42,""^[+-]?[0-9]*\.?[0-9]+""))*100,""0.00"")&amp;"" +/- ""&amp;TEXT(VALUE(REGEXEXTRACT(C42,""[0-9]*\.?[0-9]+$""))*100,""0.00"")"),"58.36 +/- 1.64")</f>
        <v>58.36 +/- 1.64</v>
      </c>
      <c r="L42" s="9" t="str">
        <f>IFERROR(__xludf.DUMMYFUNCTION("TEXT(VALUE(REGEXEXTRACT(D42,""^[+-]?[0-9]*\.?[0-9]+""))*100,""0.00"")&amp;"" +/- ""&amp;TEXT(VALUE(REGEXEXTRACT(D42,""[0-9]*\.?[0-9]+$""))*100,""0.00"")"),"58.06 +/- 3.92")</f>
        <v>58.06 +/- 3.92</v>
      </c>
      <c r="M42" s="9" t="str">
        <f>IFERROR(__xludf.DUMMYFUNCTION("TEXT(VALUE(REGEXEXTRACT(E42,""^[+-]?[0-9]*\.?[0-9]+""))*100,""0.00"")&amp;"" +/- ""&amp;TEXT(VALUE(REGEXEXTRACT(E42,""[0-9]*\.?[0-9]+$""))*100,""0.00"")"),"57.27 +/- 3.48")</f>
        <v>57.27 +/- 3.48</v>
      </c>
      <c r="N42" s="9" t="str">
        <f>IFERROR(__xludf.DUMMYFUNCTION("TEXT(VALUE(REGEXEXTRACT(F42,""^[+-]?[0-9]*\.?[0-9]+""))*100,""0.00"")&amp;"" +/- ""&amp;TEXT(VALUE(REGEXEXTRACT(F42,""[0-9]*\.?[0-9]+$""))*100,""0.00"")"),"55.37 +/- 5.79")</f>
        <v>55.37 +/- 5.79</v>
      </c>
      <c r="O42" s="9" t="str">
        <f>IFERROR(__xludf.DUMMYFUNCTION("TEXT(VALUE(REGEXEXTRACT(G42,""^[+-]?[0-9]*\.?[0-9]+""))*100,""0.00"")&amp;"" +/- ""&amp;TEXT(VALUE(REGEXEXTRACT(G42,""[0-9]*\.?[0-9]+$""))*100,""0.00"")"),"56.83 +/- 4.01")</f>
        <v>56.83 +/- 4.01</v>
      </c>
      <c r="P42" s="9" t="str">
        <f>IFERROR(__xludf.DUMMYFUNCTION("TEXT(VALUE(REGEXEXTRACT(H42,""^[+-]?[0-9]*\.?[0-9]+""))*100,""0.00"")&amp;"" +/- ""&amp;TEXT(VALUE(REGEXEXTRACT(H42,""[0-9]*\.?[0-9]+$""))*100,""0.00"")"),"55.31 +/- 3.88")</f>
        <v>55.31 +/- 3.88</v>
      </c>
    </row>
    <row r="43">
      <c r="A43" s="6" t="s">
        <v>806</v>
      </c>
      <c r="B43" s="7" t="s">
        <v>1805</v>
      </c>
      <c r="C43" s="7" t="s">
        <v>1806</v>
      </c>
      <c r="D43" s="7" t="s">
        <v>1807</v>
      </c>
      <c r="E43" s="7" t="s">
        <v>1808</v>
      </c>
      <c r="F43" s="7" t="s">
        <v>1809</v>
      </c>
      <c r="G43" s="7" t="s">
        <v>1810</v>
      </c>
      <c r="H43" s="7" t="s">
        <v>1811</v>
      </c>
      <c r="I43" s="8" t="str">
        <f t="shared" si="3"/>
        <v>AR4→AR1</v>
      </c>
      <c r="J43" s="9" t="str">
        <f>IFERROR(__xludf.DUMMYFUNCTION("TEXT(VALUE(REGEXEXTRACT(B43,""^[+-]?[0-9]*\.?[0-9]+""))*100,""0.00"")&amp;"" +/- ""&amp;TEXT(VALUE(REGEXEXTRACT(B43,""[0-9]*\.?[0-9]+$""))*100,""0.00"")"),"68.00 +/- 1.95")</f>
        <v>68.00 +/- 1.95</v>
      </c>
      <c r="K43" s="9" t="str">
        <f>IFERROR(__xludf.DUMMYFUNCTION("TEXT(VALUE(REGEXEXTRACT(C43,""^[+-]?[0-9]*\.?[0-9]+""))*100,""0.00"")&amp;"" +/- ""&amp;TEXT(VALUE(REGEXEXTRACT(C43,""[0-9]*\.?[0-9]+$""))*100,""0.00"")"),"73.55 +/- 2.19")</f>
        <v>73.55 +/- 2.19</v>
      </c>
      <c r="L43" s="9" t="str">
        <f>IFERROR(__xludf.DUMMYFUNCTION("TEXT(VALUE(REGEXEXTRACT(D43,""^[+-]?[0-9]*\.?[0-9]+""))*100,""0.00"")&amp;"" +/- ""&amp;TEXT(VALUE(REGEXEXTRACT(D43,""[0-9]*\.?[0-9]+$""))*100,""0.00"")"),"62.21 +/- 2.59")</f>
        <v>62.21 +/- 2.59</v>
      </c>
      <c r="M43" s="9" t="str">
        <f>IFERROR(__xludf.DUMMYFUNCTION("TEXT(VALUE(REGEXEXTRACT(E43,""^[+-]?[0-9]*\.?[0-9]+""))*100,""0.00"")&amp;"" +/- ""&amp;TEXT(VALUE(REGEXEXTRACT(E43,""[0-9]*\.?[0-9]+$""))*100,""0.00"")"),"69.10 +/- 2.83")</f>
        <v>69.10 +/- 2.83</v>
      </c>
      <c r="N43" s="9" t="str">
        <f>IFERROR(__xludf.DUMMYFUNCTION("TEXT(VALUE(REGEXEXTRACT(F43,""^[+-]?[0-9]*\.?[0-9]+""))*100,""0.00"")&amp;"" +/- ""&amp;TEXT(VALUE(REGEXEXTRACT(F43,""[0-9]*\.?[0-9]+$""))*100,""0.00"")"),"69.93 +/- 1.63")</f>
        <v>69.93 +/- 1.63</v>
      </c>
      <c r="O43" s="10" t="str">
        <f>IFERROR(__xludf.DUMMYFUNCTION("TEXT(VALUE(REGEXEXTRACT(G43,""^[+-]?[0-9]*\.?[0-9]+""))*100,""0.00"")&amp;"" +/- ""&amp;TEXT(VALUE(REGEXEXTRACT(G43,""[0-9]*\.?[0-9]+$""))*100,""0.00"")"),"70.10 +/- 1.42")</f>
        <v>70.10 +/- 1.42</v>
      </c>
      <c r="P43" s="9" t="str">
        <f>IFERROR(__xludf.DUMMYFUNCTION("TEXT(VALUE(REGEXEXTRACT(H43,""^[+-]?[0-9]*\.?[0-9]+""))*100,""0.00"")&amp;"" +/- ""&amp;TEXT(VALUE(REGEXEXTRACT(H43,""[0-9]*\.?[0-9]+$""))*100,""0.00"")"),"61.76 +/- 4.49")</f>
        <v>61.76 +/- 4.49</v>
      </c>
    </row>
    <row r="44">
      <c r="A44" s="6" t="s">
        <v>819</v>
      </c>
      <c r="B44" s="7" t="s">
        <v>1826</v>
      </c>
      <c r="C44" s="7" t="s">
        <v>1827</v>
      </c>
      <c r="D44" s="7" t="s">
        <v>1828</v>
      </c>
      <c r="E44" s="7" t="s">
        <v>1829</v>
      </c>
      <c r="F44" s="7" t="s">
        <v>1830</v>
      </c>
      <c r="G44" s="7" t="s">
        <v>1831</v>
      </c>
      <c r="H44" s="7" t="s">
        <v>1832</v>
      </c>
      <c r="I44" s="8" t="str">
        <f t="shared" si="3"/>
        <v>AR4→AR3</v>
      </c>
      <c r="J44" s="9" t="str">
        <f>IFERROR(__xludf.DUMMYFUNCTION("TEXT(VALUE(REGEXEXTRACT(B44,""^[+-]?[0-9]*\.?[0-9]+""))*100,""0.00"")&amp;"" +/- ""&amp;TEXT(VALUE(REGEXEXTRACT(B44,""[0-9]*\.?[0-9]+$""))*100,""0.00"")"),"80.32 +/- 2.24")</f>
        <v>80.32 +/- 2.24</v>
      </c>
      <c r="K44" s="10" t="str">
        <f>IFERROR(__xludf.DUMMYFUNCTION("TEXT(VALUE(REGEXEXTRACT(C44,""^[+-]?[0-9]*\.?[0-9]+""))*100,""0.00"")&amp;"" +/- ""&amp;TEXT(VALUE(REGEXEXTRACT(C44,""[0-9]*\.?[0-9]+$""))*100,""0.00"")"),"83.96 +/- 1.25")</f>
        <v>83.96 +/- 1.25</v>
      </c>
      <c r="L44" s="9" t="str">
        <f>IFERROR(__xludf.DUMMYFUNCTION("TEXT(VALUE(REGEXEXTRACT(D44,""^[+-]?[0-9]*\.?[0-9]+""))*100,""0.00"")&amp;"" +/- ""&amp;TEXT(VALUE(REGEXEXTRACT(D44,""[0-9]*\.?[0-9]+$""))*100,""0.00"")"),"76.78 +/- 2.43")</f>
        <v>76.78 +/- 2.43</v>
      </c>
      <c r="M44" s="9" t="str">
        <f>IFERROR(__xludf.DUMMYFUNCTION("TEXT(VALUE(REGEXEXTRACT(E44,""^[+-]?[0-9]*\.?[0-9]+""))*100,""0.00"")&amp;"" +/- ""&amp;TEXT(VALUE(REGEXEXTRACT(E44,""[0-9]*\.?[0-9]+$""))*100,""0.00"")"),"81.24 +/- 2.31")</f>
        <v>81.24 +/- 2.31</v>
      </c>
      <c r="N44" s="9" t="str">
        <f>IFERROR(__xludf.DUMMYFUNCTION("TEXT(VALUE(REGEXEXTRACT(F44,""^[+-]?[0-9]*\.?[0-9]+""))*100,""0.00"")&amp;"" +/- ""&amp;TEXT(VALUE(REGEXEXTRACT(F44,""[0-9]*\.?[0-9]+$""))*100,""0.00"")"),"74.55 +/- 2.41")</f>
        <v>74.55 +/- 2.41</v>
      </c>
      <c r="O44" s="9" t="str">
        <f>IFERROR(__xludf.DUMMYFUNCTION("TEXT(VALUE(REGEXEXTRACT(G44,""^[+-]?[0-9]*\.?[0-9]+""))*100,""0.00"")&amp;"" +/- ""&amp;TEXT(VALUE(REGEXEXTRACT(G44,""[0-9]*\.?[0-9]+$""))*100,""0.00"")"),"77.32 +/- 2.31")</f>
        <v>77.32 +/- 2.31</v>
      </c>
      <c r="P44" s="9" t="str">
        <f>IFERROR(__xludf.DUMMYFUNCTION("TEXT(VALUE(REGEXEXTRACT(H44,""^[+-]?[0-9]*\.?[0-9]+""))*100,""0.00"")&amp;"" +/- ""&amp;TEXT(VALUE(REGEXEXTRACT(H44,""[0-9]*\.?[0-9]+$""))*100,""0.00"")"),"76.07 +/- 4.08")</f>
        <v>76.07 +/- 4.08</v>
      </c>
    </row>
    <row r="45">
      <c r="A45" s="6" t="s">
        <v>833</v>
      </c>
      <c r="B45" s="7" t="s">
        <v>1847</v>
      </c>
      <c r="C45" s="7" t="s">
        <v>1848</v>
      </c>
      <c r="D45" s="7" t="s">
        <v>1849</v>
      </c>
      <c r="E45" s="7" t="s">
        <v>1850</v>
      </c>
      <c r="F45" s="7" t="s">
        <v>1851</v>
      </c>
      <c r="G45" s="7" t="s">
        <v>1852</v>
      </c>
      <c r="H45" s="7" t="s">
        <v>1853</v>
      </c>
      <c r="I45" s="8" t="str">
        <f t="shared" si="3"/>
        <v>AR4→AR5</v>
      </c>
      <c r="J45" s="10" t="str">
        <f>IFERROR(__xludf.DUMMYFUNCTION("TEXT(VALUE(REGEXEXTRACT(B45,""^[+-]?[0-9]*\.?[0-9]+""))*100,""0.00"")&amp;"" +/- ""&amp;TEXT(VALUE(REGEXEXTRACT(B45,""[0-9]*\.?[0-9]+$""))*100,""0.00"")"),"94.84 +/- 0.70")</f>
        <v>94.84 +/- 0.70</v>
      </c>
      <c r="K45" s="9" t="str">
        <f>IFERROR(__xludf.DUMMYFUNCTION("TEXT(VALUE(REGEXEXTRACT(C45,""^[+-]?[0-9]*\.?[0-9]+""))*100,""0.00"")&amp;"" +/- ""&amp;TEXT(VALUE(REGEXEXTRACT(C45,""[0-9]*\.?[0-9]+$""))*100,""0.00"")"),"90.56 +/- 1.48")</f>
        <v>90.56 +/- 1.48</v>
      </c>
      <c r="L45" s="9" t="str">
        <f>IFERROR(__xludf.DUMMYFUNCTION("TEXT(VALUE(REGEXEXTRACT(D45,""^[+-]?[0-9]*\.?[0-9]+""))*100,""0.00"")&amp;"" +/- ""&amp;TEXT(VALUE(REGEXEXTRACT(D45,""[0-9]*\.?[0-9]+$""))*100,""0.00"")"),"79.95 +/- 3.17")</f>
        <v>79.95 +/- 3.17</v>
      </c>
      <c r="M45" s="9" t="str">
        <f>IFERROR(__xludf.DUMMYFUNCTION("TEXT(VALUE(REGEXEXTRACT(E45,""^[+-]?[0-9]*\.?[0-9]+""))*100,""0.00"")&amp;"" +/- ""&amp;TEXT(VALUE(REGEXEXTRACT(E45,""[0-9]*\.?[0-9]+$""))*100,""0.00"")"),"94.43 +/- 2.09")</f>
        <v>94.43 +/- 2.09</v>
      </c>
      <c r="N45" s="9" t="str">
        <f>IFERROR(__xludf.DUMMYFUNCTION("TEXT(VALUE(REGEXEXTRACT(F45,""^[+-]?[0-9]*\.?[0-9]+""))*100,""0.00"")&amp;"" +/- ""&amp;TEXT(VALUE(REGEXEXTRACT(F45,""[0-9]*\.?[0-9]+$""))*100,""0.00"")"),"93.19 +/- 1.35")</f>
        <v>93.19 +/- 1.35</v>
      </c>
      <c r="O45" s="9" t="str">
        <f>IFERROR(__xludf.DUMMYFUNCTION("TEXT(VALUE(REGEXEXTRACT(G45,""^[+-]?[0-9]*\.?[0-9]+""))*100,""0.00"")&amp;"" +/- ""&amp;TEXT(VALUE(REGEXEXTRACT(G45,""[0-9]*\.?[0-9]+$""))*100,""0.00"")"),"94.01 +/- 1.62")</f>
        <v>94.01 +/- 1.62</v>
      </c>
      <c r="P45" s="9" t="str">
        <f>IFERROR(__xludf.DUMMYFUNCTION("TEXT(VALUE(REGEXEXTRACT(H45,""^[+-]?[0-9]*\.?[0-9]+""))*100,""0.00"")&amp;"" +/- ""&amp;TEXT(VALUE(REGEXEXTRACT(H45,""[0-9]*\.?[0-9]+$""))*100,""0.00"")"),"84.84 +/- 6.45")</f>
        <v>84.84 +/- 6.45</v>
      </c>
    </row>
    <row r="46">
      <c r="A46" s="6" t="s">
        <v>849</v>
      </c>
      <c r="B46" s="7" t="s">
        <v>1882</v>
      </c>
      <c r="C46" s="7" t="s">
        <v>1883</v>
      </c>
      <c r="D46" s="7" t="s">
        <v>1884</v>
      </c>
      <c r="E46" s="7" t="s">
        <v>1885</v>
      </c>
      <c r="F46" s="7" t="s">
        <v>1886</v>
      </c>
      <c r="G46" s="7" t="s">
        <v>1887</v>
      </c>
      <c r="H46" s="7" t="s">
        <v>1888</v>
      </c>
      <c r="I46" s="8" t="str">
        <f t="shared" si="3"/>
        <v>AR4→AR6</v>
      </c>
      <c r="J46" s="9" t="str">
        <f>IFERROR(__xludf.DUMMYFUNCTION("TEXT(VALUE(REGEXEXTRACT(B46,""^[+-]?[0-9]*\.?[0-9]+""))*100,""0.00"")&amp;"" +/- ""&amp;TEXT(VALUE(REGEXEXTRACT(B46,""[0-9]*\.?[0-9]+$""))*100,""0.00"")"),"65.79 +/- 1.30")</f>
        <v>65.79 +/- 1.30</v>
      </c>
      <c r="K46" s="10" t="str">
        <f>IFERROR(__xludf.DUMMYFUNCTION("TEXT(VALUE(REGEXEXTRACT(C46,""^[+-]?[0-9]*\.?[0-9]+""))*100,""0.00"")&amp;"" +/- ""&amp;TEXT(VALUE(REGEXEXTRACT(C46,""[0-9]*\.?[0-9]+$""))*100,""0.00"")"),"68.60 +/- 1.53")</f>
        <v>68.60 +/- 1.53</v>
      </c>
      <c r="L46" s="9" t="str">
        <f>IFERROR(__xludf.DUMMYFUNCTION("TEXT(VALUE(REGEXEXTRACT(D46,""^[+-]?[0-9]*\.?[0-9]+""))*100,""0.00"")&amp;"" +/- ""&amp;TEXT(VALUE(REGEXEXTRACT(D46,""[0-9]*\.?[0-9]+$""))*100,""0.00"")"),"60.68 +/- 1.84")</f>
        <v>60.68 +/- 1.84</v>
      </c>
      <c r="M46" s="9" t="str">
        <f>IFERROR(__xludf.DUMMYFUNCTION("TEXT(VALUE(REGEXEXTRACT(E46,""^[+-]?[0-9]*\.?[0-9]+""))*100,""0.00"")&amp;"" +/- ""&amp;TEXT(VALUE(REGEXEXTRACT(E46,""[0-9]*\.?[0-9]+$""))*100,""0.00"")"),"66.24 +/- 1.32")</f>
        <v>66.24 +/- 1.32</v>
      </c>
      <c r="N46" s="9" t="str">
        <f>IFERROR(__xludf.DUMMYFUNCTION("TEXT(VALUE(REGEXEXTRACT(F46,""^[+-]?[0-9]*\.?[0-9]+""))*100,""0.00"")&amp;"" +/- ""&amp;TEXT(VALUE(REGEXEXTRACT(F46,""[0-9]*\.?[0-9]+$""))*100,""0.00"")"),"65.50 +/- 1.28")</f>
        <v>65.50 +/- 1.28</v>
      </c>
      <c r="O46" s="9" t="str">
        <f>IFERROR(__xludf.DUMMYFUNCTION("TEXT(VALUE(REGEXEXTRACT(G46,""^[+-]?[0-9]*\.?[0-9]+""))*100,""0.00"")&amp;"" +/- ""&amp;TEXT(VALUE(REGEXEXTRACT(G46,""[0-9]*\.?[0-9]+$""))*100,""0.00"")"),"65.48 +/- 1.47")</f>
        <v>65.48 +/- 1.47</v>
      </c>
      <c r="P46" s="9" t="str">
        <f>IFERROR(__xludf.DUMMYFUNCTION("TEXT(VALUE(REGEXEXTRACT(H46,""^[+-]?[0-9]*\.?[0-9]+""))*100,""0.00"")&amp;"" +/- ""&amp;TEXT(VALUE(REGEXEXTRACT(H46,""[0-9]*\.?[0-9]+$""))*100,""0.00"")"),"66.17 +/- 2.13")</f>
        <v>66.17 +/- 2.13</v>
      </c>
    </row>
    <row r="47">
      <c r="A47" s="6" t="s">
        <v>864</v>
      </c>
      <c r="B47" s="7" t="s">
        <v>1903</v>
      </c>
      <c r="C47" s="7" t="s">
        <v>1904</v>
      </c>
      <c r="D47" s="7" t="s">
        <v>1905</v>
      </c>
      <c r="E47" s="7" t="s">
        <v>1906</v>
      </c>
      <c r="F47" s="7" t="s">
        <v>1907</v>
      </c>
      <c r="G47" s="7" t="s">
        <v>1908</v>
      </c>
      <c r="H47" s="7" t="s">
        <v>1909</v>
      </c>
      <c r="I47" s="8" t="str">
        <f t="shared" si="3"/>
        <v>AR5→AR1</v>
      </c>
      <c r="J47" s="9" t="str">
        <f>IFERROR(__xludf.DUMMYFUNCTION("TEXT(VALUE(REGEXEXTRACT(B47,""^[+-]?[0-9]*\.?[0-9]+""))*100,""0.00"")&amp;"" +/- ""&amp;TEXT(VALUE(REGEXEXTRACT(B47,""[0-9]*\.?[0-9]+$""))*100,""0.00"")"),"73.34 +/- 1.47")</f>
        <v>73.34 +/- 1.47</v>
      </c>
      <c r="K47" s="9" t="str">
        <f>IFERROR(__xludf.DUMMYFUNCTION("TEXT(VALUE(REGEXEXTRACT(C47,""^[+-]?[0-9]*\.?[0-9]+""))*100,""0.00"")&amp;"" +/- ""&amp;TEXT(VALUE(REGEXEXTRACT(C47,""[0-9]*\.?[0-9]+$""))*100,""0.00"")"),"73.95 +/- 1.17")</f>
        <v>73.95 +/- 1.17</v>
      </c>
      <c r="L47" s="9" t="str">
        <f>IFERROR(__xludf.DUMMYFUNCTION("TEXT(VALUE(REGEXEXTRACT(D47,""^[+-]?[0-9]*\.?[0-9]+""))*100,""0.00"")&amp;"" +/- ""&amp;TEXT(VALUE(REGEXEXTRACT(D47,""[0-9]*\.?[0-9]+$""))*100,""0.00"")"),"67.01 +/- 3.96")</f>
        <v>67.01 +/- 3.96</v>
      </c>
      <c r="M47" s="10" t="str">
        <f>IFERROR(__xludf.DUMMYFUNCTION("TEXT(VALUE(REGEXEXTRACT(E47,""^[+-]?[0-9]*\.?[0-9]+""))*100,""0.00"")&amp;"" +/- ""&amp;TEXT(VALUE(REGEXEXTRACT(E47,""[0-9]*\.?[0-9]+$""))*100,""0.00"")"),"74.02 +/- 1.63")</f>
        <v>74.02 +/- 1.63</v>
      </c>
      <c r="N47" s="9" t="str">
        <f>IFERROR(__xludf.DUMMYFUNCTION("TEXT(VALUE(REGEXEXTRACT(F47,""^[+-]?[0-9]*\.?[0-9]+""))*100,""0.00"")&amp;"" +/- ""&amp;TEXT(VALUE(REGEXEXTRACT(F47,""[0-9]*\.?[0-9]+$""))*100,""0.00"")"),"72.93 +/- 1.32")</f>
        <v>72.93 +/- 1.32</v>
      </c>
      <c r="O47" s="9" t="str">
        <f>IFERROR(__xludf.DUMMYFUNCTION("TEXT(VALUE(REGEXEXTRACT(G47,""^[+-]?[0-9]*\.?[0-9]+""))*100,""0.00"")&amp;"" +/- ""&amp;TEXT(VALUE(REGEXEXTRACT(G47,""[0-9]*\.?[0-9]+$""))*100,""0.00"")"),"73.10 +/- 1.45")</f>
        <v>73.10 +/- 1.45</v>
      </c>
      <c r="P47" s="9" t="str">
        <f>IFERROR(__xludf.DUMMYFUNCTION("TEXT(VALUE(REGEXEXTRACT(H47,""^[+-]?[0-9]*\.?[0-9]+""))*100,""0.00"")&amp;"" +/- ""&amp;TEXT(VALUE(REGEXEXTRACT(H47,""[0-9]*\.?[0-9]+$""))*100,""0.00"")"),"71.22 +/- 3.12")</f>
        <v>71.22 +/- 3.12</v>
      </c>
    </row>
    <row r="48">
      <c r="A48" s="6" t="s">
        <v>878</v>
      </c>
      <c r="B48" s="7" t="s">
        <v>1924</v>
      </c>
      <c r="C48" s="7" t="s">
        <v>1925</v>
      </c>
      <c r="D48" s="7" t="s">
        <v>1926</v>
      </c>
      <c r="E48" s="7" t="s">
        <v>1927</v>
      </c>
      <c r="F48" s="7" t="s">
        <v>1928</v>
      </c>
      <c r="G48" s="7" t="s">
        <v>1929</v>
      </c>
      <c r="H48" s="7" t="s">
        <v>1930</v>
      </c>
      <c r="I48" s="8" t="str">
        <f t="shared" si="3"/>
        <v>AR5→AR3</v>
      </c>
      <c r="J48" s="9" t="str">
        <f>IFERROR(__xludf.DUMMYFUNCTION("TEXT(VALUE(REGEXEXTRACT(B48,""^[+-]?[0-9]*\.?[0-9]+""))*100,""0.00"")&amp;"" +/- ""&amp;TEXT(VALUE(REGEXEXTRACT(B48,""[0-9]*\.?[0-9]+$""))*100,""0.00"")"),"83.34 +/- 1.49")</f>
        <v>83.34 +/- 1.49</v>
      </c>
      <c r="K48" s="10" t="str">
        <f>IFERROR(__xludf.DUMMYFUNCTION("TEXT(VALUE(REGEXEXTRACT(C48,""^[+-]?[0-9]*\.?[0-9]+""))*100,""0.00"")&amp;"" +/- ""&amp;TEXT(VALUE(REGEXEXTRACT(C48,""[0-9]*\.?[0-9]+$""))*100,""0.00"")"),"85.08 +/- 0.69")</f>
        <v>85.08 +/- 0.69</v>
      </c>
      <c r="L48" s="9" t="str">
        <f>IFERROR(__xludf.DUMMYFUNCTION("TEXT(VALUE(REGEXEXTRACT(D48,""^[+-]?[0-9]*\.?[0-9]+""))*100,""0.00"")&amp;"" +/- ""&amp;TEXT(VALUE(REGEXEXTRACT(D48,""[0-9]*\.?[0-9]+$""))*100,""0.00"")"),"74.81 +/- 2.49")</f>
        <v>74.81 +/- 2.49</v>
      </c>
      <c r="M48" s="9" t="str">
        <f>IFERROR(__xludf.DUMMYFUNCTION("TEXT(VALUE(REGEXEXTRACT(E48,""^[+-]?[0-9]*\.?[0-9]+""))*100,""0.00"")&amp;"" +/- ""&amp;TEXT(VALUE(REGEXEXTRACT(E48,""[0-9]*\.?[0-9]+$""))*100,""0.00"")"),"84.04 +/- 1.20")</f>
        <v>84.04 +/- 1.20</v>
      </c>
      <c r="N48" s="9" t="str">
        <f>IFERROR(__xludf.DUMMYFUNCTION("TEXT(VALUE(REGEXEXTRACT(F48,""^[+-]?[0-9]*\.?[0-9]+""))*100,""0.00"")&amp;"" +/- ""&amp;TEXT(VALUE(REGEXEXTRACT(F48,""[0-9]*\.?[0-9]+$""))*100,""0.00"")"),"82.28 +/- 1.70")</f>
        <v>82.28 +/- 1.70</v>
      </c>
      <c r="O48" s="9" t="str">
        <f>IFERROR(__xludf.DUMMYFUNCTION("TEXT(VALUE(REGEXEXTRACT(G48,""^[+-]?[0-9]*\.?[0-9]+""))*100,""0.00"")&amp;"" +/- ""&amp;TEXT(VALUE(REGEXEXTRACT(G48,""[0-9]*\.?[0-9]+$""))*100,""0.00"")"),"83.07 +/- 1.35")</f>
        <v>83.07 +/- 1.35</v>
      </c>
      <c r="P48" s="9" t="str">
        <f>IFERROR(__xludf.DUMMYFUNCTION("TEXT(VALUE(REGEXEXTRACT(H48,""^[+-]?[0-9]*\.?[0-9]+""))*100,""0.00"")&amp;"" +/- ""&amp;TEXT(VALUE(REGEXEXTRACT(H48,""[0-9]*\.?[0-9]+$""))*100,""0.00"")"),"82.34 +/- 1.52")</f>
        <v>82.34 +/- 1.52</v>
      </c>
    </row>
    <row r="49">
      <c r="A49" s="6" t="s">
        <v>892</v>
      </c>
      <c r="B49" s="7" t="s">
        <v>1938</v>
      </c>
      <c r="C49" s="7" t="s">
        <v>1939</v>
      </c>
      <c r="D49" s="7" t="s">
        <v>1940</v>
      </c>
      <c r="E49" s="7" t="s">
        <v>1941</v>
      </c>
      <c r="F49" s="7" t="s">
        <v>1942</v>
      </c>
      <c r="G49" s="7" t="s">
        <v>1943</v>
      </c>
      <c r="H49" s="7" t="s">
        <v>1944</v>
      </c>
      <c r="I49" s="8" t="str">
        <f t="shared" si="3"/>
        <v>AR5→AR4</v>
      </c>
      <c r="J49" s="10" t="str">
        <f>IFERROR(__xludf.DUMMYFUNCTION("TEXT(VALUE(REGEXEXTRACT(B49,""^[+-]?[0-9]*\.?[0-9]+""))*100,""0.00"")&amp;"" +/- ""&amp;TEXT(VALUE(REGEXEXTRACT(B49,""[0-9]*\.?[0-9]+$""))*100,""0.00"")"),"83.60 +/- 1.48")</f>
        <v>83.60 +/- 1.48</v>
      </c>
      <c r="K49" s="9" t="str">
        <f>IFERROR(__xludf.DUMMYFUNCTION("TEXT(VALUE(REGEXEXTRACT(C49,""^[+-]?[0-9]*\.?[0-9]+""))*100,""0.00"")&amp;"" +/- ""&amp;TEXT(VALUE(REGEXEXTRACT(C49,""[0-9]*\.?[0-9]+$""))*100,""0.00"")"),"82.39 +/- 1.02")</f>
        <v>82.39 +/- 1.02</v>
      </c>
      <c r="L49" s="9" t="str">
        <f>IFERROR(__xludf.DUMMYFUNCTION("TEXT(VALUE(REGEXEXTRACT(D49,""^[+-]?[0-9]*\.?[0-9]+""))*100,""0.00"")&amp;"" +/- ""&amp;TEXT(VALUE(REGEXEXTRACT(D49,""[0-9]*\.?[0-9]+$""))*100,""0.00"")"),"75.08 +/- 2.25")</f>
        <v>75.08 +/- 2.25</v>
      </c>
      <c r="M49" s="9" t="str">
        <f>IFERROR(__xludf.DUMMYFUNCTION("TEXT(VALUE(REGEXEXTRACT(E49,""^[+-]?[0-9]*\.?[0-9]+""))*100,""0.00"")&amp;"" +/- ""&amp;TEXT(VALUE(REGEXEXTRACT(E49,""[0-9]*\.?[0-9]+$""))*100,""0.00"")"),"83.71 +/- 1.51")</f>
        <v>83.71 +/- 1.51</v>
      </c>
      <c r="N49" s="9" t="str">
        <f>IFERROR(__xludf.DUMMYFUNCTION("TEXT(VALUE(REGEXEXTRACT(F49,""^[+-]?[0-9]*\.?[0-9]+""))*100,""0.00"")&amp;"" +/- ""&amp;TEXT(VALUE(REGEXEXTRACT(F49,""[0-9]*\.?[0-9]+$""))*100,""0.00"")"),"83.50 +/- 1.12")</f>
        <v>83.50 +/- 1.12</v>
      </c>
      <c r="O49" s="9" t="str">
        <f>IFERROR(__xludf.DUMMYFUNCTION("TEXT(VALUE(REGEXEXTRACT(G49,""^[+-]?[0-9]*\.?[0-9]+""))*100,""0.00"")&amp;"" +/- ""&amp;TEXT(VALUE(REGEXEXTRACT(G49,""[0-9]*\.?[0-9]+$""))*100,""0.00"")"),"83.55 +/- 1.06")</f>
        <v>83.55 +/- 1.06</v>
      </c>
      <c r="P49" s="9" t="str">
        <f>IFERROR(__xludf.DUMMYFUNCTION("TEXT(VALUE(REGEXEXTRACT(H49,""^[+-]?[0-9]*\.?[0-9]+""))*100,""0.00"")&amp;"" +/- ""&amp;TEXT(VALUE(REGEXEXTRACT(H49,""[0-9]*\.?[0-9]+$""))*100,""0.00"")"),"81.87 +/- 2.00")</f>
        <v>81.87 +/- 2.00</v>
      </c>
    </row>
    <row r="50">
      <c r="A50" s="6" t="s">
        <v>907</v>
      </c>
      <c r="B50" s="7" t="s">
        <v>1952</v>
      </c>
      <c r="C50" s="7" t="s">
        <v>1953</v>
      </c>
      <c r="D50" s="7" t="s">
        <v>1954</v>
      </c>
      <c r="E50" s="7" t="s">
        <v>1955</v>
      </c>
      <c r="F50" s="7" t="s">
        <v>1956</v>
      </c>
      <c r="G50" s="7" t="s">
        <v>1957</v>
      </c>
      <c r="H50" s="7" t="s">
        <v>1958</v>
      </c>
      <c r="I50" s="8" t="str">
        <f t="shared" si="3"/>
        <v>AR5→AR6</v>
      </c>
      <c r="J50" s="10" t="str">
        <f>IFERROR(__xludf.DUMMYFUNCTION("TEXT(VALUE(REGEXEXTRACT(B50,""^[+-]?[0-9]*\.?[0-9]+""))*100,""0.00"")&amp;"" +/- ""&amp;TEXT(VALUE(REGEXEXTRACT(B50,""[0-9]*\.?[0-9]+$""))*100,""0.00"")"),"67.33 +/- 2.10")</f>
        <v>67.33 +/- 2.10</v>
      </c>
      <c r="K50" s="9" t="str">
        <f>IFERROR(__xludf.DUMMYFUNCTION("TEXT(VALUE(REGEXEXTRACT(C50,""^[+-]?[0-9]*\.?[0-9]+""))*100,""0.00"")&amp;"" +/- ""&amp;TEXT(VALUE(REGEXEXTRACT(C50,""[0-9]*\.?[0-9]+$""))*100,""0.00"")"),"64.11 +/- 2.18")</f>
        <v>64.11 +/- 2.18</v>
      </c>
      <c r="L50" s="9" t="str">
        <f>IFERROR(__xludf.DUMMYFUNCTION("TEXT(VALUE(REGEXEXTRACT(D50,""^[+-]?[0-9]*\.?[0-9]+""))*100,""0.00"")&amp;"" +/- ""&amp;TEXT(VALUE(REGEXEXTRACT(D50,""[0-9]*\.?[0-9]+$""))*100,""0.00"")"),"59.26 +/- 4.60")</f>
        <v>59.26 +/- 4.60</v>
      </c>
      <c r="M50" s="9" t="str">
        <f>IFERROR(__xludf.DUMMYFUNCTION("TEXT(VALUE(REGEXEXTRACT(E50,""^[+-]?[0-9]*\.?[0-9]+""))*100,""0.00"")&amp;"" +/- ""&amp;TEXT(VALUE(REGEXEXTRACT(E50,""[0-9]*\.?[0-9]+$""))*100,""0.00"")"),"66.79 +/- 2.85")</f>
        <v>66.79 +/- 2.85</v>
      </c>
      <c r="N50" s="9" t="str">
        <f>IFERROR(__xludf.DUMMYFUNCTION("TEXT(VALUE(REGEXEXTRACT(F50,""^[+-]?[0-9]*\.?[0-9]+""))*100,""0.00"")&amp;"" +/- ""&amp;TEXT(VALUE(REGEXEXTRACT(F50,""[0-9]*\.?[0-9]+$""))*100,""0.00"")"),"67.05 +/- 1.79")</f>
        <v>67.05 +/- 1.79</v>
      </c>
      <c r="O50" s="9" t="str">
        <f>IFERROR(__xludf.DUMMYFUNCTION("TEXT(VALUE(REGEXEXTRACT(G50,""^[+-]?[0-9]*\.?[0-9]+""))*100,""0.00"")&amp;"" +/- ""&amp;TEXT(VALUE(REGEXEXTRACT(G50,""[0-9]*\.?[0-9]+$""))*100,""0.00"")"),"67.26 +/- 1.68")</f>
        <v>67.26 +/- 1.68</v>
      </c>
      <c r="P50" s="9" t="str">
        <f>IFERROR(__xludf.DUMMYFUNCTION("TEXT(VALUE(REGEXEXTRACT(H50,""^[+-]?[0-9]*\.?[0-9]+""))*100,""0.00"")&amp;"" +/- ""&amp;TEXT(VALUE(REGEXEXTRACT(H50,""[0-9]*\.?[0-9]+$""))*100,""0.00"")"),"66.74 +/- 2.37")</f>
        <v>66.74 +/- 2.37</v>
      </c>
    </row>
    <row r="51">
      <c r="A51" s="6" t="s">
        <v>922</v>
      </c>
      <c r="B51" s="7" t="s">
        <v>1965</v>
      </c>
      <c r="C51" s="7" t="s">
        <v>1966</v>
      </c>
      <c r="D51" s="7" t="s">
        <v>1967</v>
      </c>
      <c r="E51" s="7" t="s">
        <v>1968</v>
      </c>
      <c r="F51" s="7" t="s">
        <v>1969</v>
      </c>
      <c r="G51" s="7" t="s">
        <v>1970</v>
      </c>
      <c r="H51" s="7" t="s">
        <v>1971</v>
      </c>
      <c r="I51" s="8" t="str">
        <f t="shared" si="3"/>
        <v>AR6→AR1</v>
      </c>
      <c r="J51" s="9" t="str">
        <f>IFERROR(__xludf.DUMMYFUNCTION("TEXT(VALUE(REGEXEXTRACT(B51,""^[+-]?[0-9]*\.?[0-9]+""))*100,""0.00"")&amp;"" +/- ""&amp;TEXT(VALUE(REGEXEXTRACT(B51,""[0-9]*\.?[0-9]+$""))*100,""0.00"")"),"66.82 +/- 3.52")</f>
        <v>66.82 +/- 3.52</v>
      </c>
      <c r="K51" s="10" t="str">
        <f>IFERROR(__xludf.DUMMYFUNCTION("TEXT(VALUE(REGEXEXTRACT(C51,""^[+-]?[0-9]*\.?[0-9]+""))*100,""0.00"")&amp;"" +/- ""&amp;TEXT(VALUE(REGEXEXTRACT(C51,""[0-9]*\.?[0-9]+$""))*100,""0.00"")"),"72.44 +/- 3.81")</f>
        <v>72.44 +/- 3.81</v>
      </c>
      <c r="L51" s="9" t="str">
        <f>IFERROR(__xludf.DUMMYFUNCTION("TEXT(VALUE(REGEXEXTRACT(D51,""^[+-]?[0-9]*\.?[0-9]+""))*100,""0.00"")&amp;"" +/- ""&amp;TEXT(VALUE(REGEXEXTRACT(D51,""[0-9]*\.?[0-9]+$""))*100,""0.00"")"),"59.89 +/- 5.31")</f>
        <v>59.89 +/- 5.31</v>
      </c>
      <c r="M51" s="9" t="str">
        <f>IFERROR(__xludf.DUMMYFUNCTION("TEXT(VALUE(REGEXEXTRACT(E51,""^[+-]?[0-9]*\.?[0-9]+""))*100,""0.00"")&amp;"" +/- ""&amp;TEXT(VALUE(REGEXEXTRACT(E51,""[0-9]*\.?[0-9]+$""))*100,""0.00"")"),"65.36 +/- 4.00")</f>
        <v>65.36 +/- 4.00</v>
      </c>
      <c r="N51" s="9" t="str">
        <f>IFERROR(__xludf.DUMMYFUNCTION("TEXT(VALUE(REGEXEXTRACT(F51,""^[+-]?[0-9]*\.?[0-9]+""))*100,""0.00"")&amp;"" +/- ""&amp;TEXT(VALUE(REGEXEXTRACT(F51,""[0-9]*\.?[0-9]+$""))*100,""0.00"")"),"65.88 +/- 3.83")</f>
        <v>65.88 +/- 3.83</v>
      </c>
      <c r="O51" s="9" t="str">
        <f>IFERROR(__xludf.DUMMYFUNCTION("TEXT(VALUE(REGEXEXTRACT(G51,""^[+-]?[0-9]*\.?[0-9]+""))*100,""0.00"")&amp;"" +/- ""&amp;TEXT(VALUE(REGEXEXTRACT(G51,""[0-9]*\.?[0-9]+$""))*100,""0.00"")"),"68.52 +/- 3.92")</f>
        <v>68.52 +/- 3.92</v>
      </c>
      <c r="P51" s="9" t="str">
        <f>IFERROR(__xludf.DUMMYFUNCTION("TEXT(VALUE(REGEXEXTRACT(H51,""^[+-]?[0-9]*\.?[0-9]+""))*100,""0.00"")&amp;"" +/- ""&amp;TEXT(VALUE(REGEXEXTRACT(H51,""[0-9]*\.?[0-9]+$""))*100,""0.00"")"),"61.04 +/- 4.57")</f>
        <v>61.04 +/- 4.57</v>
      </c>
    </row>
    <row r="52">
      <c r="A52" s="6" t="s">
        <v>944</v>
      </c>
      <c r="B52" s="7" t="s">
        <v>1975</v>
      </c>
      <c r="C52" s="7" t="s">
        <v>1976</v>
      </c>
      <c r="D52" s="7" t="s">
        <v>1977</v>
      </c>
      <c r="E52" s="7" t="s">
        <v>1978</v>
      </c>
      <c r="F52" s="7" t="s">
        <v>1979</v>
      </c>
      <c r="G52" s="7" t="s">
        <v>1980</v>
      </c>
      <c r="H52" s="7" t="s">
        <v>1981</v>
      </c>
      <c r="I52" s="8" t="str">
        <f t="shared" si="3"/>
        <v>AR6→AR3</v>
      </c>
      <c r="J52" s="9" t="str">
        <f>IFERROR(__xludf.DUMMYFUNCTION("TEXT(VALUE(REGEXEXTRACT(B52,""^[+-]?[0-9]*\.?[0-9]+""))*100,""0.00"")&amp;"" +/- ""&amp;TEXT(VALUE(REGEXEXTRACT(B52,""[0-9]*\.?[0-9]+$""))*100,""0.00"")"),"73.09 +/- 2.40")</f>
        <v>73.09 +/- 2.40</v>
      </c>
      <c r="K52" s="10" t="str">
        <f>IFERROR(__xludf.DUMMYFUNCTION("TEXT(VALUE(REGEXEXTRACT(C52,""^[+-]?[0-9]*\.?[0-9]+""))*100,""0.00"")&amp;"" +/- ""&amp;TEXT(VALUE(REGEXEXTRACT(C52,""[0-9]*\.?[0-9]+$""))*100,""0.00"")"),"85.52 +/- 1.90")</f>
        <v>85.52 +/- 1.90</v>
      </c>
      <c r="L52" s="9" t="str">
        <f>IFERROR(__xludf.DUMMYFUNCTION("TEXT(VALUE(REGEXEXTRACT(D52,""^[+-]?[0-9]*\.?[0-9]+""))*100,""0.00"")&amp;"" +/- ""&amp;TEXT(VALUE(REGEXEXTRACT(D52,""[0-9]*\.?[0-9]+$""))*100,""0.00"")"),"75.08 +/- 2.78")</f>
        <v>75.08 +/- 2.78</v>
      </c>
      <c r="M52" s="9" t="str">
        <f>IFERROR(__xludf.DUMMYFUNCTION("TEXT(VALUE(REGEXEXTRACT(E52,""^[+-]?[0-9]*\.?[0-9]+""))*100,""0.00"")&amp;"" +/- ""&amp;TEXT(VALUE(REGEXEXTRACT(E52,""[0-9]*\.?[0-9]+$""))*100,""0.00"")"),"75.25 +/- 2.52")</f>
        <v>75.25 +/- 2.52</v>
      </c>
      <c r="N52" s="9" t="str">
        <f>IFERROR(__xludf.DUMMYFUNCTION("TEXT(VALUE(REGEXEXTRACT(F52,""^[+-]?[0-9]*\.?[0-9]+""))*100,""0.00"")&amp;"" +/- ""&amp;TEXT(VALUE(REGEXEXTRACT(F52,""[0-9]*\.?[0-9]+$""))*100,""0.00"")"),"70.80 +/- 2.90")</f>
        <v>70.80 +/- 2.90</v>
      </c>
      <c r="O52" s="9" t="str">
        <f>IFERROR(__xludf.DUMMYFUNCTION("TEXT(VALUE(REGEXEXTRACT(G52,""^[+-]?[0-9]*\.?[0-9]+""))*100,""0.00"")&amp;"" +/- ""&amp;TEXT(VALUE(REGEXEXTRACT(G52,""[0-9]*\.?[0-9]+$""))*100,""0.00"")"),"71.66 +/- 2.22")</f>
        <v>71.66 +/- 2.22</v>
      </c>
      <c r="P52" s="9" t="str">
        <f>IFERROR(__xludf.DUMMYFUNCTION("TEXT(VALUE(REGEXEXTRACT(H52,""^[+-]?[0-9]*\.?[0-9]+""))*100,""0.00"")&amp;"" +/- ""&amp;TEXT(VALUE(REGEXEXTRACT(H52,""[0-9]*\.?[0-9]+$""))*100,""0.00"")"),"83.39 +/- 2.27")</f>
        <v>83.39 +/- 2.27</v>
      </c>
    </row>
    <row r="53">
      <c r="A53" s="6" t="s">
        <v>959</v>
      </c>
      <c r="B53" s="7" t="s">
        <v>1989</v>
      </c>
      <c r="C53" s="7" t="s">
        <v>1990</v>
      </c>
      <c r="D53" s="7" t="s">
        <v>1991</v>
      </c>
      <c r="E53" s="7" t="s">
        <v>1992</v>
      </c>
      <c r="F53" s="7" t="s">
        <v>1993</v>
      </c>
      <c r="G53" s="7" t="s">
        <v>1994</v>
      </c>
      <c r="H53" s="7" t="s">
        <v>1995</v>
      </c>
      <c r="I53" s="8" t="str">
        <f t="shared" si="3"/>
        <v>AR6→AR4</v>
      </c>
      <c r="J53" s="10" t="str">
        <f>IFERROR(__xludf.DUMMYFUNCTION("TEXT(VALUE(REGEXEXTRACT(B53,""^[+-]?[0-9]*\.?[0-9]+""))*100,""0.00"")&amp;"" +/- ""&amp;TEXT(VALUE(REGEXEXTRACT(B53,""[0-9]*\.?[0-9]+$""))*100,""0.00"")"),"72.29 +/- 1.62")</f>
        <v>72.29 +/- 1.62</v>
      </c>
      <c r="K53" s="9" t="str">
        <f>IFERROR(__xludf.DUMMYFUNCTION("TEXT(VALUE(REGEXEXTRACT(C53,""^[+-]?[0-9]*\.?[0-9]+""))*100,""0.00"")&amp;"" +/- ""&amp;TEXT(VALUE(REGEXEXTRACT(C53,""[0-9]*\.?[0-9]+$""))*100,""0.00"")"),"71.31 +/- 2.62")</f>
        <v>71.31 +/- 2.62</v>
      </c>
      <c r="L53" s="9" t="str">
        <f>IFERROR(__xludf.DUMMYFUNCTION("TEXT(VALUE(REGEXEXTRACT(D53,""^[+-]?[0-9]*\.?[0-9]+""))*100,""0.00"")&amp;"" +/- ""&amp;TEXT(VALUE(REGEXEXTRACT(D53,""[0-9]*\.?[0-9]+$""))*100,""0.00"")"),"68.77 +/- 3.94")</f>
        <v>68.77 +/- 3.94</v>
      </c>
      <c r="M53" s="9" t="str">
        <f>IFERROR(__xludf.DUMMYFUNCTION("TEXT(VALUE(REGEXEXTRACT(E53,""^[+-]?[0-9]*\.?[0-9]+""))*100,""0.00"")&amp;"" +/- ""&amp;TEXT(VALUE(REGEXEXTRACT(E53,""[0-9]*\.?[0-9]+$""))*100,""0.00"")"),"71.43 +/- 2.99")</f>
        <v>71.43 +/- 2.99</v>
      </c>
      <c r="N53" s="9" t="str">
        <f>IFERROR(__xludf.DUMMYFUNCTION("TEXT(VALUE(REGEXEXTRACT(F53,""^[+-]?[0-9]*\.?[0-9]+""))*100,""0.00"")&amp;"" +/- ""&amp;TEXT(VALUE(REGEXEXTRACT(F53,""[0-9]*\.?[0-9]+$""))*100,""0.00"")"),"69.04 +/- 3.40")</f>
        <v>69.04 +/- 3.40</v>
      </c>
      <c r="O53" s="9" t="str">
        <f>IFERROR(__xludf.DUMMYFUNCTION("TEXT(VALUE(REGEXEXTRACT(G53,""^[+-]?[0-9]*\.?[0-9]+""))*100,""0.00"")&amp;"" +/- ""&amp;TEXT(VALUE(REGEXEXTRACT(G53,""[0-9]*\.?[0-9]+$""))*100,""0.00"")"),"69.36 +/- 3.52")</f>
        <v>69.36 +/- 3.52</v>
      </c>
      <c r="P53" s="9" t="str">
        <f>IFERROR(__xludf.DUMMYFUNCTION("TEXT(VALUE(REGEXEXTRACT(H53,""^[+-]?[0-9]*\.?[0-9]+""))*100,""0.00"")&amp;"" +/- ""&amp;TEXT(VALUE(REGEXEXTRACT(H53,""[0-9]*\.?[0-9]+$""))*100,""0.00"")"),"69.14 +/- 3.26")</f>
        <v>69.14 +/- 3.26</v>
      </c>
    </row>
    <row r="54">
      <c r="A54" s="6" t="s">
        <v>974</v>
      </c>
      <c r="B54" s="7" t="s">
        <v>1998</v>
      </c>
      <c r="C54" s="7" t="s">
        <v>1999</v>
      </c>
      <c r="D54" s="7" t="s">
        <v>2000</v>
      </c>
      <c r="E54" s="7" t="s">
        <v>2001</v>
      </c>
      <c r="F54" s="7" t="s">
        <v>2002</v>
      </c>
      <c r="G54" s="7" t="s">
        <v>2003</v>
      </c>
      <c r="H54" s="7" t="s">
        <v>2004</v>
      </c>
      <c r="I54" s="8" t="str">
        <f t="shared" si="3"/>
        <v>AR6→AR5</v>
      </c>
      <c r="J54" s="10" t="str">
        <f>IFERROR(__xludf.DUMMYFUNCTION("TEXT(VALUE(REGEXEXTRACT(B54,""^[+-]?[0-9]*\.?[0-9]+""))*100,""0.00"")&amp;"" +/- ""&amp;TEXT(VALUE(REGEXEXTRACT(B54,""[0-9]*\.?[0-9]+$""))*100,""0.00"")"),"89.64 +/- 1.45")</f>
        <v>89.64 +/- 1.45</v>
      </c>
      <c r="K54" s="9" t="str">
        <f>IFERROR(__xludf.DUMMYFUNCTION("TEXT(VALUE(REGEXEXTRACT(C54,""^[+-]?[0-9]*\.?[0-9]+""))*100,""0.00"")&amp;"" +/- ""&amp;TEXT(VALUE(REGEXEXTRACT(C54,""[0-9]*\.?[0-9]+$""))*100,""0.00"")"),"85.54 +/- 2.19")</f>
        <v>85.54 +/- 2.19</v>
      </c>
      <c r="L54" s="9" t="str">
        <f>IFERROR(__xludf.DUMMYFUNCTION("TEXT(VALUE(REGEXEXTRACT(D54,""^[+-]?[0-9]*\.?[0-9]+""))*100,""0.00"")&amp;"" +/- ""&amp;TEXT(VALUE(REGEXEXTRACT(D54,""[0-9]*\.?[0-9]+$""))*100,""0.00"")"),"67.35 +/- 5.66")</f>
        <v>67.35 +/- 5.66</v>
      </c>
      <c r="M54" s="9" t="str">
        <f>IFERROR(__xludf.DUMMYFUNCTION("TEXT(VALUE(REGEXEXTRACT(E54,""^[+-]?[0-9]*\.?[0-9]+""))*100,""0.00"")&amp;"" +/- ""&amp;TEXT(VALUE(REGEXEXTRACT(E54,""[0-9]*\.?[0-9]+$""))*100,""0.00"")"),"89.63 +/- 1.36")</f>
        <v>89.63 +/- 1.36</v>
      </c>
      <c r="N54" s="9" t="str">
        <f>IFERROR(__xludf.DUMMYFUNCTION("TEXT(VALUE(REGEXEXTRACT(F54,""^[+-]?[0-9]*\.?[0-9]+""))*100,""0.00"")&amp;"" +/- ""&amp;TEXT(VALUE(REGEXEXTRACT(F54,""[0-9]*\.?[0-9]+$""))*100,""0.00"")"),"89.06 +/- 1.50")</f>
        <v>89.06 +/- 1.50</v>
      </c>
      <c r="O54" s="9" t="str">
        <f>IFERROR(__xludf.DUMMYFUNCTION("TEXT(VALUE(REGEXEXTRACT(G54,""^[+-]?[0-9]*\.?[0-9]+""))*100,""0.00"")&amp;"" +/- ""&amp;TEXT(VALUE(REGEXEXTRACT(G54,""[0-9]*\.?[0-9]+$""))*100,""0.00"")"),"89.03 +/- 2.07")</f>
        <v>89.03 +/- 2.07</v>
      </c>
      <c r="P54" s="9" t="str">
        <f>IFERROR(__xludf.DUMMYFUNCTION("TEXT(VALUE(REGEXEXTRACT(H54,""^[+-]?[0-9]*\.?[0-9]+""))*100,""0.00"")&amp;"" +/- ""&amp;TEXT(VALUE(REGEXEXTRACT(H54,""[0-9]*\.?[0-9]+$""))*100,""0.00"")"),"87.11 +/- 2.59")</f>
        <v>87.11 +/- 2.59</v>
      </c>
    </row>
    <row r="55">
      <c r="A55" s="6" t="s">
        <v>371</v>
      </c>
      <c r="B55" s="14"/>
      <c r="C55" s="21" t="s">
        <v>395</v>
      </c>
      <c r="D55" s="21" t="s">
        <v>990</v>
      </c>
      <c r="E55" s="21" t="s">
        <v>2007</v>
      </c>
      <c r="F55" s="21" t="s">
        <v>392</v>
      </c>
      <c r="G55" s="21" t="s">
        <v>1096</v>
      </c>
      <c r="H55" s="21" t="s">
        <v>1096</v>
      </c>
      <c r="I55" s="8" t="str">
        <f t="shared" si="3"/>
        <v>W/T/L</v>
      </c>
      <c r="K55" s="20" t="str">
        <f>IFERROR(__xludf.DUMMYFUNCTION("SUM(ARRAYFORMULA(IFERROR(
  (VALUE(REGEXEXTRACT($J$35:$J$54,""^[+-]?[0-9]*\.?[0-9]+""))&gt;
   VALUE(REGEXEXTRACT(K$35:K$54,""^[+-]?[0-9]*\.?[0-9]+"")))*1,0)))
&amp;""/""&amp;
SUM(ARRAYFORMULA(IFERROR(
  (VALUE(REGEXEXTRACT($J$35:$J$54,""^[+-]?[0-9]*\.?[0-9]+""))=
 "&amp;"  VALUE(REGEXEXTRACT(K$35:K$54,""^[+-]?[0-9]*\.?[0-9]+"")))*1,0)))
&amp;""/""&amp;
SUM(ARRAYFORMULA(IFERROR(
  (VALUE(REGEXEXTRACT($J$35:$J$54,""^[+-]?[0-9]*\.?[0-9]+""))&lt;
   VALUE(REGEXEXTRACT(K$35:K$54,""^[+-]?[0-9]*\.?[0-9]+"")))*1,0)))"),"9/0/11")</f>
        <v>9/0/11</v>
      </c>
      <c r="L55" s="20" t="str">
        <f>IFERROR(__xludf.DUMMYFUNCTION("SUM(ARRAYFORMULA(IFERROR(
  (VALUE(REGEXEXTRACT($J$35:$J$54,""^[+-]?[0-9]*\.?[0-9]+""))&gt;
   VALUE(REGEXEXTRACT(L$35:L$54,""^[+-]?[0-9]*\.?[0-9]+"")))*1,0)))
&amp;""/""&amp;
SUM(ARRAYFORMULA(IFERROR(
  (VALUE(REGEXEXTRACT($J$35:$J$54,""^[+-]?[0-9]*\.?[0-9]+""))=
 "&amp;"  VALUE(REGEXEXTRACT(L$35:L$54,""^[+-]?[0-9]*\.?[0-9]+"")))*1,0)))
&amp;""/""&amp;
SUM(ARRAYFORMULA(IFERROR(
  (VALUE(REGEXEXTRACT($J$35:$J$54,""^[+-]?[0-9]*\.?[0-9]+""))&lt;
   VALUE(REGEXEXTRACT(L$35:L$54,""^[+-]?[0-9]*\.?[0-9]+"")))*1,0)))"),"17/0/3")</f>
        <v>17/0/3</v>
      </c>
      <c r="M55" s="20" t="str">
        <f>IFERROR(__xludf.DUMMYFUNCTION("SUM(ARRAYFORMULA(IFERROR(
  (VALUE(REGEXEXTRACT($J$35:$J$54,""^[+-]?[0-9]*\.?[0-9]+""))&gt;
   VALUE(REGEXEXTRACT(M$35:M$54,""^[+-]?[0-9]*\.?[0-9]+"")))*1,0)))
&amp;""/""&amp;
SUM(ARRAYFORMULA(IFERROR(
  (VALUE(REGEXEXTRACT($J$35:$J$54,""^[+-]?[0-9]*\.?[0-9]+""))=
 "&amp;"  VALUE(REGEXEXTRACT(M$35:M$54,""^[+-]?[0-9]*\.?[0-9]+"")))*1,0)))
&amp;""/""&amp;
SUM(ARRAYFORMULA(IFERROR(
  (VALUE(REGEXEXTRACT($J$35:$J$54,""^[+-]?[0-9]*\.?[0-9]+""))&lt;
   VALUE(REGEXEXTRACT(M$35:M$54,""^[+-]?[0-9]*\.?[0-9]+"")))*1,0)))"),"7/0/13")</f>
        <v>7/0/13</v>
      </c>
      <c r="N55" s="20" t="str">
        <f>IFERROR(__xludf.DUMMYFUNCTION("SUM(ARRAYFORMULA(IFERROR(
  (VALUE(REGEXEXTRACT($J$35:$J$54,""^[+-]?[0-9]*\.?[0-9]+""))&gt;
   VALUE(REGEXEXTRACT(N$35:N$54,""^[+-]?[0-9]*\.?[0-9]+"")))*1,0)))
&amp;""/""&amp;
SUM(ARRAYFORMULA(IFERROR(
  (VALUE(REGEXEXTRACT($J$35:$J$54,""^[+-]?[0-9]*\.?[0-9]+""))=
 "&amp;"  VALUE(REGEXEXTRACT(N$35:N$54,""^[+-]?[0-9]*\.?[0-9]+"")))*1,0)))
&amp;""/""&amp;
SUM(ARRAYFORMULA(IFERROR(
  (VALUE(REGEXEXTRACT($J$35:$J$54,""^[+-]?[0-9]*\.?[0-9]+""))&lt;
   VALUE(REGEXEXTRACT(N$35:N$54,""^[+-]?[0-9]*\.?[0-9]+"")))*1,0)))"),"14/0/6")</f>
        <v>14/0/6</v>
      </c>
      <c r="O55" s="20" t="str">
        <f>IFERROR(__xludf.DUMMYFUNCTION("SUM(ARRAYFORMULA(IFERROR(
  (VALUE(REGEXEXTRACT($J$35:$J$54,""^[+-]?[0-9]*\.?[0-9]+""))&gt;
   VALUE(REGEXEXTRACT(O$35:O$54,""^[+-]?[0-9]*\.?[0-9]+"")))*1,0)))
&amp;""/""&amp;
SUM(ARRAYFORMULA(IFERROR(
  (VALUE(REGEXEXTRACT($J$35:$J$54,""^[+-]?[0-9]*\.?[0-9]+""))=
 "&amp;"  VALUE(REGEXEXTRACT(O$35:O$54,""^[+-]?[0-9]*\.?[0-9]+"")))*1,0)))
&amp;""/""&amp;
SUM(ARRAYFORMULA(IFERROR(
  (VALUE(REGEXEXTRACT($J$35:$J$54,""^[+-]?[0-9]*\.?[0-9]+""))&lt;
   VALUE(REGEXEXTRACT(O$35:O$54,""^[+-]?[0-9]*\.?[0-9]+"")))*1,0)))"),"15/0/5")</f>
        <v>15/0/5</v>
      </c>
      <c r="P55" s="20" t="str">
        <f>IFERROR(__xludf.DUMMYFUNCTION("SUM(ARRAYFORMULA(IFERROR(
  (VALUE(REGEXEXTRACT($J$35:$J$54,""^[+-]?[0-9]*\.?[0-9]+""))&gt;
   VALUE(REGEXEXTRACT(P$35:P$54,""^[+-]?[0-9]*\.?[0-9]+"")))*1,0)))
&amp;""/""&amp;
SUM(ARRAYFORMULA(IFERROR(
  (VALUE(REGEXEXTRACT($J$35:$J$54,""^[+-]?[0-9]*\.?[0-9]+""))=
 "&amp;"  VALUE(REGEXEXTRACT(P$35:P$54,""^[+-]?[0-9]*\.?[0-9]+"")))*1,0)))
&amp;""/""&amp;
SUM(ARRAYFORMULA(IFERROR(
  (VALUE(REGEXEXTRACT($J$35:$J$54,""^[+-]?[0-9]*\.?[0-9]+""))&lt;
   VALUE(REGEXEXTRACT(P$35:P$54,""^[+-]?[0-9]*\.?[0-9]+"")))*1,0)))"),"15/0/5")</f>
        <v>15/0/5</v>
      </c>
    </row>
    <row r="56">
      <c r="A56" s="6" t="s">
        <v>489</v>
      </c>
      <c r="B56" s="35">
        <v>74.76</v>
      </c>
      <c r="C56" s="35">
        <v>73.71</v>
      </c>
      <c r="D56" s="35">
        <v>67.58</v>
      </c>
      <c r="E56" s="35">
        <v>74.78</v>
      </c>
      <c r="F56" s="35">
        <v>74.04</v>
      </c>
      <c r="G56" s="35">
        <v>74.44</v>
      </c>
      <c r="H56" s="35">
        <v>71.98</v>
      </c>
      <c r="I56" s="8" t="str">
        <f t="shared" si="3"/>
        <v>Average (%)</v>
      </c>
      <c r="J56" s="9">
        <f>IFERROR(__xludf.DUMMYFUNCTION("ROUND(AVERAGE(ARRAYFORMULA(IFERROR(VALUE(REGEXEXTRACT(J$35:J$54,""^[+-]?[0-9]*\.?[0-9]+"")),""""))),2)"),74.76)</f>
        <v>74.76</v>
      </c>
      <c r="K56" s="9">
        <f>IFERROR(__xludf.DUMMYFUNCTION("ROUND(AVERAGE(ARRAYFORMULA(IFERROR(VALUE(REGEXEXTRACT(K$35:K$54,""^[+-]?[0-9]*\.?[0-9]+"")),""""))),2)"),73.71)</f>
        <v>73.71</v>
      </c>
      <c r="L56" s="9">
        <f>IFERROR(__xludf.DUMMYFUNCTION("ROUND(AVERAGE(ARRAYFORMULA(IFERROR(VALUE(REGEXEXTRACT(L$35:L$54,""^[+-]?[0-9]*\.?[0-9]+"")),""""))),2)"),67.58)</f>
        <v>67.58</v>
      </c>
      <c r="M56" s="9">
        <f>IFERROR(__xludf.DUMMYFUNCTION("ROUND(AVERAGE(ARRAYFORMULA(IFERROR(VALUE(REGEXEXTRACT(M$35:M$54,""^[+-]?[0-9]*\.?[0-9]+"")),""""))),2)"),74.78)</f>
        <v>74.78</v>
      </c>
      <c r="N56" s="9">
        <f>IFERROR(__xludf.DUMMYFUNCTION("ROUND(AVERAGE(ARRAYFORMULA(IFERROR(VALUE(REGEXEXTRACT(N$35:N$54,""^[+-]?[0-9]*\.?[0-9]+"")),""""))),2)"),74.04)</f>
        <v>74.04</v>
      </c>
      <c r="O56" s="9">
        <f>IFERROR(__xludf.DUMMYFUNCTION("ROUND(AVERAGE(ARRAYFORMULA(IFERROR(VALUE(REGEXEXTRACT(O$35:O$54,""^[+-]?[0-9]*\.?[0-9]+"")),""""))),2)"),74.44)</f>
        <v>74.44</v>
      </c>
      <c r="P56" s="9">
        <f>IFERROR(__xludf.DUMMYFUNCTION("ROUND(AVERAGE(ARRAYFORMULA(IFERROR(VALUE(REGEXEXTRACT(P$35:P$54,""^[+-]?[0-9]*\.?[0-9]+"")),""""))),2)"),71.98)</f>
        <v>71.98</v>
      </c>
    </row>
    <row r="57">
      <c r="A57" s="4" t="s">
        <v>1013</v>
      </c>
      <c r="B57" s="26"/>
      <c r="C57" s="26"/>
      <c r="D57" s="26"/>
      <c r="E57" s="26"/>
      <c r="F57" s="26"/>
      <c r="G57" s="26"/>
      <c r="H57" s="26"/>
      <c r="I57" s="4" t="s">
        <v>1013</v>
      </c>
    </row>
    <row r="58">
      <c r="A58" s="6" t="s">
        <v>1014</v>
      </c>
      <c r="B58" s="7" t="s">
        <v>2038</v>
      </c>
      <c r="C58" s="7" t="s">
        <v>2039</v>
      </c>
      <c r="D58" s="7" t="s">
        <v>2040</v>
      </c>
      <c r="E58" s="7" t="s">
        <v>2041</v>
      </c>
      <c r="F58" s="7" t="s">
        <v>2042</v>
      </c>
      <c r="G58" s="7" t="s">
        <v>2043</v>
      </c>
      <c r="H58" s="7" t="s">
        <v>2044</v>
      </c>
      <c r="I58" s="8" t="str">
        <f t="shared" ref="I58:I79" si="4">A58</f>
        <v>EQ→JDT</v>
      </c>
      <c r="J58" s="10" t="str">
        <f>IFERROR(__xludf.DUMMYFUNCTION("TEXT(VALUE(REGEXEXTRACT(B58,""^[+-]?[0-9]*\.?[0-9]+""))*100,""0.00"")&amp;"" +/- ""&amp;TEXT(VALUE(REGEXEXTRACT(B58,""[0-9]*\.?[0-9]+$""))*100,""0.00"")"),"80.31 +/- 0.62")</f>
        <v>80.31 +/- 0.62</v>
      </c>
      <c r="K58" s="9" t="str">
        <f>IFERROR(__xludf.DUMMYFUNCTION("TEXT(VALUE(REGEXEXTRACT(C58,""^[+-]?[0-9]*\.?[0-9]+""))*100,""0.00"")&amp;"" +/- ""&amp;TEXT(VALUE(REGEXEXTRACT(C58,""[0-9]*\.?[0-9]+$""))*100,""0.00"")"),"79.75 +/- 0.61")</f>
        <v>79.75 +/- 0.61</v>
      </c>
      <c r="L58" s="9" t="str">
        <f>IFERROR(__xludf.DUMMYFUNCTION("TEXT(VALUE(REGEXEXTRACT(D58,""^[+-]?[0-9]*\.?[0-9]+""))*100,""0.00"")&amp;"" +/- ""&amp;TEXT(VALUE(REGEXEXTRACT(D58,""[0-9]*\.?[0-9]+$""))*100,""0.00"")"),"78.14 +/- 0.98")</f>
        <v>78.14 +/- 0.98</v>
      </c>
      <c r="M58" s="9" t="str">
        <f>IFERROR(__xludf.DUMMYFUNCTION("TEXT(VALUE(REGEXEXTRACT(E58,""^[+-]?[0-9]*\.?[0-9]+""))*100,""0.00"")&amp;"" +/- ""&amp;TEXT(VALUE(REGEXEXTRACT(E58,""[0-9]*\.?[0-9]+$""))*100,""0.00"")"),"79.02 +/- 0.81")</f>
        <v>79.02 +/- 0.81</v>
      </c>
      <c r="N58" s="9" t="str">
        <f>IFERROR(__xludf.DUMMYFUNCTION("TEXT(VALUE(REGEXEXTRACT(F58,""^[+-]?[0-9]*\.?[0-9]+""))*100,""0.00"")&amp;"" +/- ""&amp;TEXT(VALUE(REGEXEXTRACT(F58,""[0-9]*\.?[0-9]+$""))*100,""0.00"")"),"76.18 +/- 1.74")</f>
        <v>76.18 +/- 1.74</v>
      </c>
      <c r="O58" s="9" t="str">
        <f>IFERROR(__xludf.DUMMYFUNCTION("TEXT(VALUE(REGEXEXTRACT(G58,""^[+-]?[0-9]*\.?[0-9]+""))*100,""0.00"")&amp;"" +/- ""&amp;TEXT(VALUE(REGEXEXTRACT(G58,""[0-9]*\.?[0-9]+$""))*100,""0.00"")"),"78.17 +/- 0.80")</f>
        <v>78.17 +/- 0.80</v>
      </c>
      <c r="P58" s="9" t="str">
        <f>IFERROR(__xludf.DUMMYFUNCTION("TEXT(VALUE(REGEXEXTRACT(H58,""^[+-]?[0-9]*\.?[0-9]+""))*100,""0.00"")&amp;"" +/- ""&amp;TEXT(VALUE(REGEXEXTRACT(H58,""[0-9]*\.?[0-9]+$""))*100,""0.00"")"),"78.20 +/- 0.74")</f>
        <v>78.20 +/- 0.74</v>
      </c>
    </row>
    <row r="59">
      <c r="A59" s="6" t="s">
        <v>1026</v>
      </c>
      <c r="B59" s="7" t="s">
        <v>2046</v>
      </c>
      <c r="C59" s="7" t="s">
        <v>2047</v>
      </c>
      <c r="D59" s="7" t="s">
        <v>2048</v>
      </c>
      <c r="E59" s="7" t="s">
        <v>2049</v>
      </c>
      <c r="F59" s="7" t="s">
        <v>2050</v>
      </c>
      <c r="G59" s="7" t="s">
        <v>2051</v>
      </c>
      <c r="H59" s="7" t="s">
        <v>2052</v>
      </c>
      <c r="I59" s="8" t="str">
        <f t="shared" si="4"/>
        <v>EQ→LC</v>
      </c>
      <c r="J59" s="9" t="str">
        <f>IFERROR(__xludf.DUMMYFUNCTION("TEXT(VALUE(REGEXEXTRACT(B59,""^[+-]?[0-9]*\.?[0-9]+""))*100,""0.00"")&amp;"" +/- ""&amp;TEXT(VALUE(REGEXEXTRACT(B59,""[0-9]*\.?[0-9]+$""))*100,""0.00"")"),"79.48 +/- 0.73")</f>
        <v>79.48 +/- 0.73</v>
      </c>
      <c r="K59" s="10" t="str">
        <f>IFERROR(__xludf.DUMMYFUNCTION("TEXT(VALUE(REGEXEXTRACT(C59,""^[+-]?[0-9]*\.?[0-9]+""))*100,""0.00"")&amp;"" +/- ""&amp;TEXT(VALUE(REGEXEXTRACT(C59,""[0-9]*\.?[0-9]+$""))*100,""0.00"")"),"79.60 +/- 0.83")</f>
        <v>79.60 +/- 0.83</v>
      </c>
      <c r="L59" s="9" t="str">
        <f>IFERROR(__xludf.DUMMYFUNCTION("TEXT(VALUE(REGEXEXTRACT(D59,""^[+-]?[0-9]*\.?[0-9]+""))*100,""0.00"")&amp;"" +/- ""&amp;TEXT(VALUE(REGEXEXTRACT(D59,""[0-9]*\.?[0-9]+$""))*100,""0.00"")"),"71.98 +/- 1.35")</f>
        <v>71.98 +/- 1.35</v>
      </c>
      <c r="M59" s="9" t="str">
        <f>IFERROR(__xludf.DUMMYFUNCTION("TEXT(VALUE(REGEXEXTRACT(E59,""^[+-]?[0-9]*\.?[0-9]+""))*100,""0.00"")&amp;"" +/- ""&amp;TEXT(VALUE(REGEXEXTRACT(E59,""[0-9]*\.?[0-9]+$""))*100,""0.00"")"),"78.73 +/- 1.24")</f>
        <v>78.73 +/- 1.24</v>
      </c>
      <c r="N59" s="9" t="str">
        <f>IFERROR(__xludf.DUMMYFUNCTION("TEXT(VALUE(REGEXEXTRACT(F59,""^[+-]?[0-9]*\.?[0-9]+""))*100,""0.00"")&amp;"" +/- ""&amp;TEXT(VALUE(REGEXEXTRACT(F59,""[0-9]*\.?[0-9]+$""))*100,""0.00"")"),"76.95 +/- 1.82")</f>
        <v>76.95 +/- 1.82</v>
      </c>
      <c r="O59" s="9" t="str">
        <f>IFERROR(__xludf.DUMMYFUNCTION("TEXT(VALUE(REGEXEXTRACT(G59,""^[+-]?[0-9]*\.?[0-9]+""))*100,""0.00"")&amp;"" +/- ""&amp;TEXT(VALUE(REGEXEXTRACT(G59,""[0-9]*\.?[0-9]+$""))*100,""0.00"")"),"78.07 +/- 0.90")</f>
        <v>78.07 +/- 0.90</v>
      </c>
      <c r="P59" s="9" t="str">
        <f>IFERROR(__xludf.DUMMYFUNCTION("TEXT(VALUE(REGEXEXTRACT(H59,""^[+-]?[0-9]*\.?[0-9]+""))*100,""0.00"")&amp;"" +/- ""&amp;TEXT(VALUE(REGEXEXTRACT(H59,""[0-9]*\.?[0-9]+$""))*100,""0.00"")"),"79.53 +/- 0.99")</f>
        <v>79.53 +/- 0.99</v>
      </c>
    </row>
    <row r="60">
      <c r="A60" s="6" t="s">
        <v>1036</v>
      </c>
      <c r="B60" s="7" t="s">
        <v>2074</v>
      </c>
      <c r="C60" s="7" t="s">
        <v>2076</v>
      </c>
      <c r="D60" s="7" t="s">
        <v>2078</v>
      </c>
      <c r="E60" s="7" t="s">
        <v>2080</v>
      </c>
      <c r="F60" s="7" t="s">
        <v>2081</v>
      </c>
      <c r="G60" s="7" t="s">
        <v>2082</v>
      </c>
      <c r="H60" s="7" t="s">
        <v>2083</v>
      </c>
      <c r="I60" s="8" t="str">
        <f t="shared" si="4"/>
        <v>EQ→ML</v>
      </c>
      <c r="J60" s="9" t="str">
        <f>IFERROR(__xludf.DUMMYFUNCTION("TEXT(VALUE(REGEXEXTRACT(B60,""^[+-]?[0-9]*\.?[0-9]+""))*100,""0.00"")&amp;"" +/- ""&amp;TEXT(VALUE(REGEXEXTRACT(B60,""[0-9]*\.?[0-9]+$""))*100,""0.00"")"),"62.29 +/- 1.18")</f>
        <v>62.29 +/- 1.18</v>
      </c>
      <c r="K60" s="9" t="str">
        <f>IFERROR(__xludf.DUMMYFUNCTION("TEXT(VALUE(REGEXEXTRACT(C60,""^[+-]?[0-9]*\.?[0-9]+""))*100,""0.00"")&amp;"" +/- ""&amp;TEXT(VALUE(REGEXEXTRACT(C60,""[0-9]*\.?[0-9]+$""))*100,""0.00"")"),"63.33 +/- 1.09")</f>
        <v>63.33 +/- 1.09</v>
      </c>
      <c r="L60" s="9" t="str">
        <f>IFERROR(__xludf.DUMMYFUNCTION("TEXT(VALUE(REGEXEXTRACT(D60,""^[+-]?[0-9]*\.?[0-9]+""))*100,""0.00"")&amp;"" +/- ""&amp;TEXT(VALUE(REGEXEXTRACT(D60,""[0-9]*\.?[0-9]+$""))*100,""0.00"")"),"60.61 +/- 1.21")</f>
        <v>60.61 +/- 1.21</v>
      </c>
      <c r="M60" s="9" t="str">
        <f>IFERROR(__xludf.DUMMYFUNCTION("TEXT(VALUE(REGEXEXTRACT(E60,""^[+-]?[0-9]*\.?[0-9]+""))*100,""0.00"")&amp;"" +/- ""&amp;TEXT(VALUE(REGEXEXTRACT(E60,""[0-9]*\.?[0-9]+$""))*100,""0.00"")"),"61.02 +/- 1.15")</f>
        <v>61.02 +/- 1.15</v>
      </c>
      <c r="N60" s="9" t="str">
        <f>IFERROR(__xludf.DUMMYFUNCTION("TEXT(VALUE(REGEXEXTRACT(F60,""^[+-]?[0-9]*\.?[0-9]+""))*100,""0.00"")&amp;"" +/- ""&amp;TEXT(VALUE(REGEXEXTRACT(F60,""[0-9]*\.?[0-9]+$""))*100,""0.00"")"),"57.81 +/- 1.64")</f>
        <v>57.81 +/- 1.64</v>
      </c>
      <c r="O60" s="9" t="str">
        <f>IFERROR(__xludf.DUMMYFUNCTION("TEXT(VALUE(REGEXEXTRACT(G60,""^[+-]?[0-9]*\.?[0-9]+""))*100,""0.00"")&amp;"" +/- ""&amp;TEXT(VALUE(REGEXEXTRACT(G60,""[0-9]*\.?[0-9]+$""))*100,""0.00"")"),"59.40 +/- 1.35")</f>
        <v>59.40 +/- 1.35</v>
      </c>
      <c r="P60" s="10" t="str">
        <f>IFERROR(__xludf.DUMMYFUNCTION("TEXT(VALUE(REGEXEXTRACT(H60,""^[+-]?[0-9]*\.?[0-9]+""))*100,""0.00"")&amp;"" +/- ""&amp;TEXT(VALUE(REGEXEXTRACT(H60,""[0-9]*\.?[0-9]+$""))*100,""0.00"")"),"63.49 +/- 1.93")</f>
        <v>63.49 +/- 1.93</v>
      </c>
    </row>
    <row r="61">
      <c r="A61" s="6" t="s">
        <v>1044</v>
      </c>
      <c r="B61" s="7" t="s">
        <v>2144</v>
      </c>
      <c r="C61" s="7" t="s">
        <v>2145</v>
      </c>
      <c r="D61" s="7" t="s">
        <v>2146</v>
      </c>
      <c r="E61" s="7" t="s">
        <v>2147</v>
      </c>
      <c r="F61" s="7" t="s">
        <v>2148</v>
      </c>
      <c r="G61" s="7" t="s">
        <v>2149</v>
      </c>
      <c r="H61" s="7" t="s">
        <v>2150</v>
      </c>
      <c r="I61" s="8" t="str">
        <f t="shared" si="4"/>
        <v>EQ→PDE</v>
      </c>
      <c r="J61" s="9" t="str">
        <f>IFERROR(__xludf.DUMMYFUNCTION("TEXT(VALUE(REGEXEXTRACT(B61,""^[+-]?[0-9]*\.?[0-9]+""))*100,""0.00"")&amp;"" +/- ""&amp;TEXT(VALUE(REGEXEXTRACT(B61,""[0-9]*\.?[0-9]+$""))*100,""0.00"")"),"70.43 +/- 0.77")</f>
        <v>70.43 +/- 0.77</v>
      </c>
      <c r="K61" s="10" t="str">
        <f>IFERROR(__xludf.DUMMYFUNCTION("TEXT(VALUE(REGEXEXTRACT(C61,""^[+-]?[0-9]*\.?[0-9]+""))*100,""0.00"")&amp;"" +/- ""&amp;TEXT(VALUE(REGEXEXTRACT(C61,""[0-9]*\.?[0-9]+$""))*100,""0.00"")"),"71.43 +/- 0.54")</f>
        <v>71.43 +/- 0.54</v>
      </c>
      <c r="L61" s="9" t="str">
        <f>IFERROR(__xludf.DUMMYFUNCTION("TEXT(VALUE(REGEXEXTRACT(D61,""^[+-]?[0-9]*\.?[0-9]+""))*100,""0.00"")&amp;"" +/- ""&amp;TEXT(VALUE(REGEXEXTRACT(D61,""[0-9]*\.?[0-9]+$""))*100,""0.00"")"),"70.56 +/- 0.77")</f>
        <v>70.56 +/- 0.77</v>
      </c>
      <c r="M61" s="9" t="str">
        <f>IFERROR(__xludf.DUMMYFUNCTION("TEXT(VALUE(REGEXEXTRACT(E61,""^[+-]?[0-9]*\.?[0-9]+""))*100,""0.00"")&amp;"" +/- ""&amp;TEXT(VALUE(REGEXEXTRACT(E61,""[0-9]*\.?[0-9]+$""))*100,""0.00"")"),"70.84 +/- 0.71")</f>
        <v>70.84 +/- 0.71</v>
      </c>
      <c r="N61" s="9" t="str">
        <f>IFERROR(__xludf.DUMMYFUNCTION("TEXT(VALUE(REGEXEXTRACT(F61,""^[+-]?[0-9]*\.?[0-9]+""))*100,""0.00"")&amp;"" +/- ""&amp;TEXT(VALUE(REGEXEXTRACT(F61,""[0-9]*\.?[0-9]+$""))*100,""0.00"")"),"69.75 +/- 0.95")</f>
        <v>69.75 +/- 0.95</v>
      </c>
      <c r="O61" s="9" t="str">
        <f>IFERROR(__xludf.DUMMYFUNCTION("TEXT(VALUE(REGEXEXTRACT(G61,""^[+-]?[0-9]*\.?[0-9]+""))*100,""0.00"")&amp;"" +/- ""&amp;TEXT(VALUE(REGEXEXTRACT(G61,""[0-9]*\.?[0-9]+$""))*100,""0.00"")"),"70.58 +/- 0.54")</f>
        <v>70.58 +/- 0.54</v>
      </c>
      <c r="P61" s="9" t="str">
        <f>IFERROR(__xludf.DUMMYFUNCTION("TEXT(VALUE(REGEXEXTRACT(H61,""^[+-]?[0-9]*\.?[0-9]+""))*100,""0.00"")&amp;"" +/- ""&amp;TEXT(VALUE(REGEXEXTRACT(H61,""[0-9]*\.?[0-9]+$""))*100,""0.00"")"),"69.33 +/- 1.05")</f>
        <v>69.33 +/- 1.05</v>
      </c>
    </row>
    <row r="62">
      <c r="A62" s="6" t="s">
        <v>1051</v>
      </c>
      <c r="B62" s="7" t="s">
        <v>2151</v>
      </c>
      <c r="C62" s="7" t="s">
        <v>2152</v>
      </c>
      <c r="D62" s="7" t="s">
        <v>2153</v>
      </c>
      <c r="E62" s="7" t="s">
        <v>2154</v>
      </c>
      <c r="F62" s="7" t="s">
        <v>2155</v>
      </c>
      <c r="G62" s="7" t="s">
        <v>2156</v>
      </c>
      <c r="H62" s="7" t="s">
        <v>2157</v>
      </c>
      <c r="I62" s="8" t="str">
        <f t="shared" si="4"/>
        <v>JDT→EQ</v>
      </c>
      <c r="J62" s="9" t="str">
        <f>IFERROR(__xludf.DUMMYFUNCTION("TEXT(VALUE(REGEXEXTRACT(B62,""^[+-]?[0-9]*\.?[0-9]+""))*100,""0.00"")&amp;"" +/- ""&amp;TEXT(VALUE(REGEXEXTRACT(B62,""[0-9]*\.?[0-9]+$""))*100,""0.00"")"),"75.98 +/- 2.04")</f>
        <v>75.98 +/- 2.04</v>
      </c>
      <c r="K62" s="9" t="str">
        <f>IFERROR(__xludf.DUMMYFUNCTION("TEXT(VALUE(REGEXEXTRACT(C62,""^[+-]?[0-9]*\.?[0-9]+""))*100,""0.00"")&amp;"" +/- ""&amp;TEXT(VALUE(REGEXEXTRACT(C62,""[0-9]*\.?[0-9]+$""))*100,""0.00"")"),"76.23 +/- 1.44")</f>
        <v>76.23 +/- 1.44</v>
      </c>
      <c r="L62" s="10" t="str">
        <f>IFERROR(__xludf.DUMMYFUNCTION("TEXT(VALUE(REGEXEXTRACT(D62,""^[+-]?[0-9]*\.?[0-9]+""))*100,""0.00"")&amp;"" +/- ""&amp;TEXT(VALUE(REGEXEXTRACT(D62,""[0-9]*\.?[0-9]+$""))*100,""0.00"")"),"77.93 +/- 1.61")</f>
        <v>77.93 +/- 1.61</v>
      </c>
      <c r="M62" s="9" t="str">
        <f>IFERROR(__xludf.DUMMYFUNCTION("TEXT(VALUE(REGEXEXTRACT(E62,""^[+-]?[0-9]*\.?[0-9]+""))*100,""0.00"")&amp;"" +/- ""&amp;TEXT(VALUE(REGEXEXTRACT(E62,""[0-9]*\.?[0-9]+$""))*100,""0.00"")"),"75.77 +/- 2.19")</f>
        <v>75.77 +/- 2.19</v>
      </c>
      <c r="N62" s="9" t="str">
        <f>IFERROR(__xludf.DUMMYFUNCTION("TEXT(VALUE(REGEXEXTRACT(F62,""^[+-]?[0-9]*\.?[0-9]+""))*100,""0.00"")&amp;"" +/- ""&amp;TEXT(VALUE(REGEXEXTRACT(F62,""[0-9]*\.?[0-9]+$""))*100,""0.00"")"),"69.36 +/- 3.77")</f>
        <v>69.36 +/- 3.77</v>
      </c>
      <c r="O62" s="9" t="str">
        <f>IFERROR(__xludf.DUMMYFUNCTION("TEXT(VALUE(REGEXEXTRACT(G62,""^[+-]?[0-9]*\.?[0-9]+""))*100,""0.00"")&amp;"" +/- ""&amp;TEXT(VALUE(REGEXEXTRACT(G62,""[0-9]*\.?[0-9]+$""))*100,""0.00"")"),"74.21 +/- 3.97")</f>
        <v>74.21 +/- 3.97</v>
      </c>
      <c r="P62" s="9" t="str">
        <f>IFERROR(__xludf.DUMMYFUNCTION("TEXT(VALUE(REGEXEXTRACT(H62,""^[+-]?[0-9]*\.?[0-9]+""))*100,""0.00"")&amp;"" +/- ""&amp;TEXT(VALUE(REGEXEXTRACT(H62,""[0-9]*\.?[0-9]+$""))*100,""0.00"")"),"71.64 +/- 4.27")</f>
        <v>71.64 +/- 4.27</v>
      </c>
    </row>
    <row r="63">
      <c r="A63" s="6" t="s">
        <v>1059</v>
      </c>
      <c r="B63" s="7" t="s">
        <v>2158</v>
      </c>
      <c r="C63" s="7" t="s">
        <v>2159</v>
      </c>
      <c r="D63" s="7" t="s">
        <v>2160</v>
      </c>
      <c r="E63" s="7" t="s">
        <v>2161</v>
      </c>
      <c r="F63" s="7" t="s">
        <v>2162</v>
      </c>
      <c r="G63" s="7" t="s">
        <v>2163</v>
      </c>
      <c r="H63" s="7" t="s">
        <v>2164</v>
      </c>
      <c r="I63" s="8" t="str">
        <f t="shared" si="4"/>
        <v>JDT→LC</v>
      </c>
      <c r="J63" s="9" t="str">
        <f>IFERROR(__xludf.DUMMYFUNCTION("TEXT(VALUE(REGEXEXTRACT(B63,""^[+-]?[0-9]*\.?[0-9]+""))*100,""0.00"")&amp;"" +/- ""&amp;TEXT(VALUE(REGEXEXTRACT(B63,""[0-9]*\.?[0-9]+$""))*100,""0.00"")"),"76.66 +/- 0.84")</f>
        <v>76.66 +/- 0.84</v>
      </c>
      <c r="K63" s="10" t="str">
        <f>IFERROR(__xludf.DUMMYFUNCTION("TEXT(VALUE(REGEXEXTRACT(C63,""^[+-]?[0-9]*\.?[0-9]+""))*100,""0.00"")&amp;"" +/- ""&amp;TEXT(VALUE(REGEXEXTRACT(C63,""[0-9]*\.?[0-9]+$""))*100,""0.00"")"),"77.68 +/- 0.88")</f>
        <v>77.68 +/- 0.88</v>
      </c>
      <c r="L63" s="9" t="str">
        <f>IFERROR(__xludf.DUMMYFUNCTION("TEXT(VALUE(REGEXEXTRACT(D63,""^[+-]?[0-9]*\.?[0-9]+""))*100,""0.00"")&amp;"" +/- ""&amp;TEXT(VALUE(REGEXEXTRACT(D63,""[0-9]*\.?[0-9]+$""))*100,""0.00"")"),"76.85 +/- 0.67")</f>
        <v>76.85 +/- 0.67</v>
      </c>
      <c r="M63" s="9" t="str">
        <f>IFERROR(__xludf.DUMMYFUNCTION("TEXT(VALUE(REGEXEXTRACT(E63,""^[+-]?[0-9]*\.?[0-9]+""))*100,""0.00"")&amp;"" +/- ""&amp;TEXT(VALUE(REGEXEXTRACT(E63,""[0-9]*\.?[0-9]+$""))*100,""0.00"")"),"76.60 +/- 1.00")</f>
        <v>76.60 +/- 1.00</v>
      </c>
      <c r="N63" s="9" t="str">
        <f>IFERROR(__xludf.DUMMYFUNCTION("TEXT(VALUE(REGEXEXTRACT(F63,""^[+-]?[0-9]*\.?[0-9]+""))*100,""0.00"")&amp;"" +/- ""&amp;TEXT(VALUE(REGEXEXTRACT(F63,""[0-9]*\.?[0-9]+$""))*100,""0.00"")"),"74.45 +/- 1.32")</f>
        <v>74.45 +/- 1.32</v>
      </c>
      <c r="O63" s="9" t="str">
        <f>IFERROR(__xludf.DUMMYFUNCTION("TEXT(VALUE(REGEXEXTRACT(G63,""^[+-]?[0-9]*\.?[0-9]+""))*100,""0.00"")&amp;"" +/- ""&amp;TEXT(VALUE(REGEXEXTRACT(G63,""[0-9]*\.?[0-9]+$""))*100,""0.00"")"),"75.58 +/- 1.29")</f>
        <v>75.58 +/- 1.29</v>
      </c>
      <c r="P63" s="9" t="str">
        <f>IFERROR(__xludf.DUMMYFUNCTION("TEXT(VALUE(REGEXEXTRACT(H63,""^[+-]?[0-9]*\.?[0-9]+""))*100,""0.00"")&amp;"" +/- ""&amp;TEXT(VALUE(REGEXEXTRACT(H63,""[0-9]*\.?[0-9]+$""))*100,""0.00"")"),"74.41 +/- 1.55")</f>
        <v>74.41 +/- 1.55</v>
      </c>
    </row>
    <row r="64">
      <c r="A64" s="6" t="s">
        <v>1088</v>
      </c>
      <c r="B64" s="7" t="s">
        <v>2165</v>
      </c>
      <c r="C64" s="7" t="s">
        <v>2166</v>
      </c>
      <c r="D64" s="7" t="s">
        <v>2167</v>
      </c>
      <c r="E64" s="7" t="s">
        <v>2168</v>
      </c>
      <c r="F64" s="7" t="s">
        <v>2169</v>
      </c>
      <c r="G64" s="7" t="s">
        <v>2170</v>
      </c>
      <c r="H64" s="7" t="s">
        <v>2171</v>
      </c>
      <c r="I64" s="8" t="str">
        <f t="shared" si="4"/>
        <v>JDT→ML</v>
      </c>
      <c r="J64" s="9" t="str">
        <f>IFERROR(__xludf.DUMMYFUNCTION("TEXT(VALUE(REGEXEXTRACT(B64,""^[+-]?[0-9]*\.?[0-9]+""))*100,""0.00"")&amp;"" +/- ""&amp;TEXT(VALUE(REGEXEXTRACT(B64,""[0-9]*\.?[0-9]+$""))*100,""0.00"")"),"69.34 +/- 0.86")</f>
        <v>69.34 +/- 0.86</v>
      </c>
      <c r="K64" s="10" t="str">
        <f>IFERROR(__xludf.DUMMYFUNCTION("TEXT(VALUE(REGEXEXTRACT(C64,""^[+-]?[0-9]*\.?[0-9]+""))*100,""0.00"")&amp;"" +/- ""&amp;TEXT(VALUE(REGEXEXTRACT(C64,""[0-9]*\.?[0-9]+$""))*100,""0.00"")"),"70.63 +/- 0.90")</f>
        <v>70.63 +/- 0.90</v>
      </c>
      <c r="L64" s="9" t="str">
        <f>IFERROR(__xludf.DUMMYFUNCTION("TEXT(VALUE(REGEXEXTRACT(D64,""^[+-]?[0-9]*\.?[0-9]+""))*100,""0.00"")&amp;"" +/- ""&amp;TEXT(VALUE(REGEXEXTRACT(D64,""[0-9]*\.?[0-9]+$""))*100,""0.00"")"),"67.48 +/- 0.63")</f>
        <v>67.48 +/- 0.63</v>
      </c>
      <c r="M64" s="9" t="str">
        <f>IFERROR(__xludf.DUMMYFUNCTION("TEXT(VALUE(REGEXEXTRACT(E64,""^[+-]?[0-9]*\.?[0-9]+""))*100,""0.00"")&amp;"" +/- ""&amp;TEXT(VALUE(REGEXEXTRACT(E64,""[0-9]*\.?[0-9]+$""))*100,""0.00"")"),"66.88 +/- 2.08")</f>
        <v>66.88 +/- 2.08</v>
      </c>
      <c r="N64" s="9" t="str">
        <f>IFERROR(__xludf.DUMMYFUNCTION("TEXT(VALUE(REGEXEXTRACT(F64,""^[+-]?[0-9]*\.?[0-9]+""))*100,""0.00"")&amp;"" +/- ""&amp;TEXT(VALUE(REGEXEXTRACT(F64,""[0-9]*\.?[0-9]+$""))*100,""0.00"")"),"63.30 +/- 2.14")</f>
        <v>63.30 +/- 2.14</v>
      </c>
      <c r="O64" s="9" t="str">
        <f>IFERROR(__xludf.DUMMYFUNCTION("TEXT(VALUE(REGEXEXTRACT(G64,""^[+-]?[0-9]*\.?[0-9]+""))*100,""0.00"")&amp;"" +/- ""&amp;TEXT(VALUE(REGEXEXTRACT(G64,""[0-9]*\.?[0-9]+$""))*100,""0.00"")"),"66.25 +/- 1.98")</f>
        <v>66.25 +/- 1.98</v>
      </c>
      <c r="P64" s="9" t="str">
        <f>IFERROR(__xludf.DUMMYFUNCTION("TEXT(VALUE(REGEXEXTRACT(H64,""^[+-]?[0-9]*\.?[0-9]+""))*100,""0.00"")&amp;"" +/- ""&amp;TEXT(VALUE(REGEXEXTRACT(H64,""[0-9]*\.?[0-9]+$""))*100,""0.00"")"),"63.60 +/- 1.83")</f>
        <v>63.60 +/- 1.83</v>
      </c>
    </row>
    <row r="65">
      <c r="A65" s="6" t="s">
        <v>1097</v>
      </c>
      <c r="B65" s="7" t="s">
        <v>2178</v>
      </c>
      <c r="C65" s="7" t="s">
        <v>2180</v>
      </c>
      <c r="D65" s="7" t="s">
        <v>2181</v>
      </c>
      <c r="E65" s="7" t="s">
        <v>2182</v>
      </c>
      <c r="F65" s="7" t="s">
        <v>2183</v>
      </c>
      <c r="G65" s="7" t="s">
        <v>2184</v>
      </c>
      <c r="H65" s="7" t="s">
        <v>2185</v>
      </c>
      <c r="I65" s="8" t="str">
        <f t="shared" si="4"/>
        <v>JDT→PDE</v>
      </c>
      <c r="J65" s="9" t="str">
        <f>IFERROR(__xludf.DUMMYFUNCTION("TEXT(VALUE(REGEXEXTRACT(B65,""^[+-]?[0-9]*\.?[0-9]+""))*100,""0.00"")&amp;"" +/- ""&amp;TEXT(VALUE(REGEXEXTRACT(B65,""[0-9]*\.?[0-9]+$""))*100,""0.00"")"),"73.92 +/- 0.35")</f>
        <v>73.92 +/- 0.35</v>
      </c>
      <c r="K65" s="10" t="str">
        <f>IFERROR(__xludf.DUMMYFUNCTION("TEXT(VALUE(REGEXEXTRACT(C65,""^[+-]?[0-9]*\.?[0-9]+""))*100,""0.00"")&amp;"" +/- ""&amp;TEXT(VALUE(REGEXEXTRACT(C65,""[0-9]*\.?[0-9]+$""))*100,""0.00"")"),"74.37 +/- 0.70")</f>
        <v>74.37 +/- 0.70</v>
      </c>
      <c r="L65" s="9" t="str">
        <f>IFERROR(__xludf.DUMMYFUNCTION("TEXT(VALUE(REGEXEXTRACT(D65,""^[+-]?[0-9]*\.?[0-9]+""))*100,""0.00"")&amp;"" +/- ""&amp;TEXT(VALUE(REGEXEXTRACT(D65,""[0-9]*\.?[0-9]+$""))*100,""0.00"")"),"72.11 +/- 0.47")</f>
        <v>72.11 +/- 0.47</v>
      </c>
      <c r="M65" s="9" t="str">
        <f>IFERROR(__xludf.DUMMYFUNCTION("TEXT(VALUE(REGEXEXTRACT(E65,""^[+-]?[0-9]*\.?[0-9]+""))*100,""0.00"")&amp;"" +/- ""&amp;TEXT(VALUE(REGEXEXTRACT(E65,""[0-9]*\.?[0-9]+$""))*100,""0.00"")"),"73.53 +/- 0.80")</f>
        <v>73.53 +/- 0.80</v>
      </c>
      <c r="N65" s="9" t="str">
        <f>IFERROR(__xludf.DUMMYFUNCTION("TEXT(VALUE(REGEXEXTRACT(F65,""^[+-]?[0-9]*\.?[0-9]+""))*100,""0.00"")&amp;"" +/- ""&amp;TEXT(VALUE(REGEXEXTRACT(F65,""[0-9]*\.?[0-9]+$""))*100,""0.00"")"),"73.05 +/- 0.51")</f>
        <v>73.05 +/- 0.51</v>
      </c>
      <c r="O65" s="9" t="str">
        <f>IFERROR(__xludf.DUMMYFUNCTION("TEXT(VALUE(REGEXEXTRACT(G65,""^[+-]?[0-9]*\.?[0-9]+""))*100,""0.00"")&amp;"" +/- ""&amp;TEXT(VALUE(REGEXEXTRACT(G65,""[0-9]*\.?[0-9]+$""))*100,""0.00"")"),"73.77 +/- 0.66")</f>
        <v>73.77 +/- 0.66</v>
      </c>
      <c r="P65" s="9" t="str">
        <f>IFERROR(__xludf.DUMMYFUNCTION("TEXT(VALUE(REGEXEXTRACT(H65,""^[+-]?[0-9]*\.?[0-9]+""))*100,""0.00"")&amp;"" +/- ""&amp;TEXT(VALUE(REGEXEXTRACT(H65,""[0-9]*\.?[0-9]+$""))*100,""0.00"")"),"52.22 +/- 1.84")</f>
        <v>52.22 +/- 1.84</v>
      </c>
    </row>
    <row r="66">
      <c r="A66" s="6" t="s">
        <v>1105</v>
      </c>
      <c r="B66" s="7" t="s">
        <v>2187</v>
      </c>
      <c r="C66" s="7" t="s">
        <v>2189</v>
      </c>
      <c r="D66" s="7" t="s">
        <v>2191</v>
      </c>
      <c r="E66" s="7" t="s">
        <v>2193</v>
      </c>
      <c r="F66" s="7" t="s">
        <v>2195</v>
      </c>
      <c r="G66" s="7" t="s">
        <v>2197</v>
      </c>
      <c r="H66" s="7" t="s">
        <v>2199</v>
      </c>
      <c r="I66" s="8" t="str">
        <f t="shared" si="4"/>
        <v>LC→EQ</v>
      </c>
      <c r="J66" s="9" t="str">
        <f>IFERROR(__xludf.DUMMYFUNCTION("TEXT(VALUE(REGEXEXTRACT(B66,""^[+-]?[0-9]*\.?[0-9]+""))*100,""0.00"")&amp;"" +/- ""&amp;TEXT(VALUE(REGEXEXTRACT(B66,""[0-9]*\.?[0-9]+$""))*100,""0.00"")"),"81.29 +/- 1.01")</f>
        <v>81.29 +/- 1.01</v>
      </c>
      <c r="K66" s="9" t="str">
        <f>IFERROR(__xludf.DUMMYFUNCTION("TEXT(VALUE(REGEXEXTRACT(C66,""^[+-]?[0-9]*\.?[0-9]+""))*100,""0.00"")&amp;"" +/- ""&amp;TEXT(VALUE(REGEXEXTRACT(C66,""[0-9]*\.?[0-9]+$""))*100,""0.00"")"),"81.05 +/- 1.81")</f>
        <v>81.05 +/- 1.81</v>
      </c>
      <c r="L66" s="9" t="str">
        <f>IFERROR(__xludf.DUMMYFUNCTION("TEXT(VALUE(REGEXEXTRACT(D66,""^[+-]?[0-9]*\.?[0-9]+""))*100,""0.00"")&amp;"" +/- ""&amp;TEXT(VALUE(REGEXEXTRACT(D66,""[0-9]*\.?[0-9]+$""))*100,""0.00"")"),"79.54 +/- 1.80")</f>
        <v>79.54 +/- 1.80</v>
      </c>
      <c r="M66" s="9" t="str">
        <f>IFERROR(__xludf.DUMMYFUNCTION("TEXT(VALUE(REGEXEXTRACT(E66,""^[+-]?[0-9]*\.?[0-9]+""))*100,""0.00"")&amp;"" +/- ""&amp;TEXT(VALUE(REGEXEXTRACT(E66,""[0-9]*\.?[0-9]+$""))*100,""0.00"")"),"80.53 +/- 2.47")</f>
        <v>80.53 +/- 2.47</v>
      </c>
      <c r="N66" s="10" t="str">
        <f>IFERROR(__xludf.DUMMYFUNCTION("TEXT(VALUE(REGEXEXTRACT(F66,""^[+-]?[0-9]*\.?[0-9]+""))*100,""0.00"")&amp;"" +/- ""&amp;TEXT(VALUE(REGEXEXTRACT(F66,""[0-9]*\.?[0-9]+$""))*100,""0.00"")"),"82.38 +/- 0.77")</f>
        <v>82.38 +/- 0.77</v>
      </c>
      <c r="O66" s="9" t="str">
        <f>IFERROR(__xludf.DUMMYFUNCTION("TEXT(VALUE(REGEXEXTRACT(G66,""^[+-]?[0-9]*\.?[0-9]+""))*100,""0.00"")&amp;"" +/- ""&amp;TEXT(VALUE(REGEXEXTRACT(G66,""[0-9]*\.?[0-9]+$""))*100,""0.00"")"),"82.28 +/- 1.01")</f>
        <v>82.28 +/- 1.01</v>
      </c>
      <c r="P66" s="9" t="str">
        <f>IFERROR(__xludf.DUMMYFUNCTION("TEXT(VALUE(REGEXEXTRACT(H66,""^[+-]?[0-9]*\.?[0-9]+""))*100,""0.00"")&amp;"" +/- ""&amp;TEXT(VALUE(REGEXEXTRACT(H66,""[0-9]*\.?[0-9]+$""))*100,""0.00"")"),"32.73 +/- 1.96")</f>
        <v>32.73 +/- 1.96</v>
      </c>
    </row>
    <row r="67">
      <c r="A67" s="6" t="s">
        <v>1115</v>
      </c>
      <c r="B67" s="7" t="s">
        <v>2234</v>
      </c>
      <c r="C67" s="7" t="s">
        <v>2235</v>
      </c>
      <c r="D67" s="7" t="s">
        <v>2236</v>
      </c>
      <c r="E67" s="7" t="s">
        <v>2237</v>
      </c>
      <c r="F67" s="7" t="s">
        <v>2239</v>
      </c>
      <c r="G67" s="7" t="s">
        <v>2241</v>
      </c>
      <c r="H67" s="7" t="s">
        <v>2242</v>
      </c>
      <c r="I67" s="8" t="str">
        <f t="shared" si="4"/>
        <v>LC→JDT</v>
      </c>
      <c r="J67" s="10" t="str">
        <f>IFERROR(__xludf.DUMMYFUNCTION("TEXT(VALUE(REGEXEXTRACT(B67,""^[+-]?[0-9]*\.?[0-9]+""))*100,""0.00"")&amp;"" +/- ""&amp;TEXT(VALUE(REGEXEXTRACT(B67,""[0-9]*\.?[0-9]+$""))*100,""0.00"")"),"81.14 +/- 0.47")</f>
        <v>81.14 +/- 0.47</v>
      </c>
      <c r="K67" s="9" t="str">
        <f>IFERROR(__xludf.DUMMYFUNCTION("TEXT(VALUE(REGEXEXTRACT(C67,""^[+-]?[0-9]*\.?[0-9]+""))*100,""0.00"")&amp;"" +/- ""&amp;TEXT(VALUE(REGEXEXTRACT(C67,""[0-9]*\.?[0-9]+$""))*100,""0.00"")"),"76.58 +/- 1.56")</f>
        <v>76.58 +/- 1.56</v>
      </c>
      <c r="L67" s="9" t="str">
        <f>IFERROR(__xludf.DUMMYFUNCTION("TEXT(VALUE(REGEXEXTRACT(D67,""^[+-]?[0-9]*\.?[0-9]+""))*100,""0.00"")&amp;"" +/- ""&amp;TEXT(VALUE(REGEXEXTRACT(D67,""[0-9]*\.?[0-9]+$""))*100,""0.00"")"),"78.15 +/- 1.06")</f>
        <v>78.15 +/- 1.06</v>
      </c>
      <c r="M67" s="9" t="str">
        <f>IFERROR(__xludf.DUMMYFUNCTION("TEXT(VALUE(REGEXEXTRACT(E67,""^[+-]?[0-9]*\.?[0-9]+""))*100,""0.00"")&amp;"" +/- ""&amp;TEXT(VALUE(REGEXEXTRACT(E67,""[0-9]*\.?[0-9]+$""))*100,""0.00"")"),"80.80 +/- 1.01")</f>
        <v>80.80 +/- 1.01</v>
      </c>
      <c r="N67" s="9" t="str">
        <f>IFERROR(__xludf.DUMMYFUNCTION("TEXT(VALUE(REGEXEXTRACT(F67,""^[+-]?[0-9]*\.?[0-9]+""))*100,""0.00"")&amp;"" +/- ""&amp;TEXT(VALUE(REGEXEXTRACT(F67,""[0-9]*\.?[0-9]+$""))*100,""0.00"")"),"80.06 +/- 0.59")</f>
        <v>80.06 +/- 0.59</v>
      </c>
      <c r="O67" s="9" t="str">
        <f>IFERROR(__xludf.DUMMYFUNCTION("TEXT(VALUE(REGEXEXTRACT(G67,""^[+-]?[0-9]*\.?[0-9]+""))*100,""0.00"")&amp;"" +/- ""&amp;TEXT(VALUE(REGEXEXTRACT(G67,""[0-9]*\.?[0-9]+$""))*100,""0.00"")"),"80.87 +/- 0.45")</f>
        <v>80.87 +/- 0.45</v>
      </c>
      <c r="P67" s="9" t="str">
        <f>IFERROR(__xludf.DUMMYFUNCTION("TEXT(VALUE(REGEXEXTRACT(H67,""^[+-]?[0-9]*\.?[0-9]+""))*100,""0.00"")&amp;"" +/- ""&amp;TEXT(VALUE(REGEXEXTRACT(H67,""[0-9]*\.?[0-9]+$""))*100,""0.00"")"),"54.46 +/- 2.32")</f>
        <v>54.46 +/- 2.32</v>
      </c>
    </row>
    <row r="68">
      <c r="A68" s="6" t="s">
        <v>1125</v>
      </c>
      <c r="B68" s="7" t="s">
        <v>2254</v>
      </c>
      <c r="C68" s="7" t="s">
        <v>2255</v>
      </c>
      <c r="D68" s="7" t="s">
        <v>2256</v>
      </c>
      <c r="E68" s="7" t="s">
        <v>2257</v>
      </c>
      <c r="F68" s="7" t="s">
        <v>2258</v>
      </c>
      <c r="G68" s="7" t="s">
        <v>2259</v>
      </c>
      <c r="H68" s="7" t="s">
        <v>2260</v>
      </c>
      <c r="I68" s="8" t="str">
        <f t="shared" si="4"/>
        <v>LC→ML</v>
      </c>
      <c r="J68" s="9" t="str">
        <f>IFERROR(__xludf.DUMMYFUNCTION("TEXT(VALUE(REGEXEXTRACT(B68,""^[+-]?[0-9]*\.?[0-9]+""))*100,""0.00"")&amp;"" +/- ""&amp;TEXT(VALUE(REGEXEXTRACT(B68,""[0-9]*\.?[0-9]+$""))*100,""0.00"")"),"67.98 +/- 1.57")</f>
        <v>67.98 +/- 1.57</v>
      </c>
      <c r="K68" s="9" t="str">
        <f>IFERROR(__xludf.DUMMYFUNCTION("TEXT(VALUE(REGEXEXTRACT(C68,""^[+-]?[0-9]*\.?[0-9]+""))*100,""0.00"")&amp;"" +/- ""&amp;TEXT(VALUE(REGEXEXTRACT(C68,""[0-9]*\.?[0-9]+$""))*100,""0.00"")"),"66.92 +/- 1.15")</f>
        <v>66.92 +/- 1.15</v>
      </c>
      <c r="L68" s="10" t="str">
        <f>IFERROR(__xludf.DUMMYFUNCTION("TEXT(VALUE(REGEXEXTRACT(D68,""^[+-]?[0-9]*\.?[0-9]+""))*100,""0.00"")&amp;"" +/- ""&amp;TEXT(VALUE(REGEXEXTRACT(D68,""[0-9]*\.?[0-9]+$""))*100,""0.00"")"),"69.99 +/- 1.23")</f>
        <v>69.99 +/- 1.23</v>
      </c>
      <c r="M68" s="9" t="str">
        <f>IFERROR(__xludf.DUMMYFUNCTION("TEXT(VALUE(REGEXEXTRACT(E68,""^[+-]?[0-9]*\.?[0-9]+""))*100,""0.00"")&amp;"" +/- ""&amp;TEXT(VALUE(REGEXEXTRACT(E68,""[0-9]*\.?[0-9]+$""))*100,""0.00"")"),"67.56 +/- 2.14")</f>
        <v>67.56 +/- 2.14</v>
      </c>
      <c r="N68" s="9" t="str">
        <f>IFERROR(__xludf.DUMMYFUNCTION("TEXT(VALUE(REGEXEXTRACT(F68,""^[+-]?[0-9]*\.?[0-9]+""))*100,""0.00"")&amp;"" +/- ""&amp;TEXT(VALUE(REGEXEXTRACT(F68,""[0-9]*\.?[0-9]+$""))*100,""0.00"")"),"62.39 +/- 1.15")</f>
        <v>62.39 +/- 1.15</v>
      </c>
      <c r="O68" s="9" t="str">
        <f>IFERROR(__xludf.DUMMYFUNCTION("TEXT(VALUE(REGEXEXTRACT(G68,""^[+-]?[0-9]*\.?[0-9]+""))*100,""0.00"")&amp;"" +/- ""&amp;TEXT(VALUE(REGEXEXTRACT(G68,""[0-9]*\.?[0-9]+$""))*100,""0.00"")"),"65.72 +/- 1.56")</f>
        <v>65.72 +/- 1.56</v>
      </c>
      <c r="P68" s="9" t="str">
        <f>IFERROR(__xludf.DUMMYFUNCTION("TEXT(VALUE(REGEXEXTRACT(H68,""^[+-]?[0-9]*\.?[0-9]+""))*100,""0.00"")&amp;"" +/- ""&amp;TEXT(VALUE(REGEXEXTRACT(H68,""[0-9]*\.?[0-9]+$""))*100,""0.00"")"),"67.10 +/- 2.39")</f>
        <v>67.10 +/- 2.39</v>
      </c>
    </row>
    <row r="69">
      <c r="A69" s="6" t="s">
        <v>1136</v>
      </c>
      <c r="B69" s="7" t="s">
        <v>2261</v>
      </c>
      <c r="C69" s="7" t="s">
        <v>2262</v>
      </c>
      <c r="D69" s="7" t="s">
        <v>2263</v>
      </c>
      <c r="E69" s="7" t="s">
        <v>2264</v>
      </c>
      <c r="F69" s="7" t="s">
        <v>2265</v>
      </c>
      <c r="G69" s="7" t="s">
        <v>2266</v>
      </c>
      <c r="H69" s="7" t="s">
        <v>2267</v>
      </c>
      <c r="I69" s="8" t="str">
        <f t="shared" si="4"/>
        <v>LC→PDE</v>
      </c>
      <c r="J69" s="9" t="str">
        <f>IFERROR(__xludf.DUMMYFUNCTION("TEXT(VALUE(REGEXEXTRACT(B69,""^[+-]?[0-9]*\.?[0-9]+""))*100,""0.00"")&amp;"" +/- ""&amp;TEXT(VALUE(REGEXEXTRACT(B69,""[0-9]*\.?[0-9]+$""))*100,""0.00"")"),"73.32 +/- 0.46")</f>
        <v>73.32 +/- 0.46</v>
      </c>
      <c r="K69" s="9" t="str">
        <f>IFERROR(__xludf.DUMMYFUNCTION("TEXT(VALUE(REGEXEXTRACT(C69,""^[+-]?[0-9]*\.?[0-9]+""))*100,""0.00"")&amp;"" +/- ""&amp;TEXT(VALUE(REGEXEXTRACT(C69,""[0-9]*\.?[0-9]+$""))*100,""0.00"")"),"71.18 +/- 1.26")</f>
        <v>71.18 +/- 1.26</v>
      </c>
      <c r="L69" s="9" t="str">
        <f>IFERROR(__xludf.DUMMYFUNCTION("TEXT(VALUE(REGEXEXTRACT(D69,""^[+-]?[0-9]*\.?[0-9]+""))*100,""0.00"")&amp;"" +/- ""&amp;TEXT(VALUE(REGEXEXTRACT(D69,""[0-9]*\.?[0-9]+$""))*100,""0.00"")"),"72.75 +/- 0.63")</f>
        <v>72.75 +/- 0.63</v>
      </c>
      <c r="M69" s="9" t="str">
        <f>IFERROR(__xludf.DUMMYFUNCTION("TEXT(VALUE(REGEXEXTRACT(E69,""^[+-]?[0-9]*\.?[0-9]+""))*100,""0.00"")&amp;"" +/- ""&amp;TEXT(VALUE(REGEXEXTRACT(E69,""[0-9]*\.?[0-9]+$""))*100,""0.00"")"),"72.84 +/- 1.16")</f>
        <v>72.84 +/- 1.16</v>
      </c>
      <c r="N69" s="9" t="str">
        <f>IFERROR(__xludf.DUMMYFUNCTION("TEXT(VALUE(REGEXEXTRACT(F69,""^[+-]?[0-9]*\.?[0-9]+""))*100,""0.00"")&amp;"" +/- ""&amp;TEXT(VALUE(REGEXEXTRACT(F69,""[0-9]*\.?[0-9]+$""))*100,""0.00"")"),"73.30 +/- 0.42")</f>
        <v>73.30 +/- 0.42</v>
      </c>
      <c r="O69" s="10" t="str">
        <f>IFERROR(__xludf.DUMMYFUNCTION("TEXT(VALUE(REGEXEXTRACT(G69,""^[+-]?[0-9]*\.?[0-9]+""))*100,""0.00"")&amp;"" +/- ""&amp;TEXT(VALUE(REGEXEXTRACT(G69,""[0-9]*\.?[0-9]+$""))*100,""0.00"")"),"73.72 +/- 0.62")</f>
        <v>73.72 +/- 0.62</v>
      </c>
      <c r="P69" s="9" t="str">
        <f>IFERROR(__xludf.DUMMYFUNCTION("TEXT(VALUE(REGEXEXTRACT(H69,""^[+-]?[0-9]*\.?[0-9]+""))*100,""0.00"")&amp;"" +/- ""&amp;TEXT(VALUE(REGEXEXTRACT(H69,""[0-9]*\.?[0-9]+$""))*100,""0.00"")"),"49.62 +/- 1.70")</f>
        <v>49.62 +/- 1.70</v>
      </c>
    </row>
    <row r="70">
      <c r="A70" s="6" t="s">
        <v>1235</v>
      </c>
      <c r="B70" s="7" t="s">
        <v>2268</v>
      </c>
      <c r="C70" s="7" t="s">
        <v>2269</v>
      </c>
      <c r="D70" s="7" t="s">
        <v>2270</v>
      </c>
      <c r="E70" s="7" t="s">
        <v>2271</v>
      </c>
      <c r="F70" s="7" t="s">
        <v>2272</v>
      </c>
      <c r="G70" s="7" t="s">
        <v>2273</v>
      </c>
      <c r="H70" s="7" t="s">
        <v>2274</v>
      </c>
      <c r="I70" s="8" t="str">
        <f t="shared" si="4"/>
        <v>ML→EQ</v>
      </c>
      <c r="J70" s="9" t="str">
        <f>IFERROR(__xludf.DUMMYFUNCTION("TEXT(VALUE(REGEXEXTRACT(B70,""^[+-]?[0-9]*\.?[0-9]+""))*100,""0.00"")&amp;"" +/- ""&amp;TEXT(VALUE(REGEXEXTRACT(B70,""[0-9]*\.?[0-9]+$""))*100,""0.00"")"),"67.02 +/- 3.71")</f>
        <v>67.02 +/- 3.71</v>
      </c>
      <c r="K70" s="9" t="str">
        <f>IFERROR(__xludf.DUMMYFUNCTION("TEXT(VALUE(REGEXEXTRACT(C70,""^[+-]?[0-9]*\.?[0-9]+""))*100,""0.00"")&amp;"" +/- ""&amp;TEXT(VALUE(REGEXEXTRACT(C70,""[0-9]*\.?[0-9]+$""))*100,""0.00"")"),"73.42 +/- 3.33")</f>
        <v>73.42 +/- 3.33</v>
      </c>
      <c r="L70" s="10" t="str">
        <f>IFERROR(__xludf.DUMMYFUNCTION("TEXT(VALUE(REGEXEXTRACT(D70,""^[+-]?[0-9]*\.?[0-9]+""))*100,""0.00"")&amp;"" +/- ""&amp;TEXT(VALUE(REGEXEXTRACT(D70,""[0-9]*\.?[0-9]+$""))*100,""0.00"")"),"74.61 +/- 1.62")</f>
        <v>74.61 +/- 1.62</v>
      </c>
      <c r="M70" s="9" t="str">
        <f>IFERROR(__xludf.DUMMYFUNCTION("TEXT(VALUE(REGEXEXTRACT(E70,""^[+-]?[0-9]*\.?[0-9]+""))*100,""0.00"")&amp;"" +/- ""&amp;TEXT(VALUE(REGEXEXTRACT(E70,""[0-9]*\.?[0-9]+$""))*100,""0.00"")"),"67.07 +/- 5.74")</f>
        <v>67.07 +/- 5.74</v>
      </c>
      <c r="N70" s="9" t="str">
        <f>IFERROR(__xludf.DUMMYFUNCTION("TEXT(VALUE(REGEXEXTRACT(F70,""^[+-]?[0-9]*\.?[0-9]+""))*100,""0.00"")&amp;"" +/- ""&amp;TEXT(VALUE(REGEXEXTRACT(F70,""[0-9]*\.?[0-9]+$""))*100,""0.00"")"),"60.66 +/- 4.10")</f>
        <v>60.66 +/- 4.10</v>
      </c>
      <c r="O70" s="9" t="str">
        <f>IFERROR(__xludf.DUMMYFUNCTION("TEXT(VALUE(REGEXEXTRACT(G70,""^[+-]?[0-9]*\.?[0-9]+""))*100,""0.00"")&amp;"" +/- ""&amp;TEXT(VALUE(REGEXEXTRACT(G70,""[0-9]*\.?[0-9]+$""))*100,""0.00"")"),"61.32 +/- 4.79")</f>
        <v>61.32 +/- 4.79</v>
      </c>
      <c r="P70" s="9" t="str">
        <f>IFERROR(__xludf.DUMMYFUNCTION("TEXT(VALUE(REGEXEXTRACT(H70,""^[+-]?[0-9]*\.?[0-9]+""))*100,""0.00"")&amp;"" +/- ""&amp;TEXT(VALUE(REGEXEXTRACT(H70,""[0-9]*\.?[0-9]+$""))*100,""0.00"")"),"35.17 +/- 4.37")</f>
        <v>35.17 +/- 4.37</v>
      </c>
    </row>
    <row r="71">
      <c r="A71" s="6" t="s">
        <v>1243</v>
      </c>
      <c r="B71" s="7" t="s">
        <v>2276</v>
      </c>
      <c r="C71" s="7" t="s">
        <v>2277</v>
      </c>
      <c r="D71" s="7" t="s">
        <v>2278</v>
      </c>
      <c r="E71" s="7" t="s">
        <v>2279</v>
      </c>
      <c r="F71" s="7" t="s">
        <v>2280</v>
      </c>
      <c r="G71" s="7" t="s">
        <v>2282</v>
      </c>
      <c r="H71" s="7" t="s">
        <v>2283</v>
      </c>
      <c r="I71" s="8" t="str">
        <f t="shared" si="4"/>
        <v>ML→JDT</v>
      </c>
      <c r="J71" s="10" t="str">
        <f>IFERROR(__xludf.DUMMYFUNCTION("TEXT(VALUE(REGEXEXTRACT(B71,""^[+-]?[0-9]*\.?[0-9]+""))*100,""0.00"")&amp;"" +/- ""&amp;TEXT(VALUE(REGEXEXTRACT(B71,""[0-9]*\.?[0-9]+$""))*100,""0.00"")"),"77.46 +/- 1.01")</f>
        <v>77.46 +/- 1.01</v>
      </c>
      <c r="K71" s="9" t="str">
        <f>IFERROR(__xludf.DUMMYFUNCTION("TEXT(VALUE(REGEXEXTRACT(C71,""^[+-]?[0-9]*\.?[0-9]+""))*100,""0.00"")&amp;"" +/- ""&amp;TEXT(VALUE(REGEXEXTRACT(C71,""[0-9]*\.?[0-9]+$""))*100,""0.00"")"),"70.47 +/- 2.06")</f>
        <v>70.47 +/- 2.06</v>
      </c>
      <c r="L71" s="9" t="str">
        <f>IFERROR(__xludf.DUMMYFUNCTION("TEXT(VALUE(REGEXEXTRACT(D71,""^[+-]?[0-9]*\.?[0-9]+""))*100,""0.00"")&amp;"" +/- ""&amp;TEXT(VALUE(REGEXEXTRACT(D71,""[0-9]*\.?[0-9]+$""))*100,""0.00"")"),"75.57 +/- 0.72")</f>
        <v>75.57 +/- 0.72</v>
      </c>
      <c r="M71" s="9" t="str">
        <f>IFERROR(__xludf.DUMMYFUNCTION("TEXT(VALUE(REGEXEXTRACT(E71,""^[+-]?[0-9]*\.?[0-9]+""))*100,""0.00"")&amp;"" +/- ""&amp;TEXT(VALUE(REGEXEXTRACT(E71,""[0-9]*\.?[0-9]+$""))*100,""0.00"")"),"74.92 +/- 2.06")</f>
        <v>74.92 +/- 2.06</v>
      </c>
      <c r="N71" s="9" t="str">
        <f>IFERROR(__xludf.DUMMYFUNCTION("TEXT(VALUE(REGEXEXTRACT(F71,""^[+-]?[0-9]*\.?[0-9]+""))*100,""0.00"")&amp;"" +/- ""&amp;TEXT(VALUE(REGEXEXTRACT(F71,""[0-9]*\.?[0-9]+$""))*100,""0.00"")"),"75.27 +/- 1.53")</f>
        <v>75.27 +/- 1.53</v>
      </c>
      <c r="O71" s="9" t="str">
        <f>IFERROR(__xludf.DUMMYFUNCTION("TEXT(VALUE(REGEXEXTRACT(G71,""^[+-]?[0-9]*\.?[0-9]+""))*100,""0.00"")&amp;"" +/- ""&amp;TEXT(VALUE(REGEXEXTRACT(G71,""[0-9]*\.?[0-9]+$""))*100,""0.00"")"),"76.43 +/- 0.95")</f>
        <v>76.43 +/- 0.95</v>
      </c>
      <c r="P71" s="9" t="str">
        <f>IFERROR(__xludf.DUMMYFUNCTION("TEXT(VALUE(REGEXEXTRACT(H71,""^[+-]?[0-9]*\.?[0-9]+""))*100,""0.00"")&amp;"" +/- ""&amp;TEXT(VALUE(REGEXEXTRACT(H71,""[0-9]*\.?[0-9]+$""))*100,""0.00"")"),"35.20 +/- 1.61")</f>
        <v>35.20 +/- 1.61</v>
      </c>
    </row>
    <row r="72">
      <c r="A72" s="6" t="s">
        <v>1258</v>
      </c>
      <c r="B72" s="7" t="s">
        <v>2289</v>
      </c>
      <c r="C72" s="7" t="s">
        <v>2290</v>
      </c>
      <c r="D72" s="7" t="s">
        <v>2291</v>
      </c>
      <c r="E72" s="7" t="s">
        <v>2292</v>
      </c>
      <c r="F72" s="7" t="s">
        <v>2293</v>
      </c>
      <c r="G72" s="7" t="s">
        <v>2294</v>
      </c>
      <c r="H72" s="7" t="s">
        <v>2295</v>
      </c>
      <c r="I72" s="8" t="str">
        <f t="shared" si="4"/>
        <v>ML→LC</v>
      </c>
      <c r="J72" s="9" t="str">
        <f>IFERROR(__xludf.DUMMYFUNCTION("TEXT(VALUE(REGEXEXTRACT(B72,""^[+-]?[0-9]*\.?[0-9]+""))*100,""0.00"")&amp;"" +/- ""&amp;TEXT(VALUE(REGEXEXTRACT(B72,""[0-9]*\.?[0-9]+$""))*100,""0.00"")"),"75.06 +/- 0.80")</f>
        <v>75.06 +/- 0.80</v>
      </c>
      <c r="K72" s="9" t="str">
        <f>IFERROR(__xludf.DUMMYFUNCTION("TEXT(VALUE(REGEXEXTRACT(C72,""^[+-]?[0-9]*\.?[0-9]+""))*100,""0.00"")&amp;"" +/- ""&amp;TEXT(VALUE(REGEXEXTRACT(C72,""[0-9]*\.?[0-9]+$""))*100,""0.00"")"),"76.72 +/- 1.02")</f>
        <v>76.72 +/- 1.02</v>
      </c>
      <c r="L72" s="10" t="str">
        <f>IFERROR(__xludf.DUMMYFUNCTION("TEXT(VALUE(REGEXEXTRACT(D72,""^[+-]?[0-9]*\.?[0-9]+""))*100,""0.00"")&amp;"" +/- ""&amp;TEXT(VALUE(REGEXEXTRACT(D72,""[0-9]*\.?[0-9]+$""))*100,""0.00"")"),"76.19 +/- 0.75")</f>
        <v>76.19 +/- 0.75</v>
      </c>
      <c r="M72" s="9" t="str">
        <f>IFERROR(__xludf.DUMMYFUNCTION("TEXT(VALUE(REGEXEXTRACT(E72,""^[+-]?[0-9]*\.?[0-9]+""))*100,""0.00"")&amp;"" +/- ""&amp;TEXT(VALUE(REGEXEXTRACT(E72,""[0-9]*\.?[0-9]+$""))*100,""0.00"")"),"74.05 +/- 1.56")</f>
        <v>74.05 +/- 1.56</v>
      </c>
      <c r="N72" s="9" t="str">
        <f>IFERROR(__xludf.DUMMYFUNCTION("TEXT(VALUE(REGEXEXTRACT(F72,""^[+-]?[0-9]*\.?[0-9]+""))*100,""0.00"")&amp;"" +/- ""&amp;TEXT(VALUE(REGEXEXTRACT(F72,""[0-9]*\.?[0-9]+$""))*100,""0.00"")"),"73.60 +/- 1.15")</f>
        <v>73.60 +/- 1.15</v>
      </c>
      <c r="O72" s="9" t="str">
        <f>IFERROR(__xludf.DUMMYFUNCTION("TEXT(VALUE(REGEXEXTRACT(G72,""^[+-]?[0-9]*\.?[0-9]+""))*100,""0.00"")&amp;"" +/- ""&amp;TEXT(VALUE(REGEXEXTRACT(G72,""[0-9]*\.?[0-9]+$""))*100,""0.00"")"),"73.46 +/- 1.26")</f>
        <v>73.46 +/- 1.26</v>
      </c>
      <c r="P72" s="9" t="str">
        <f>IFERROR(__xludf.DUMMYFUNCTION("TEXT(VALUE(REGEXEXTRACT(H72,""^[+-]?[0-9]*\.?[0-9]+""))*100,""0.00"")&amp;"" +/- ""&amp;TEXT(VALUE(REGEXEXTRACT(H72,""[0-9]*\.?[0-9]+$""))*100,""0.00"")"),"44.70 +/- 2.97")</f>
        <v>44.70 +/- 2.97</v>
      </c>
    </row>
    <row r="73">
      <c r="A73" s="6" t="s">
        <v>1273</v>
      </c>
      <c r="B73" s="7" t="s">
        <v>2303</v>
      </c>
      <c r="C73" s="7" t="s">
        <v>2304</v>
      </c>
      <c r="D73" s="7" t="s">
        <v>2305</v>
      </c>
      <c r="E73" s="7" t="s">
        <v>2306</v>
      </c>
      <c r="F73" s="7" t="s">
        <v>2307</v>
      </c>
      <c r="G73" s="7" t="s">
        <v>2308</v>
      </c>
      <c r="H73" s="7" t="s">
        <v>2309</v>
      </c>
      <c r="I73" s="8" t="str">
        <f t="shared" si="4"/>
        <v>ML→PDE</v>
      </c>
      <c r="J73" s="9" t="str">
        <f>IFERROR(__xludf.DUMMYFUNCTION("TEXT(VALUE(REGEXEXTRACT(B73,""^[+-]?[0-9]*\.?[0-9]+""))*100,""0.00"")&amp;"" +/- ""&amp;TEXT(VALUE(REGEXEXTRACT(B73,""[0-9]*\.?[0-9]+$""))*100,""0.00"")"),"71.96 +/- 0.46")</f>
        <v>71.96 +/- 0.46</v>
      </c>
      <c r="K73" s="9" t="str">
        <f>IFERROR(__xludf.DUMMYFUNCTION("TEXT(VALUE(REGEXEXTRACT(C73,""^[+-]?[0-9]*\.?[0-9]+""))*100,""0.00"")&amp;"" +/- ""&amp;TEXT(VALUE(REGEXEXTRACT(C73,""[0-9]*\.?[0-9]+$""))*100,""0.00"")"),"72.93 +/- 1.48")</f>
        <v>72.93 +/- 1.48</v>
      </c>
      <c r="L73" s="9" t="str">
        <f>IFERROR(__xludf.DUMMYFUNCTION("TEXT(VALUE(REGEXEXTRACT(D73,""^[+-]?[0-9]*\.?[0-9]+""))*100,""0.00"")&amp;"" +/- ""&amp;TEXT(VALUE(REGEXEXTRACT(D73,""[0-9]*\.?[0-9]+$""))*100,""0.00"")"),"72.22 +/- 0.71")</f>
        <v>72.22 +/- 0.71</v>
      </c>
      <c r="M73" s="9" t="str">
        <f>IFERROR(__xludf.DUMMYFUNCTION("TEXT(VALUE(REGEXEXTRACT(E73,""^[+-]?[0-9]*\.?[0-9]+""))*100,""0.00"")&amp;"" +/- ""&amp;TEXT(VALUE(REGEXEXTRACT(E73,""[0-9]*\.?[0-9]+$""))*100,""0.00"")"),"68.25 +/- 1.75")</f>
        <v>68.25 +/- 1.75</v>
      </c>
      <c r="N73" s="10" t="str">
        <f>IFERROR(__xludf.DUMMYFUNCTION("TEXT(VALUE(REGEXEXTRACT(F73,""^[+-]?[0-9]*\.?[0-9]+""))*100,""0.00"")&amp;"" +/- ""&amp;TEXT(VALUE(REGEXEXTRACT(F73,""[0-9]*\.?[0-9]+$""))*100,""0.00"")"),"72.75 +/- 1.02")</f>
        <v>72.75 +/- 1.02</v>
      </c>
      <c r="O73" s="9" t="str">
        <f>IFERROR(__xludf.DUMMYFUNCTION("TEXT(VALUE(REGEXEXTRACT(G73,""^[+-]?[0-9]*\.?[0-9]+""))*100,""0.00"")&amp;"" +/- ""&amp;TEXT(VALUE(REGEXEXTRACT(G73,""[0-9]*\.?[0-9]+$""))*100,""0.00"")"),"72.07 +/- 1.06")</f>
        <v>72.07 +/- 1.06</v>
      </c>
      <c r="P73" s="9" t="str">
        <f>IFERROR(__xludf.DUMMYFUNCTION("TEXT(VALUE(REGEXEXTRACT(H73,""^[+-]?[0-9]*\.?[0-9]+""))*100,""0.00"")&amp;"" +/- ""&amp;TEXT(VALUE(REGEXEXTRACT(H73,""[0-9]*\.?[0-9]+$""))*100,""0.00"")"),"41.91 +/- 0.64")</f>
        <v>41.91 +/- 0.64</v>
      </c>
    </row>
    <row r="74">
      <c r="A74" s="6" t="s">
        <v>1288</v>
      </c>
      <c r="B74" s="7" t="s">
        <v>2317</v>
      </c>
      <c r="C74" s="7" t="s">
        <v>2318</v>
      </c>
      <c r="D74" s="7" t="s">
        <v>2319</v>
      </c>
      <c r="E74" s="7" t="s">
        <v>2320</v>
      </c>
      <c r="F74" s="7" t="s">
        <v>2321</v>
      </c>
      <c r="G74" s="7" t="s">
        <v>2322</v>
      </c>
      <c r="H74" s="7" t="s">
        <v>2323</v>
      </c>
      <c r="I74" s="8" t="str">
        <f t="shared" si="4"/>
        <v>PDE→EQ</v>
      </c>
      <c r="J74" s="9" t="str">
        <f>IFERROR(__xludf.DUMMYFUNCTION("TEXT(VALUE(REGEXEXTRACT(B74,""^[+-]?[0-9]*\.?[0-9]+""))*100,""0.00"")&amp;"" +/- ""&amp;TEXT(VALUE(REGEXEXTRACT(B74,""[0-9]*\.?[0-9]+$""))*100,""0.00"")"),"70.77 +/- 2.49")</f>
        <v>70.77 +/- 2.49</v>
      </c>
      <c r="K74" s="9" t="str">
        <f>IFERROR(__xludf.DUMMYFUNCTION("TEXT(VALUE(REGEXEXTRACT(C74,""^[+-]?[0-9]*\.?[0-9]+""))*100,""0.00"")&amp;"" +/- ""&amp;TEXT(VALUE(REGEXEXTRACT(C74,""[0-9]*\.?[0-9]+$""))*100,""0.00"")"),"70.45 +/- 3.44")</f>
        <v>70.45 +/- 3.44</v>
      </c>
      <c r="L74" s="10" t="str">
        <f>IFERROR(__xludf.DUMMYFUNCTION("TEXT(VALUE(REGEXEXTRACT(D74,""^[+-]?[0-9]*\.?[0-9]+""))*100,""0.00"")&amp;"" +/- ""&amp;TEXT(VALUE(REGEXEXTRACT(D74,""[0-9]*\.?[0-9]+$""))*100,""0.00"")"),"79.39 +/- 1.17")</f>
        <v>79.39 +/- 1.17</v>
      </c>
      <c r="M74" s="9" t="str">
        <f>IFERROR(__xludf.DUMMYFUNCTION("TEXT(VALUE(REGEXEXTRACT(E74,""^[+-]?[0-9]*\.?[0-9]+""))*100,""0.00"")&amp;"" +/- ""&amp;TEXT(VALUE(REGEXEXTRACT(E74,""[0-9]*\.?[0-9]+$""))*100,""0.00"")"),"72.84 +/- 4.30")</f>
        <v>72.84 +/- 4.30</v>
      </c>
      <c r="N74" s="9" t="str">
        <f>IFERROR(__xludf.DUMMYFUNCTION("TEXT(VALUE(REGEXEXTRACT(F74,""^[+-]?[0-9]*\.?[0-9]+""))*100,""0.00"")&amp;"" +/- ""&amp;TEXT(VALUE(REGEXEXTRACT(F74,""[0-9]*\.?[0-9]+$""))*100,""0.00"")"),"63.31 +/- 6.09")</f>
        <v>63.31 +/- 6.09</v>
      </c>
      <c r="O74" s="9" t="str">
        <f>IFERROR(__xludf.DUMMYFUNCTION("TEXT(VALUE(REGEXEXTRACT(G74,""^[+-]?[0-9]*\.?[0-9]+""))*100,""0.00"")&amp;"" +/- ""&amp;TEXT(VALUE(REGEXEXTRACT(G74,""[0-9]*\.?[0-9]+$""))*100,""0.00"")"),"69.73 +/- 4.42")</f>
        <v>69.73 +/- 4.42</v>
      </c>
      <c r="P74" s="9" t="str">
        <f>IFERROR(__xludf.DUMMYFUNCTION("TEXT(VALUE(REGEXEXTRACT(H74,""^[+-]?[0-9]*\.?[0-9]+""))*100,""0.00"")&amp;"" +/- ""&amp;TEXT(VALUE(REGEXEXTRACT(H74,""[0-9]*\.?[0-9]+$""))*100,""0.00"")"),"38.14 +/- 5.43")</f>
        <v>38.14 +/- 5.43</v>
      </c>
    </row>
    <row r="75">
      <c r="A75" s="6" t="s">
        <v>1303</v>
      </c>
      <c r="B75" s="7" t="s">
        <v>2331</v>
      </c>
      <c r="C75" s="7" t="s">
        <v>2332</v>
      </c>
      <c r="D75" s="7" t="s">
        <v>2333</v>
      </c>
      <c r="E75" s="7" t="s">
        <v>2334</v>
      </c>
      <c r="F75" s="7" t="s">
        <v>2335</v>
      </c>
      <c r="G75" s="7" t="s">
        <v>2336</v>
      </c>
      <c r="H75" s="7" t="s">
        <v>2337</v>
      </c>
      <c r="I75" s="8" t="str">
        <f t="shared" si="4"/>
        <v>PDE→JDT</v>
      </c>
      <c r="J75" s="10" t="str">
        <f>IFERROR(__xludf.DUMMYFUNCTION("TEXT(VALUE(REGEXEXTRACT(B75,""^[+-]?[0-9]*\.?[0-9]+""))*100,""0.00"")&amp;"" +/- ""&amp;TEXT(VALUE(REGEXEXTRACT(B75,""[0-9]*\.?[0-9]+$""))*100,""0.00"")"),"80.35 +/- 0.48")</f>
        <v>80.35 +/- 0.48</v>
      </c>
      <c r="K75" s="9" t="str">
        <f>IFERROR(__xludf.DUMMYFUNCTION("TEXT(VALUE(REGEXEXTRACT(C75,""^[+-]?[0-9]*\.?[0-9]+""))*100,""0.00"")&amp;"" +/- ""&amp;TEXT(VALUE(REGEXEXTRACT(C75,""[0-9]*\.?[0-9]+$""))*100,""0.00"")"),"79.26 +/- 1.39")</f>
        <v>79.26 +/- 1.39</v>
      </c>
      <c r="L75" s="9" t="str">
        <f>IFERROR(__xludf.DUMMYFUNCTION("TEXT(VALUE(REGEXEXTRACT(D75,""^[+-]?[0-9]*\.?[0-9]+""))*100,""0.00"")&amp;"" +/- ""&amp;TEXT(VALUE(REGEXEXTRACT(D75,""[0-9]*\.?[0-9]+$""))*100,""0.00"")"),"78.40 +/- 0.62")</f>
        <v>78.40 +/- 0.62</v>
      </c>
      <c r="M75" s="9" t="str">
        <f>IFERROR(__xludf.DUMMYFUNCTION("TEXT(VALUE(REGEXEXTRACT(E75,""^[+-]?[0-9]*\.?[0-9]+""))*100,""0.00"")&amp;"" +/- ""&amp;TEXT(VALUE(REGEXEXTRACT(E75,""[0-9]*\.?[0-9]+$""))*100,""0.00"")"),"78.63 +/- 0.78")</f>
        <v>78.63 +/- 0.78</v>
      </c>
      <c r="N75" s="9" t="str">
        <f>IFERROR(__xludf.DUMMYFUNCTION("TEXT(VALUE(REGEXEXTRACT(F75,""^[+-]?[0-9]*\.?[0-9]+""))*100,""0.00"")&amp;"" +/- ""&amp;TEXT(VALUE(REGEXEXTRACT(F75,""[0-9]*\.?[0-9]+$""))*100,""0.00"")"),"78.15 +/- 1.31")</f>
        <v>78.15 +/- 1.31</v>
      </c>
      <c r="O75" s="9" t="str">
        <f>IFERROR(__xludf.DUMMYFUNCTION("TEXT(VALUE(REGEXEXTRACT(G75,""^[+-]?[0-9]*\.?[0-9]+""))*100,""0.00"")&amp;"" +/- ""&amp;TEXT(VALUE(REGEXEXTRACT(G75,""[0-9]*\.?[0-9]+$""))*100,""0.00"")"),"78.84 +/- 1.03")</f>
        <v>78.84 +/- 1.03</v>
      </c>
      <c r="P75" s="9" t="str">
        <f>IFERROR(__xludf.DUMMYFUNCTION("TEXT(VALUE(REGEXEXTRACT(H75,""^[+-]?[0-9]*\.?[0-9]+""))*100,""0.00"")&amp;"" +/- ""&amp;TEXT(VALUE(REGEXEXTRACT(H75,""[0-9]*\.?[0-9]+$""))*100,""0.00"")"),"59.35 +/- 3.05")</f>
        <v>59.35 +/- 3.05</v>
      </c>
    </row>
    <row r="76">
      <c r="A76" s="6" t="s">
        <v>1311</v>
      </c>
      <c r="B76" s="7" t="s">
        <v>2338</v>
      </c>
      <c r="C76" s="7" t="s">
        <v>2339</v>
      </c>
      <c r="D76" s="7" t="s">
        <v>2340</v>
      </c>
      <c r="E76" s="7" t="s">
        <v>2341</v>
      </c>
      <c r="F76" s="7" t="s">
        <v>2342</v>
      </c>
      <c r="G76" s="7" t="s">
        <v>2343</v>
      </c>
      <c r="H76" s="7" t="s">
        <v>2344</v>
      </c>
      <c r="I76" s="8" t="str">
        <f t="shared" si="4"/>
        <v>PDE→LC</v>
      </c>
      <c r="J76" s="9" t="str">
        <f>IFERROR(__xludf.DUMMYFUNCTION("TEXT(VALUE(REGEXEXTRACT(B76,""^[+-]?[0-9]*\.?[0-9]+""))*100,""0.00"")&amp;"" +/- ""&amp;TEXT(VALUE(REGEXEXTRACT(B76,""[0-9]*\.?[0-9]+$""))*100,""0.00"")"),"77.54 +/- 0.92")</f>
        <v>77.54 +/- 0.92</v>
      </c>
      <c r="K76" s="9" t="str">
        <f>IFERROR(__xludf.DUMMYFUNCTION("TEXT(VALUE(REGEXEXTRACT(C76,""^[+-]?[0-9]*\.?[0-9]+""))*100,""0.00"")&amp;"" +/- ""&amp;TEXT(VALUE(REGEXEXTRACT(C76,""[0-9]*\.?[0-9]+$""))*100,""0.00"")"),"75.75 +/- 1.23")</f>
        <v>75.75 +/- 1.23</v>
      </c>
      <c r="L76" s="10" t="str">
        <f>IFERROR(__xludf.DUMMYFUNCTION("TEXT(VALUE(REGEXEXTRACT(D76,""^[+-]?[0-9]*\.?[0-9]+""))*100,""0.00"")&amp;"" +/- ""&amp;TEXT(VALUE(REGEXEXTRACT(D76,""[0-9]*\.?[0-9]+$""))*100,""0.00"")"),"77.66 +/- 0.75")</f>
        <v>77.66 +/- 0.75</v>
      </c>
      <c r="M76" s="9" t="str">
        <f>IFERROR(__xludf.DUMMYFUNCTION("TEXT(VALUE(REGEXEXTRACT(E76,""^[+-]?[0-9]*\.?[0-9]+""))*100,""0.00"")&amp;"" +/- ""&amp;TEXT(VALUE(REGEXEXTRACT(E76,""[0-9]*\.?[0-9]+$""))*100,""0.00"")"),"74.59 +/- 1.31")</f>
        <v>74.59 +/- 1.31</v>
      </c>
      <c r="N76" s="9" t="str">
        <f>IFERROR(__xludf.DUMMYFUNCTION("TEXT(VALUE(REGEXEXTRACT(F76,""^[+-]?[0-9]*\.?[0-9]+""))*100,""0.00"")&amp;"" +/- ""&amp;TEXT(VALUE(REGEXEXTRACT(F76,""[0-9]*\.?[0-9]+$""))*100,""0.00"")"),"69.04 +/- 2.27")</f>
        <v>69.04 +/- 2.27</v>
      </c>
      <c r="O76" s="9" t="str">
        <f>IFERROR(__xludf.DUMMYFUNCTION("TEXT(VALUE(REGEXEXTRACT(G76,""^[+-]?[0-9]*\.?[0-9]+""))*100,""0.00"")&amp;"" +/- ""&amp;TEXT(VALUE(REGEXEXTRACT(G76,""[0-9]*\.?[0-9]+$""))*100,""0.00"")"),"70.81 +/- 1.75")</f>
        <v>70.81 +/- 1.75</v>
      </c>
      <c r="P76" s="9" t="str">
        <f>IFERROR(__xludf.DUMMYFUNCTION("TEXT(VALUE(REGEXEXTRACT(H76,""^[+-]?[0-9]*\.?[0-9]+""))*100,""0.00"")&amp;"" +/- ""&amp;TEXT(VALUE(REGEXEXTRACT(H76,""[0-9]*\.?[0-9]+$""))*100,""0.00"")"),"73.50 +/- 2.06")</f>
        <v>73.50 +/- 2.06</v>
      </c>
    </row>
    <row r="77">
      <c r="A77" s="6" t="s">
        <v>1319</v>
      </c>
      <c r="B77" s="7" t="s">
        <v>2345</v>
      </c>
      <c r="C77" s="7" t="s">
        <v>2346</v>
      </c>
      <c r="D77" s="7" t="s">
        <v>2347</v>
      </c>
      <c r="E77" s="7" t="s">
        <v>2348</v>
      </c>
      <c r="F77" s="7" t="s">
        <v>2349</v>
      </c>
      <c r="G77" s="7" t="s">
        <v>2350</v>
      </c>
      <c r="H77" s="7" t="s">
        <v>2351</v>
      </c>
      <c r="I77" s="8" t="str">
        <f t="shared" si="4"/>
        <v>PDE→ML</v>
      </c>
      <c r="J77" s="9" t="str">
        <f>IFERROR(__xludf.DUMMYFUNCTION("TEXT(VALUE(REGEXEXTRACT(B77,""^[+-]?[0-9]*\.?[0-9]+""))*100,""0.00"")&amp;"" +/- ""&amp;TEXT(VALUE(REGEXEXTRACT(B77,""[0-9]*\.?[0-9]+$""))*100,""0.00"")"),"68.51 +/- 1.49")</f>
        <v>68.51 +/- 1.49</v>
      </c>
      <c r="K77" s="10" t="str">
        <f>IFERROR(__xludf.DUMMYFUNCTION("TEXT(VALUE(REGEXEXTRACT(C77,""^[+-]?[0-9]*\.?[0-9]+""))*100,""0.00"")&amp;"" +/- ""&amp;TEXT(VALUE(REGEXEXTRACT(C77,""[0-9]*\.?[0-9]+$""))*100,""0.00"")"),"72.21 +/- 1.16")</f>
        <v>72.21 +/- 1.16</v>
      </c>
      <c r="L77" s="9" t="str">
        <f>IFERROR(__xludf.DUMMYFUNCTION("TEXT(VALUE(REGEXEXTRACT(D77,""^[+-]?[0-9]*\.?[0-9]+""))*100,""0.00"")&amp;"" +/- ""&amp;TEXT(VALUE(REGEXEXTRACT(D77,""[0-9]*\.?[0-9]+$""))*100,""0.00"")"),"68.40 +/- 0.91")</f>
        <v>68.40 +/- 0.91</v>
      </c>
      <c r="M77" s="9" t="str">
        <f>IFERROR(__xludf.DUMMYFUNCTION("TEXT(VALUE(REGEXEXTRACT(E77,""^[+-]?[0-9]*\.?[0-9]+""))*100,""0.00"")&amp;"" +/- ""&amp;TEXT(VALUE(REGEXEXTRACT(E77,""[0-9]*\.?[0-9]+$""))*100,""0.00"")"),"69.56 +/- 1.27")</f>
        <v>69.56 +/- 1.27</v>
      </c>
      <c r="N77" s="9" t="str">
        <f>IFERROR(__xludf.DUMMYFUNCTION("TEXT(VALUE(REGEXEXTRACT(F77,""^[+-]?[0-9]*\.?[0-9]+""))*100,""0.00"")&amp;"" +/- ""&amp;TEXT(VALUE(REGEXEXTRACT(F77,""[0-9]*\.?[0-9]+$""))*100,""0.00"")"),"64.57 +/- 1.83")</f>
        <v>64.57 +/- 1.83</v>
      </c>
      <c r="O77" s="9" t="str">
        <f>IFERROR(__xludf.DUMMYFUNCTION("TEXT(VALUE(REGEXEXTRACT(G77,""^[+-]?[0-9]*\.?[0-9]+""))*100,""0.00"")&amp;"" +/- ""&amp;TEXT(VALUE(REGEXEXTRACT(G77,""[0-9]*\.?[0-9]+$""))*100,""0.00"")"),"65.68 +/- 1.67")</f>
        <v>65.68 +/- 1.67</v>
      </c>
      <c r="P77" s="9" t="str">
        <f>IFERROR(__xludf.DUMMYFUNCTION("TEXT(VALUE(REGEXEXTRACT(H77,""^[+-]?[0-9]*\.?[0-9]+""))*100,""0.00"")&amp;"" +/- ""&amp;TEXT(VALUE(REGEXEXTRACT(H77,""[0-9]*\.?[0-9]+$""))*100,""0.00"")"),"65.28 +/- 2.92")</f>
        <v>65.28 +/- 2.92</v>
      </c>
    </row>
    <row r="78">
      <c r="A78" s="6" t="s">
        <v>371</v>
      </c>
      <c r="B78" s="14"/>
      <c r="C78" s="21" t="s">
        <v>395</v>
      </c>
      <c r="D78" s="21" t="s">
        <v>474</v>
      </c>
      <c r="E78" s="21" t="s">
        <v>388</v>
      </c>
      <c r="F78" s="21" t="s">
        <v>473</v>
      </c>
      <c r="G78" s="21" t="s">
        <v>388</v>
      </c>
      <c r="H78" s="21" t="s">
        <v>473</v>
      </c>
      <c r="I78" s="8" t="str">
        <f t="shared" si="4"/>
        <v>W/T/L</v>
      </c>
      <c r="J78" s="35" t="s">
        <v>2359</v>
      </c>
      <c r="K78" s="20" t="str">
        <f>IFERROR(__xludf.DUMMYFUNCTION("SUM(ARRAYFORMULA(IFERROR(
  (VALUE(REGEXEXTRACT($J$58:$J$77,""^[+-]?[0-9]*\.?[0-9]+""))&gt;
   VALUE(REGEXEXTRACT(K$58:K$77,""^[+-]?[0-9]*\.?[0-9]+"")))*1,0)))
&amp;""/""&amp;
SUM(ARRAYFORMULA(IFERROR(
  (VALUE(REGEXEXTRACT($J$58:$J$77,""^[+-]?[0-9]*\.?[0-9]+""))=
 "&amp;"  VALUE(REGEXEXTRACT(K$58:K$77,""^[+-]?[0-9]*\.?[0-9]+"")))*1,0)))
&amp;""/""&amp;
SUM(ARRAYFORMULA(IFERROR(
  (VALUE(REGEXEXTRACT($J$58:$J$77,""^[+-]?[0-9]*\.?[0-9]+""))&lt;
   VALUE(REGEXEXTRACT(K$58:K$77,""^[+-]?[0-9]*\.?[0-9]+"")))*1,0)))"),"9/0/11")</f>
        <v>9/0/11</v>
      </c>
      <c r="L78" s="20" t="str">
        <f>IFERROR(__xludf.DUMMYFUNCTION("SUM(ARRAYFORMULA(IFERROR(
  (VALUE(REGEXEXTRACT($J$58:$J$77,""^[+-]?[0-9]*\.?[0-9]+""))&gt;
   VALUE(REGEXEXTRACT(L$58:L$77,""^[+-]?[0-9]*\.?[0-9]+"")))*1,0)))
&amp;""/""&amp;
SUM(ARRAYFORMULA(IFERROR(
  (VALUE(REGEXEXTRACT($J$58:$J$77,""^[+-]?[0-9]*\.?[0-9]+""))=
 "&amp;"  VALUE(REGEXEXTRACT(L$58:L$77,""^[+-]?[0-9]*\.?[0-9]+"")))*1,0)))
&amp;""/""&amp;
SUM(ARRAYFORMULA(IFERROR(
  (VALUE(REGEXEXTRACT($J$58:$J$77,""^[+-]?[0-9]*\.?[0-9]+""))&lt;
   VALUE(REGEXEXTRACT(L$58:L$77,""^[+-]?[0-9]*\.?[0-9]+"")))*1,0)))"),"11/0/9")</f>
        <v>11/0/9</v>
      </c>
      <c r="M78" s="20" t="str">
        <f>IFERROR(__xludf.DUMMYFUNCTION("SUM(ARRAYFORMULA(IFERROR(
  (VALUE(REGEXEXTRACT($J$58:$J$77,""^[+-]?[0-9]*\.?[0-9]+""))&gt;
   VALUE(REGEXEXTRACT(M$58:M$77,""^[+-]?[0-9]*\.?[0-9]+"")))*1,0)))
&amp;""/""&amp;
SUM(ARRAYFORMULA(IFERROR(
  (VALUE(REGEXEXTRACT($J$58:$J$77,""^[+-]?[0-9]*\.?[0-9]+""))=
 "&amp;"  VALUE(REGEXEXTRACT(M$58:M$77,""^[+-]?[0-9]*\.?[0-9]+"")))*1,0)))
&amp;""/""&amp;
SUM(ARRAYFORMULA(IFERROR(
  (VALUE(REGEXEXTRACT($J$58:$J$77,""^[+-]?[0-9]*\.?[0-9]+""))&lt;
   VALUE(REGEXEXTRACT(M$58:M$77,""^[+-]?[0-9]*\.?[0-9]+"")))*1,0)))"),"16/0/4")</f>
        <v>16/0/4</v>
      </c>
      <c r="N78" s="20" t="str">
        <f>IFERROR(__xludf.DUMMYFUNCTION("SUM(ARRAYFORMULA(IFERROR(
  (VALUE(REGEXEXTRACT($J$58:$J$77,""^[+-]?[0-9]*\.?[0-9]+""))&gt;
   VALUE(REGEXEXTRACT(N$58:N$77,""^[+-]?[0-9]*\.?[0-9]+"")))*1,0)))
&amp;""/""&amp;
SUM(ARRAYFORMULA(IFERROR(
  (VALUE(REGEXEXTRACT($J$58:$J$77,""^[+-]?[0-9]*\.?[0-9]+""))=
 "&amp;"  VALUE(REGEXEXTRACT(N$58:N$77,""^[+-]?[0-9]*\.?[0-9]+"")))*1,0)))
&amp;""/""&amp;
SUM(ARRAYFORMULA(IFERROR(
  (VALUE(REGEXEXTRACT($J$58:$J$77,""^[+-]?[0-9]*\.?[0-9]+""))&lt;
   VALUE(REGEXEXTRACT(N$58:N$77,""^[+-]?[0-9]*\.?[0-9]+"")))*1,0)))"),"18/0/2")</f>
        <v>18/0/2</v>
      </c>
      <c r="O78" s="20" t="str">
        <f>IFERROR(__xludf.DUMMYFUNCTION("SUM(ARRAYFORMULA(IFERROR(
  (VALUE(REGEXEXTRACT($J$58:$J$77,""^[+-]?[0-9]*\.?[0-9]+""))&gt;
   VALUE(REGEXEXTRACT(O$58:O$77,""^[+-]?[0-9]*\.?[0-9]+"")))*1,0)))
&amp;""/""&amp;
SUM(ARRAYFORMULA(IFERROR(
  (VALUE(REGEXEXTRACT($J$58:$J$77,""^[+-]?[0-9]*\.?[0-9]+""))=
 "&amp;"  VALUE(REGEXEXTRACT(O$58:O$77,""^[+-]?[0-9]*\.?[0-9]+"")))*1,0)))
&amp;""/""&amp;
SUM(ARRAYFORMULA(IFERROR(
  (VALUE(REGEXEXTRACT($J$58:$J$77,""^[+-]?[0-9]*\.?[0-9]+""))&lt;
   VALUE(REGEXEXTRACT(O$58:O$77,""^[+-]?[0-9]*\.?[0-9]+"")))*1,0)))"),"16/0/4")</f>
        <v>16/0/4</v>
      </c>
      <c r="P78" s="20" t="str">
        <f>IFERROR(__xludf.DUMMYFUNCTION("SUM(ARRAYFORMULA(IFERROR(
  (VALUE(REGEXEXTRACT($J$58:$J$77,""^[+-]?[0-9]*\.?[0-9]+""))&gt;
   VALUE(REGEXEXTRACT(P$58:P$77,""^[+-]?[0-9]*\.?[0-9]+"")))*1,0)))
&amp;""/""&amp;
SUM(ARRAYFORMULA(IFERROR(
  (VALUE(REGEXEXTRACT($J$58:$J$77,""^[+-]?[0-9]*\.?[0-9]+""))=
 "&amp;"  VALUE(REGEXEXTRACT(P$58:P$77,""^[+-]?[0-9]*\.?[0-9]+"")))*1,0)))
&amp;""/""&amp;
SUM(ARRAYFORMULA(IFERROR(
  (VALUE(REGEXEXTRACT($J$58:$J$77,""^[+-]?[0-9]*\.?[0-9]+""))&lt;
   VALUE(REGEXEXTRACT(P$58:P$77,""^[+-]?[0-9]*\.?[0-9]+"")))*1,0)))"),"18/0/2")</f>
        <v>18/0/2</v>
      </c>
    </row>
    <row r="79">
      <c r="A79" s="6" t="s">
        <v>489</v>
      </c>
      <c r="B79" s="14" t="s">
        <v>2360</v>
      </c>
      <c r="C79" s="14" t="s">
        <v>2361</v>
      </c>
      <c r="D79" s="14" t="s">
        <v>2362</v>
      </c>
      <c r="E79" s="14" t="s">
        <v>2363</v>
      </c>
      <c r="F79" s="14" t="s">
        <v>2364</v>
      </c>
      <c r="G79" s="14" t="s">
        <v>2365</v>
      </c>
      <c r="H79" s="14" t="s">
        <v>2366</v>
      </c>
      <c r="I79" s="8" t="str">
        <f t="shared" si="4"/>
        <v>Average (%)</v>
      </c>
      <c r="J79" s="14">
        <f>IFERROR(__xludf.DUMMYFUNCTION("ROUND(AVERAGE(ARRAYFORMULA(IFERROR(VALUE(REGEXEXTRACT(J$58:J$77,""^[+-]?[0-9]*\.?[0-9]+"")),""""))),2)"),74.04)</f>
        <v>74.04</v>
      </c>
      <c r="K79" s="14">
        <f>IFERROR(__xludf.DUMMYFUNCTION("ROUND(AVERAGE(ARRAYFORMULA(IFERROR(VALUE(REGEXEXTRACT(K$58:K$77,""^[+-]?[0-9]*\.?[0-9]+"")),""""))),2)"),74.0)</f>
        <v>74</v>
      </c>
      <c r="L79" s="14">
        <f>IFERROR(__xludf.DUMMYFUNCTION("ROUND(AVERAGE(ARRAYFORMULA(IFERROR(VALUE(REGEXEXTRACT(L$58:L$77,""^[+-]?[0-9]*\.?[0-9]+"")),""""))),2)"),73.93)</f>
        <v>73.93</v>
      </c>
      <c r="M79" s="14">
        <f>IFERROR(__xludf.DUMMYFUNCTION("ROUND(AVERAGE(ARRAYFORMULA(IFERROR(VALUE(REGEXEXTRACT(M$58:M$77,""^[+-]?[0-9]*\.?[0-9]+"")),""""))),2)"),73.2)</f>
        <v>73.2</v>
      </c>
      <c r="N79" s="14">
        <f>IFERROR(__xludf.DUMMYFUNCTION("ROUND(AVERAGE(ARRAYFORMULA(IFERROR(VALUE(REGEXEXTRACT(N$58:N$77,""^[+-]?[0-9]*\.?[0-9]+"")),""""))),2)"),70.82)</f>
        <v>70.82</v>
      </c>
      <c r="O79" s="14">
        <f>IFERROR(__xludf.DUMMYFUNCTION("ROUND(AVERAGE(ARRAYFORMULA(IFERROR(VALUE(REGEXEXTRACT(O$58:O$77,""^[+-]?[0-9]*\.?[0-9]+"")),""""))),2)"),72.35)</f>
        <v>72.35</v>
      </c>
      <c r="P79" s="14">
        <f>IFERROR(__xludf.DUMMYFUNCTION("ROUND(AVERAGE(ARRAYFORMULA(IFERROR(VALUE(REGEXEXTRACT(P$58:P$77,""^[+-]?[0-9]*\.?[0-9]+"")),""""))),2)"),57.48)</f>
        <v>57.48</v>
      </c>
    </row>
    <row r="80">
      <c r="A80" s="6" t="s">
        <v>1334</v>
      </c>
      <c r="B80" s="24"/>
      <c r="C80" s="24" t="s">
        <v>2367</v>
      </c>
      <c r="D80" s="24" t="s">
        <v>2368</v>
      </c>
      <c r="E80" s="24" t="s">
        <v>2367</v>
      </c>
      <c r="F80" s="24" t="s">
        <v>1340</v>
      </c>
      <c r="G80" s="24" t="s">
        <v>2369</v>
      </c>
      <c r="H80" s="24" t="s">
        <v>1335</v>
      </c>
      <c r="I80" s="43" t="s">
        <v>2370</v>
      </c>
    </row>
    <row r="81">
      <c r="A81" s="6" t="s">
        <v>1348</v>
      </c>
      <c r="B81" s="30">
        <v>73.83</v>
      </c>
      <c r="C81" s="30">
        <v>72.13</v>
      </c>
      <c r="D81" s="30">
        <v>69.05</v>
      </c>
      <c r="E81" s="30">
        <v>73.24</v>
      </c>
      <c r="F81" s="30">
        <v>72.17</v>
      </c>
      <c r="G81" s="30">
        <v>72.87</v>
      </c>
      <c r="H81" s="30">
        <v>63.29</v>
      </c>
      <c r="I81" s="33" t="s">
        <v>371</v>
      </c>
      <c r="J81" s="18"/>
      <c r="K81" s="29" t="str">
        <f>IFERROR(__xludf.DUMMYFUNCTION("SUM(ARRAYFORMULA(IFERROR(REGEXMATCH($A$3:$A$77,""→"")*(VALUE(REGEXEXTRACT($J$3:$J$77,""^[+-]?[0-9]*\.?[0-9]+""))&gt;VALUE(REGEXEXTRACT(K$3:K$77,""^[+-]?[0-9]*\.?[0-9]+""))),0)))
&amp;""/""&amp;
SUM(ARRAYFORMULA(IFERROR(REGEXMATCH($A$3:$A$77,""→"")*(VALUE(REGEXEXTRAC"&amp;"T($J$3:$J$77,""^[+-]?[0-9]*\.?[0-9]+""))=VALUE(REGEXEXTRACT(K$3:K$77,""^[+-]?[0-9]*\.?[0-9]+""))),0)))
&amp;""/""&amp;
SUM(ARRAYFORMULA(IFERROR(REGEXMATCH($A$3:$A$77,""→"")*(VALUE(REGEXEXTRACT($J$3:$J$77,""^[+-]?[0-9]*\.?[0-9]+""))&lt;VALUE(REGEXEXTRACT(K$3:K$77,""^"&amp;"[+-]?[0-9]*\.?[0-9]+""))),0)))"),"36/2/28")</f>
        <v>36/2/28</v>
      </c>
      <c r="L81" s="29" t="str">
        <f>IFERROR(__xludf.DUMMYFUNCTION("SUM(ARRAYFORMULA(IFERROR(REGEXMATCH($A$3:$A$77,""→"")*(VALUE(REGEXEXTRACT($J$3:$J$77,""^[+-]?[0-9]*\.?[0-9]+""))&gt;VALUE(REGEXEXTRACT(L$3:L$77,""^[+-]?[0-9]*\.?[0-9]+""))),0)))
&amp;""/""&amp;
SUM(ARRAYFORMULA(IFERROR(REGEXMATCH($A$3:$A$77,""→"")*(VALUE(REGEXEXTRAC"&amp;"T($J$3:$J$77,""^[+-]?[0-9]*\.?[0-9]+""))=VALUE(REGEXEXTRACT(L$3:L$77,""^[+-]?[0-9]*\.?[0-9]+""))),0)))
&amp;""/""&amp;
SUM(ARRAYFORMULA(IFERROR(REGEXMATCH($A$3:$A$77,""→"")*(VALUE(REGEXEXTRACT($J$3:$J$77,""^[+-]?[0-9]*\.?[0-9]+""))&lt;VALUE(REGEXEXTRACT(L$3:L$77,""^"&amp;"[+-]?[0-9]*\.?[0-9]+""))),0)))"),"48/0/18")</f>
        <v>48/0/18</v>
      </c>
      <c r="M81" s="29" t="str">
        <f>IFERROR(__xludf.DUMMYFUNCTION("SUM(ARRAYFORMULA(IFERROR(REGEXMATCH($A$3:$A$77,""→"")*(VALUE(REGEXEXTRACT($J$3:$J$77,""^[+-]?[0-9]*\.?[0-9]+""))&gt;VALUE(REGEXEXTRACT(M$3:M$77,""^[+-]?[0-9]*\.?[0-9]+""))),0)))
&amp;""/""&amp;
SUM(ARRAYFORMULA(IFERROR(REGEXMATCH($A$3:$A$77,""→"")*(VALUE(REGEXEXTRAC"&amp;"T($J$3:$J$77,""^[+-]?[0-9]*\.?[0-9]+""))=VALUE(REGEXEXTRACT(M$3:M$77,""^[+-]?[0-9]*\.?[0-9]+""))),0)))
&amp;""/""&amp;
SUM(ARRAYFORMULA(IFERROR(REGEXMATCH($A$3:$A$77,""→"")*(VALUE(REGEXEXTRACT($J$3:$J$77,""^[+-]?[0-9]*\.?[0-9]+""))&lt;VALUE(REGEXEXTRACT(M$3:M$77,""^"&amp;"[+-]?[0-9]*\.?[0-9]+""))),0)))"),"36/2/28")</f>
        <v>36/2/28</v>
      </c>
      <c r="N81" s="29" t="str">
        <f>IFERROR(__xludf.DUMMYFUNCTION("SUM(ARRAYFORMULA(IFERROR(REGEXMATCH($A$3:$A$77,""→"")*(VALUE(REGEXEXTRACT($J$3:$J$77,""^[+-]?[0-9]*\.?[0-9]+""))&gt;VALUE(REGEXEXTRACT(N$3:N$77,""^[+-]?[0-9]*\.?[0-9]+""))),0)))
&amp;""/""&amp;
SUM(ARRAYFORMULA(IFERROR(REGEXMATCH($A$3:$A$77,""→"")*(VALUE(REGEXEXTRAC"&amp;"T($J$3:$J$77,""^[+-]?[0-9]*\.?[0-9]+""))=VALUE(REGEXEXTRACT(N$3:N$77,""^[+-]?[0-9]*\.?[0-9]+""))),0)))
&amp;""/""&amp;
SUM(ARRAYFORMULA(IFERROR(REGEXMATCH($A$3:$A$77,""→"")*(VALUE(REGEXEXTRACT($J$3:$J$77,""^[+-]?[0-9]*\.?[0-9]+""))&lt;VALUE(REGEXEXTRACT(N$3:N$77,""^"&amp;"[+-]?[0-9]*\.?[0-9]+""))),0)))"),"42/2/22")</f>
        <v>42/2/22</v>
      </c>
      <c r="O81" s="29" t="str">
        <f>IFERROR(__xludf.DUMMYFUNCTION("SUM(ARRAYFORMULA(IFERROR(REGEXMATCH($A$3:$A$77,""→"")*(VALUE(REGEXEXTRACT($J$3:$J$77,""^[+-]?[0-9]*\.?[0-9]+""))&gt;VALUE(REGEXEXTRACT(O$3:O$77,""^[+-]?[0-9]*\.?[0-9]+""))),0)))
&amp;""/""&amp;
SUM(ARRAYFORMULA(IFERROR(REGEXMATCH($A$3:$A$77,""→"")*(VALUE(REGEXEXTRAC"&amp;"T($J$3:$J$77,""^[+-]?[0-9]*\.?[0-9]+""))=VALUE(REGEXEXTRACT(O$3:O$77,""^[+-]?[0-9]*\.?[0-9]+""))),0)))
&amp;""/""&amp;
SUM(ARRAYFORMULA(IFERROR(REGEXMATCH($A$3:$A$77,""→"")*(VALUE(REGEXEXTRACT($J$3:$J$77,""^[+-]?[0-9]*\.?[0-9]+""))&lt;VALUE(REGEXEXTRACT(O$3:O$77,""^"&amp;"[+-]?[0-9]*\.?[0-9]+""))),0)))"),"38/2/26")</f>
        <v>38/2/26</v>
      </c>
      <c r="P81" s="29" t="str">
        <f>IFERROR(__xludf.DUMMYFUNCTION("SUM(ARRAYFORMULA(IFERROR(REGEXMATCH($A$3:$A$77,""→"")*(VALUE(REGEXEXTRACT($J$3:$J$77,""^[+-]?[0-9]*\.?[0-9]+""))&gt;VALUE(REGEXEXTRACT(P$3:P$77,""^[+-]?[0-9]*\.?[0-9]+""))),0)))
&amp;""/""&amp;
SUM(ARRAYFORMULA(IFERROR(REGEXMATCH($A$3:$A$77,""→"")*(VALUE(REGEXEXTRAC"&amp;"T($J$3:$J$77,""^[+-]?[0-9]*\.?[0-9]+""))=VALUE(REGEXEXTRACT(P$3:P$77,""^[+-]?[0-9]*\.?[0-9]+""))),0)))
&amp;""/""&amp;
SUM(ARRAYFORMULA(IFERROR(REGEXMATCH($A$3:$A$77,""→"")*(VALUE(REGEXEXTRACT($J$3:$J$77,""^[+-]?[0-9]*\.?[0-9]+""))&lt;VALUE(REGEXEXTRACT(P$3:P$77,""^"&amp;"[+-]?[0-9]*\.?[0-9]+""))),0)))"),"56/2/8")</f>
        <v>56/2/8</v>
      </c>
    </row>
    <row r="82">
      <c r="B82" s="18"/>
      <c r="C82" s="18"/>
      <c r="D82" s="18"/>
      <c r="E82" s="18"/>
      <c r="F82" s="18"/>
      <c r="G82" s="18"/>
      <c r="H82" s="18"/>
      <c r="I82" s="33" t="s">
        <v>489</v>
      </c>
      <c r="J82" s="18">
        <f>IFERROR(__xludf.DUMMYFUNCTION("ROUND(AVERAGE(ARRAYFORMULA(IFERROR(VALUE(REGEXEXTRACT(FILTER(J$3:J$77,REGEXMATCH($A$3:$A$77,""→"")),""^[+-]?[0-9]*\.?[0-9]+"")),""""))),2)"),73.83)</f>
        <v>73.83</v>
      </c>
      <c r="K82" s="18">
        <f>IFERROR(__xludf.DUMMYFUNCTION("ROUND(AVERAGE(ARRAYFORMULA(IFERROR(VALUE(REGEXEXTRACT(FILTER(K$3:K$77,REGEXMATCH($A$3:$A$77,""→"")),""^[+-]?[0-9]*\.?[0-9]+"")),""""))),2)"),72.13)</f>
        <v>72.13</v>
      </c>
      <c r="L82" s="18">
        <f>IFERROR(__xludf.DUMMYFUNCTION("ROUND(AVERAGE(ARRAYFORMULA(IFERROR(VALUE(REGEXEXTRACT(FILTER(L$3:L$77,REGEXMATCH($A$3:$A$77,""→"")),""^[+-]?[0-9]*\.?[0-9]+"")),""""))),2)"),69.05)</f>
        <v>69.05</v>
      </c>
      <c r="M82" s="18">
        <f>IFERROR(__xludf.DUMMYFUNCTION("ROUND(AVERAGE(ARRAYFORMULA(IFERROR(VALUE(REGEXEXTRACT(FILTER(M$3:M$77,REGEXMATCH($A$3:$A$77,""→"")),""^[+-]?[0-9]*\.?[0-9]+"")),""""))),2)"),73.24)</f>
        <v>73.24</v>
      </c>
      <c r="N82" s="18">
        <f>IFERROR(__xludf.DUMMYFUNCTION("ROUND(AVERAGE(ARRAYFORMULA(IFERROR(VALUE(REGEXEXTRACT(FILTER(N$3:N$77,REGEXMATCH($A$3:$A$77,""→"")),""^[+-]?[0-9]*\.?[0-9]+"")),""""))),2)"),72.17)</f>
        <v>72.17</v>
      </c>
      <c r="O82" s="18">
        <f>IFERROR(__xludf.DUMMYFUNCTION("ROUND(AVERAGE(ARRAYFORMULA(IFERROR(VALUE(REGEXEXTRACT(FILTER(O$3:O$77,REGEXMATCH($A$3:$A$77,""→"")),""^[+-]?[0-9]*\.?[0-9]+"")),""""))),2)"),72.87)</f>
        <v>72.87</v>
      </c>
      <c r="P82" s="18">
        <f>IFERROR(__xludf.DUMMYFUNCTION("ROUND(AVERAGE(ARRAYFORMULA(IFERROR(VALUE(REGEXEXTRACT(FILTER(P$3:P$77,REGEXMATCH($A$3:$A$77,""→"")),""^[+-]?[0-9]*\.?[0-9]+"")),""""))),2)"),63.29)</f>
        <v>63.29</v>
      </c>
    </row>
    <row r="83">
      <c r="A83" s="31"/>
      <c r="B83" s="44"/>
      <c r="C83" s="44"/>
      <c r="D83" s="31"/>
      <c r="E83" s="44"/>
      <c r="F83" s="31"/>
      <c r="G83" s="31"/>
      <c r="H83" s="44"/>
      <c r="I83" s="33"/>
      <c r="J83" s="30"/>
      <c r="K83" s="30"/>
      <c r="L83" s="30"/>
      <c r="M83" s="30"/>
      <c r="N83" s="30"/>
      <c r="O83" s="30"/>
      <c r="P83" s="30"/>
    </row>
    <row r="84">
      <c r="A84" s="10"/>
      <c r="B84" s="45"/>
      <c r="C84" s="45"/>
      <c r="D84" s="45"/>
      <c r="E84" s="45"/>
      <c r="F84" s="45"/>
      <c r="G84" s="45"/>
      <c r="H84" s="45"/>
      <c r="I84" s="33"/>
      <c r="J84" s="18"/>
      <c r="K84" s="18"/>
      <c r="L84" s="30"/>
      <c r="M84" s="18"/>
      <c r="N84" s="30"/>
      <c r="O84" s="18"/>
      <c r="P84" s="30"/>
    </row>
    <row r="85">
      <c r="A85" s="10"/>
      <c r="B85" s="45"/>
      <c r="C85" s="45"/>
      <c r="D85" s="45"/>
      <c r="E85" s="45"/>
      <c r="F85" s="45"/>
      <c r="G85" s="45"/>
      <c r="H85" s="45"/>
      <c r="I85" s="10"/>
    </row>
    <row r="86">
      <c r="A86" s="10"/>
      <c r="B86" s="45"/>
      <c r="C86" s="45"/>
      <c r="D86" s="45"/>
      <c r="E86" s="45"/>
      <c r="F86" s="45"/>
      <c r="G86" s="45"/>
      <c r="H86" s="45"/>
      <c r="I86" s="10"/>
    </row>
    <row r="87">
      <c r="A87" s="10"/>
      <c r="B87" s="45"/>
      <c r="C87" s="45"/>
      <c r="D87" s="45"/>
      <c r="E87" s="45"/>
      <c r="F87" s="45"/>
      <c r="G87" s="45"/>
      <c r="H87" s="45"/>
      <c r="I87" s="10"/>
    </row>
    <row r="88">
      <c r="A88" s="10"/>
      <c r="B88" s="45"/>
      <c r="C88" s="45"/>
      <c r="D88" s="45"/>
      <c r="E88" s="45"/>
      <c r="F88" s="45"/>
      <c r="G88" s="45"/>
      <c r="H88" s="45"/>
      <c r="I88" s="10"/>
    </row>
    <row r="89">
      <c r="A89" s="10"/>
      <c r="B89" s="45"/>
      <c r="C89" s="45"/>
      <c r="D89" s="45"/>
      <c r="E89" s="45"/>
      <c r="F89" s="45"/>
      <c r="G89" s="45"/>
      <c r="H89" s="45"/>
      <c r="I89" s="10"/>
      <c r="L89" s="18"/>
    </row>
    <row r="90">
      <c r="A90" s="10"/>
      <c r="B90" s="45"/>
      <c r="C90" s="45"/>
      <c r="D90" s="45"/>
      <c r="E90" s="45"/>
      <c r="F90" s="45"/>
      <c r="G90" s="45"/>
      <c r="H90" s="45"/>
      <c r="I90" s="10"/>
    </row>
    <row r="91">
      <c r="A91" s="10"/>
      <c r="B91" s="45"/>
      <c r="C91" s="45"/>
      <c r="D91" s="45"/>
      <c r="E91" s="45"/>
      <c r="F91" s="45"/>
      <c r="G91" s="45"/>
      <c r="H91" s="45"/>
      <c r="I91" s="10"/>
    </row>
    <row r="92">
      <c r="A92" s="10"/>
      <c r="B92" s="45"/>
      <c r="C92" s="45"/>
      <c r="D92" s="45"/>
      <c r="E92" s="45"/>
      <c r="F92" s="45"/>
      <c r="G92" s="45"/>
      <c r="H92" s="45"/>
      <c r="I92" s="10"/>
    </row>
    <row r="93">
      <c r="A93" s="10"/>
      <c r="B93" s="45"/>
      <c r="C93" s="45"/>
      <c r="D93" s="45"/>
      <c r="E93" s="45"/>
      <c r="F93" s="45"/>
      <c r="G93" s="45"/>
      <c r="H93" s="45"/>
      <c r="I93" s="10"/>
    </row>
    <row r="94">
      <c r="A94" s="10"/>
      <c r="B94" s="45"/>
      <c r="C94" s="45"/>
      <c r="D94" s="45"/>
      <c r="E94" s="45"/>
      <c r="F94" s="45"/>
      <c r="G94" s="45"/>
      <c r="H94" s="45"/>
      <c r="I94" s="10"/>
    </row>
    <row r="95">
      <c r="A95" s="10"/>
      <c r="B95" s="45"/>
      <c r="C95" s="45"/>
      <c r="D95" s="45"/>
      <c r="E95" s="45"/>
      <c r="F95" s="45"/>
      <c r="G95" s="45"/>
      <c r="H95" s="45"/>
      <c r="I95" s="10"/>
    </row>
    <row r="96">
      <c r="A96" s="10"/>
      <c r="B96" s="45"/>
      <c r="C96" s="45"/>
      <c r="D96" s="45"/>
      <c r="E96" s="45"/>
      <c r="F96" s="45"/>
      <c r="G96" s="45"/>
      <c r="H96" s="45"/>
      <c r="I96" s="10"/>
    </row>
    <row r="97">
      <c r="A97" s="10"/>
      <c r="B97" s="45"/>
      <c r="C97" s="45"/>
      <c r="D97" s="45"/>
      <c r="E97" s="45"/>
      <c r="F97" s="45"/>
      <c r="G97" s="45"/>
      <c r="H97" s="45"/>
      <c r="I97" s="10"/>
    </row>
    <row r="98">
      <c r="A98" s="10"/>
      <c r="B98" s="45"/>
      <c r="C98" s="45"/>
      <c r="D98" s="45"/>
      <c r="E98" s="45"/>
      <c r="F98" s="45"/>
      <c r="G98" s="45"/>
      <c r="H98" s="45"/>
      <c r="I98" s="10"/>
    </row>
    <row r="99">
      <c r="A99" s="10"/>
      <c r="B99" s="45"/>
      <c r="C99" s="45"/>
      <c r="D99" s="45"/>
      <c r="E99" s="45"/>
      <c r="F99" s="45"/>
      <c r="G99" s="45"/>
      <c r="H99" s="45"/>
      <c r="I99" s="10"/>
    </row>
    <row r="100">
      <c r="A100" s="10"/>
      <c r="B100" s="45"/>
      <c r="C100" s="45"/>
      <c r="D100" s="45"/>
      <c r="E100" s="45"/>
      <c r="F100" s="45"/>
      <c r="G100" s="45"/>
      <c r="H100" s="45"/>
      <c r="I100" s="10"/>
    </row>
    <row r="101">
      <c r="A101" s="10"/>
      <c r="B101" s="45"/>
      <c r="C101" s="45"/>
      <c r="D101" s="45"/>
      <c r="E101" s="45"/>
      <c r="F101" s="45"/>
      <c r="G101" s="45"/>
      <c r="H101" s="45"/>
      <c r="I101" s="10"/>
    </row>
    <row r="102">
      <c r="A102" s="10"/>
      <c r="B102" s="45"/>
      <c r="C102" s="45"/>
      <c r="D102" s="45"/>
      <c r="E102" s="45"/>
      <c r="F102" s="45"/>
      <c r="G102" s="45"/>
      <c r="H102" s="45"/>
      <c r="I102" s="10"/>
    </row>
    <row r="103">
      <c r="A103" s="10"/>
      <c r="B103" s="45"/>
      <c r="C103" s="45"/>
      <c r="D103" s="45"/>
      <c r="E103" s="45"/>
      <c r="F103" s="45"/>
      <c r="G103" s="45"/>
      <c r="H103" s="45"/>
      <c r="I103" s="10"/>
    </row>
    <row r="104">
      <c r="A104" s="10"/>
      <c r="B104" s="45"/>
      <c r="C104" s="45"/>
      <c r="D104" s="45"/>
      <c r="E104" s="45"/>
      <c r="F104" s="45"/>
      <c r="G104" s="45"/>
      <c r="H104" s="45"/>
      <c r="I104" s="10"/>
    </row>
    <row r="105">
      <c r="A105" s="10"/>
      <c r="B105" s="45"/>
      <c r="C105" s="45"/>
      <c r="D105" s="45"/>
      <c r="E105" s="45"/>
      <c r="F105" s="45"/>
      <c r="G105" s="45"/>
      <c r="H105" s="45"/>
      <c r="I105" s="10"/>
    </row>
    <row r="106">
      <c r="A106" s="10"/>
      <c r="B106" s="45"/>
      <c r="C106" s="45"/>
      <c r="D106" s="45"/>
      <c r="E106" s="45"/>
      <c r="F106" s="45"/>
      <c r="G106" s="45"/>
      <c r="H106" s="45"/>
      <c r="I106" s="10"/>
    </row>
    <row r="107">
      <c r="A107" s="10"/>
      <c r="B107" s="45"/>
      <c r="C107" s="45"/>
      <c r="D107" s="45"/>
      <c r="E107" s="45"/>
      <c r="F107" s="45"/>
      <c r="G107" s="45"/>
      <c r="H107" s="45"/>
      <c r="I107" s="10"/>
    </row>
    <row r="108">
      <c r="A108" s="10"/>
      <c r="B108" s="45"/>
      <c r="C108" s="45"/>
      <c r="D108" s="45"/>
      <c r="E108" s="45"/>
      <c r="F108" s="45"/>
      <c r="G108" s="45"/>
      <c r="H108" s="45"/>
      <c r="I108" s="10"/>
    </row>
    <row r="109">
      <c r="A109" s="10"/>
      <c r="B109" s="45"/>
      <c r="C109" s="45"/>
      <c r="D109" s="45"/>
      <c r="E109" s="45"/>
      <c r="F109" s="45"/>
      <c r="G109" s="45"/>
      <c r="H109" s="45"/>
      <c r="I109" s="10"/>
    </row>
    <row r="110">
      <c r="A110" s="10"/>
      <c r="B110" s="45"/>
      <c r="C110" s="45"/>
      <c r="D110" s="45"/>
      <c r="E110" s="45"/>
      <c r="F110" s="45"/>
      <c r="G110" s="45"/>
      <c r="H110" s="45"/>
      <c r="I110" s="10"/>
    </row>
    <row r="111">
      <c r="A111" s="10"/>
      <c r="B111" s="45"/>
      <c r="C111" s="45"/>
      <c r="D111" s="45"/>
      <c r="E111" s="45"/>
      <c r="F111" s="45"/>
      <c r="G111" s="45"/>
      <c r="H111" s="45"/>
      <c r="I111" s="10"/>
    </row>
    <row r="112">
      <c r="A112" s="10"/>
      <c r="B112" s="45"/>
      <c r="C112" s="45"/>
      <c r="D112" s="45"/>
      <c r="E112" s="45"/>
      <c r="F112" s="45"/>
      <c r="G112" s="45"/>
      <c r="H112" s="45"/>
      <c r="I112" s="10"/>
    </row>
    <row r="113">
      <c r="A113" s="10"/>
      <c r="B113" s="45"/>
      <c r="C113" s="45"/>
      <c r="D113" s="45"/>
      <c r="E113" s="45"/>
      <c r="F113" s="45"/>
      <c r="G113" s="45"/>
      <c r="H113" s="45"/>
      <c r="I113" s="10"/>
    </row>
    <row r="114">
      <c r="A114" s="10"/>
      <c r="B114" s="45"/>
      <c r="C114" s="45"/>
      <c r="D114" s="45"/>
      <c r="E114" s="45"/>
      <c r="F114" s="45"/>
      <c r="G114" s="45"/>
      <c r="H114" s="45"/>
      <c r="I114" s="10"/>
    </row>
    <row r="115">
      <c r="A115" s="10"/>
      <c r="B115" s="45"/>
      <c r="C115" s="45"/>
      <c r="D115" s="45"/>
      <c r="E115" s="45"/>
      <c r="F115" s="45"/>
      <c r="G115" s="45"/>
      <c r="H115" s="45"/>
      <c r="I115" s="10"/>
    </row>
    <row r="116">
      <c r="A116" s="10"/>
      <c r="B116" s="45"/>
      <c r="C116" s="45"/>
      <c r="D116" s="45"/>
      <c r="E116" s="45"/>
      <c r="F116" s="45"/>
      <c r="G116" s="45"/>
      <c r="H116" s="45"/>
      <c r="I116" s="10"/>
    </row>
    <row r="117">
      <c r="A117" s="10"/>
      <c r="B117" s="45"/>
      <c r="C117" s="45"/>
      <c r="D117" s="45"/>
      <c r="E117" s="45"/>
      <c r="F117" s="45"/>
      <c r="G117" s="45"/>
      <c r="H117" s="45"/>
      <c r="I117" s="10"/>
    </row>
    <row r="118">
      <c r="A118" s="10"/>
      <c r="B118" s="45"/>
      <c r="C118" s="45"/>
      <c r="D118" s="45"/>
      <c r="E118" s="45"/>
      <c r="F118" s="45"/>
      <c r="G118" s="45"/>
      <c r="H118" s="45"/>
      <c r="I118" s="10"/>
    </row>
    <row r="119">
      <c r="A119" s="10"/>
      <c r="B119" s="45"/>
      <c r="C119" s="45"/>
      <c r="D119" s="45"/>
      <c r="E119" s="45"/>
      <c r="F119" s="45"/>
      <c r="G119" s="45"/>
      <c r="H119" s="45"/>
      <c r="I119" s="10"/>
    </row>
    <row r="120">
      <c r="A120" s="10"/>
      <c r="B120" s="45"/>
      <c r="C120" s="45"/>
      <c r="D120" s="45"/>
      <c r="E120" s="45"/>
      <c r="F120" s="45"/>
      <c r="G120" s="45"/>
      <c r="H120" s="45"/>
      <c r="I120" s="10"/>
    </row>
    <row r="121">
      <c r="A121" s="10"/>
      <c r="B121" s="45"/>
      <c r="C121" s="45"/>
      <c r="D121" s="45"/>
      <c r="E121" s="45"/>
      <c r="F121" s="45"/>
      <c r="G121" s="45"/>
      <c r="H121" s="45"/>
      <c r="I121" s="10"/>
    </row>
    <row r="122">
      <c r="A122" s="10"/>
      <c r="B122" s="45"/>
      <c r="C122" s="45"/>
      <c r="D122" s="45"/>
      <c r="E122" s="45"/>
      <c r="F122" s="45"/>
      <c r="G122" s="45"/>
      <c r="H122" s="45"/>
      <c r="I122" s="10"/>
    </row>
    <row r="123">
      <c r="A123" s="10"/>
      <c r="B123" s="45"/>
      <c r="C123" s="45"/>
      <c r="D123" s="45"/>
      <c r="E123" s="45"/>
      <c r="F123" s="45"/>
      <c r="G123" s="45"/>
      <c r="H123" s="45"/>
      <c r="I123" s="10"/>
    </row>
    <row r="124">
      <c r="A124" s="10"/>
      <c r="B124" s="45"/>
      <c r="C124" s="45"/>
      <c r="D124" s="45"/>
      <c r="E124" s="45"/>
      <c r="F124" s="45"/>
      <c r="G124" s="45"/>
      <c r="H124" s="45"/>
      <c r="I124" s="10"/>
    </row>
    <row r="125">
      <c r="A125" s="10"/>
      <c r="B125" s="45"/>
      <c r="C125" s="45"/>
      <c r="D125" s="45"/>
      <c r="E125" s="45"/>
      <c r="F125" s="45"/>
      <c r="G125" s="45"/>
      <c r="H125" s="45"/>
      <c r="I125" s="10"/>
    </row>
    <row r="126">
      <c r="A126" s="10"/>
      <c r="B126" s="45"/>
      <c r="C126" s="45"/>
      <c r="D126" s="45"/>
      <c r="E126" s="45"/>
      <c r="F126" s="45"/>
      <c r="G126" s="45"/>
      <c r="H126" s="45"/>
      <c r="I126" s="10"/>
    </row>
    <row r="127">
      <c r="A127" s="10"/>
      <c r="B127" s="45"/>
      <c r="C127" s="45"/>
      <c r="D127" s="45"/>
      <c r="E127" s="45"/>
      <c r="F127" s="45"/>
      <c r="G127" s="45"/>
      <c r="H127" s="45"/>
      <c r="I127" s="10"/>
    </row>
    <row r="128">
      <c r="A128" s="10"/>
      <c r="B128" s="45"/>
      <c r="C128" s="45"/>
      <c r="D128" s="45"/>
      <c r="E128" s="45"/>
      <c r="F128" s="45"/>
      <c r="G128" s="45"/>
      <c r="H128" s="45"/>
      <c r="I128" s="10"/>
    </row>
    <row r="129">
      <c r="A129" s="10"/>
      <c r="B129" s="45"/>
      <c r="C129" s="45"/>
      <c r="D129" s="45"/>
      <c r="E129" s="45"/>
      <c r="F129" s="45"/>
      <c r="G129" s="45"/>
      <c r="H129" s="45"/>
      <c r="I129" s="10"/>
    </row>
    <row r="130">
      <c r="A130" s="10"/>
      <c r="B130" s="45"/>
      <c r="C130" s="45"/>
      <c r="D130" s="45"/>
      <c r="E130" s="45"/>
      <c r="F130" s="45"/>
      <c r="G130" s="45"/>
      <c r="H130" s="45"/>
      <c r="I130" s="10"/>
    </row>
    <row r="131">
      <c r="A131" s="10"/>
      <c r="B131" s="45"/>
      <c r="C131" s="45"/>
      <c r="D131" s="45"/>
      <c r="E131" s="45"/>
      <c r="F131" s="45"/>
      <c r="G131" s="45"/>
      <c r="H131" s="45"/>
      <c r="I131" s="10"/>
    </row>
    <row r="132">
      <c r="A132" s="10"/>
      <c r="B132" s="45"/>
      <c r="C132" s="45"/>
      <c r="D132" s="45"/>
      <c r="E132" s="45"/>
      <c r="F132" s="45"/>
      <c r="G132" s="45"/>
      <c r="H132" s="45"/>
      <c r="I132" s="10"/>
    </row>
    <row r="133">
      <c r="A133" s="10"/>
      <c r="B133" s="45"/>
      <c r="C133" s="45"/>
      <c r="D133" s="45"/>
      <c r="E133" s="45"/>
      <c r="F133" s="45"/>
      <c r="G133" s="45"/>
      <c r="H133" s="45"/>
      <c r="I133" s="10"/>
    </row>
    <row r="134">
      <c r="A134" s="10"/>
      <c r="B134" s="45"/>
      <c r="C134" s="45"/>
      <c r="D134" s="45"/>
      <c r="E134" s="45"/>
      <c r="F134" s="45"/>
      <c r="G134" s="45"/>
      <c r="H134" s="45"/>
      <c r="I134" s="10"/>
    </row>
    <row r="135">
      <c r="A135" s="10"/>
      <c r="B135" s="45"/>
      <c r="C135" s="45"/>
      <c r="D135" s="45"/>
      <c r="E135" s="45"/>
      <c r="F135" s="45"/>
      <c r="G135" s="45"/>
      <c r="H135" s="45"/>
      <c r="I135" s="10"/>
    </row>
    <row r="136">
      <c r="A136" s="10"/>
      <c r="B136" s="45"/>
      <c r="C136" s="45"/>
      <c r="D136" s="45"/>
      <c r="E136" s="45"/>
      <c r="F136" s="45"/>
      <c r="G136" s="45"/>
      <c r="H136" s="45"/>
      <c r="I136" s="10"/>
    </row>
    <row r="137">
      <c r="A137" s="10"/>
      <c r="B137" s="45"/>
      <c r="C137" s="45"/>
      <c r="D137" s="45"/>
      <c r="E137" s="45"/>
      <c r="F137" s="45"/>
      <c r="G137" s="45"/>
      <c r="H137" s="45"/>
      <c r="I137" s="10"/>
    </row>
    <row r="138">
      <c r="A138" s="10"/>
      <c r="B138" s="45"/>
      <c r="C138" s="45"/>
      <c r="D138" s="45"/>
      <c r="E138" s="45"/>
      <c r="F138" s="45"/>
      <c r="G138" s="45"/>
      <c r="H138" s="45"/>
      <c r="I138" s="10"/>
    </row>
    <row r="139">
      <c r="A139" s="10"/>
      <c r="B139" s="45"/>
      <c r="C139" s="45"/>
      <c r="D139" s="45"/>
      <c r="E139" s="45"/>
      <c r="F139" s="45"/>
      <c r="G139" s="45"/>
      <c r="H139" s="45"/>
      <c r="I139" s="10"/>
    </row>
    <row r="140">
      <c r="A140" s="10"/>
      <c r="B140" s="45"/>
      <c r="C140" s="45"/>
      <c r="D140" s="45"/>
      <c r="E140" s="45"/>
      <c r="F140" s="45"/>
      <c r="G140" s="45"/>
      <c r="H140" s="45"/>
      <c r="I140" s="10"/>
    </row>
    <row r="141">
      <c r="A141" s="10"/>
      <c r="B141" s="45"/>
      <c r="C141" s="45"/>
      <c r="D141" s="45"/>
      <c r="E141" s="45"/>
      <c r="F141" s="45"/>
      <c r="G141" s="45"/>
      <c r="H141" s="45"/>
      <c r="I141" s="10"/>
    </row>
    <row r="142">
      <c r="A142" s="10"/>
      <c r="B142" s="45"/>
      <c r="C142" s="45"/>
      <c r="D142" s="45"/>
      <c r="E142" s="45"/>
      <c r="F142" s="45"/>
      <c r="G142" s="45"/>
      <c r="H142" s="45"/>
      <c r="I142" s="10"/>
    </row>
    <row r="143">
      <c r="A143" s="10"/>
      <c r="B143" s="45"/>
      <c r="C143" s="45"/>
      <c r="D143" s="45"/>
      <c r="E143" s="45"/>
      <c r="F143" s="45"/>
      <c r="G143" s="45"/>
      <c r="H143" s="45"/>
      <c r="I143" s="10"/>
    </row>
    <row r="144">
      <c r="A144" s="10"/>
      <c r="B144" s="45"/>
      <c r="C144" s="45"/>
      <c r="D144" s="45"/>
      <c r="E144" s="45"/>
      <c r="F144" s="45"/>
      <c r="G144" s="45"/>
      <c r="H144" s="45"/>
      <c r="I144" s="10"/>
    </row>
    <row r="145">
      <c r="A145" s="10"/>
      <c r="B145" s="45"/>
      <c r="C145" s="45"/>
      <c r="D145" s="45"/>
      <c r="E145" s="45"/>
      <c r="F145" s="45"/>
      <c r="G145" s="45"/>
      <c r="H145" s="45"/>
      <c r="I145" s="10"/>
    </row>
    <row r="146">
      <c r="A146" s="10"/>
      <c r="B146" s="45"/>
      <c r="C146" s="45"/>
      <c r="D146" s="45"/>
      <c r="E146" s="45"/>
      <c r="F146" s="45"/>
      <c r="G146" s="45"/>
      <c r="H146" s="45"/>
      <c r="I146" s="10"/>
    </row>
    <row r="147">
      <c r="A147" s="10"/>
      <c r="B147" s="45"/>
      <c r="C147" s="45"/>
      <c r="D147" s="45"/>
      <c r="E147" s="45"/>
      <c r="F147" s="45"/>
      <c r="G147" s="45"/>
      <c r="H147" s="45"/>
      <c r="I147" s="10"/>
    </row>
    <row r="148">
      <c r="A148" s="10"/>
      <c r="B148" s="45"/>
      <c r="C148" s="45"/>
      <c r="D148" s="45"/>
      <c r="E148" s="45"/>
      <c r="F148" s="45"/>
      <c r="G148" s="45"/>
      <c r="H148" s="45"/>
      <c r="I148" s="10"/>
    </row>
    <row r="149">
      <c r="A149" s="10"/>
      <c r="B149" s="45"/>
      <c r="C149" s="45"/>
      <c r="D149" s="45"/>
      <c r="E149" s="45"/>
      <c r="F149" s="45"/>
      <c r="G149" s="45"/>
      <c r="H149" s="45"/>
      <c r="I149" s="10"/>
    </row>
    <row r="150">
      <c r="A150" s="10"/>
      <c r="B150" s="45"/>
      <c r="C150" s="45"/>
      <c r="D150" s="45"/>
      <c r="E150" s="45"/>
      <c r="F150" s="45"/>
      <c r="G150" s="45"/>
      <c r="H150" s="45"/>
      <c r="I150" s="10"/>
    </row>
    <row r="151">
      <c r="A151" s="10"/>
      <c r="B151" s="45"/>
      <c r="C151" s="45"/>
      <c r="D151" s="45"/>
      <c r="E151" s="45"/>
      <c r="F151" s="45"/>
      <c r="G151" s="45"/>
      <c r="H151" s="45"/>
      <c r="I151" s="10"/>
    </row>
    <row r="152">
      <c r="A152" s="10"/>
      <c r="B152" s="45"/>
      <c r="C152" s="45"/>
      <c r="D152" s="45"/>
      <c r="E152" s="45"/>
      <c r="F152" s="45"/>
      <c r="G152" s="45"/>
      <c r="H152" s="45"/>
      <c r="I152" s="10"/>
    </row>
    <row r="153">
      <c r="A153" s="10"/>
      <c r="B153" s="45"/>
      <c r="C153" s="45"/>
      <c r="D153" s="45"/>
      <c r="E153" s="45"/>
      <c r="F153" s="45"/>
      <c r="G153" s="45"/>
      <c r="H153" s="45"/>
      <c r="I153" s="10"/>
    </row>
    <row r="154">
      <c r="A154" s="10"/>
      <c r="B154" s="45"/>
      <c r="C154" s="45"/>
      <c r="D154" s="45"/>
      <c r="E154" s="45"/>
      <c r="F154" s="45"/>
      <c r="G154" s="45"/>
      <c r="H154" s="45"/>
      <c r="I154" s="10"/>
    </row>
    <row r="155">
      <c r="A155" s="10"/>
      <c r="B155" s="45"/>
      <c r="C155" s="45"/>
      <c r="D155" s="45"/>
      <c r="E155" s="45"/>
      <c r="F155" s="45"/>
      <c r="G155" s="45"/>
      <c r="H155" s="45"/>
      <c r="I155" s="10"/>
    </row>
    <row r="156">
      <c r="A156" s="10"/>
      <c r="B156" s="45"/>
      <c r="C156" s="45"/>
      <c r="D156" s="45"/>
      <c r="E156" s="45"/>
      <c r="F156" s="45"/>
      <c r="G156" s="45"/>
      <c r="H156" s="45"/>
      <c r="I156" s="10"/>
    </row>
    <row r="157">
      <c r="A157" s="10"/>
      <c r="B157" s="45"/>
      <c r="C157" s="45"/>
      <c r="D157" s="45"/>
      <c r="E157" s="45"/>
      <c r="F157" s="45"/>
      <c r="G157" s="45"/>
      <c r="H157" s="45"/>
      <c r="I157" s="10"/>
    </row>
    <row r="158">
      <c r="A158" s="10"/>
      <c r="B158" s="45"/>
      <c r="C158" s="45"/>
      <c r="D158" s="45"/>
      <c r="E158" s="45"/>
      <c r="F158" s="45"/>
      <c r="G158" s="45"/>
      <c r="H158" s="45"/>
      <c r="I158" s="10"/>
    </row>
    <row r="159">
      <c r="A159" s="10"/>
      <c r="B159" s="45"/>
      <c r="C159" s="45"/>
      <c r="D159" s="45"/>
      <c r="E159" s="45"/>
      <c r="F159" s="45"/>
      <c r="G159" s="45"/>
      <c r="H159" s="45"/>
      <c r="I159" s="10"/>
    </row>
    <row r="160">
      <c r="A160" s="10"/>
      <c r="B160" s="45"/>
      <c r="C160" s="45"/>
      <c r="D160" s="45"/>
      <c r="E160" s="45"/>
      <c r="F160" s="45"/>
      <c r="G160" s="45"/>
      <c r="H160" s="45"/>
      <c r="I160" s="10"/>
    </row>
    <row r="161">
      <c r="A161" s="10"/>
      <c r="B161" s="45"/>
      <c r="C161" s="45"/>
      <c r="D161" s="45"/>
      <c r="E161" s="45"/>
      <c r="F161" s="45"/>
      <c r="G161" s="45"/>
      <c r="H161" s="45"/>
      <c r="I161" s="10"/>
    </row>
    <row r="162">
      <c r="A162" s="10"/>
      <c r="B162" s="45"/>
      <c r="C162" s="45"/>
      <c r="D162" s="45"/>
      <c r="E162" s="45"/>
      <c r="F162" s="45"/>
      <c r="G162" s="45"/>
      <c r="H162" s="45"/>
      <c r="I162" s="10"/>
    </row>
    <row r="163">
      <c r="A163" s="10"/>
      <c r="B163" s="45"/>
      <c r="C163" s="45"/>
      <c r="D163" s="45"/>
      <c r="E163" s="45"/>
      <c r="F163" s="45"/>
      <c r="G163" s="45"/>
      <c r="H163" s="45"/>
      <c r="I163" s="10"/>
    </row>
    <row r="164">
      <c r="A164" s="10"/>
      <c r="B164" s="45"/>
      <c r="C164" s="45"/>
      <c r="D164" s="45"/>
      <c r="E164" s="45"/>
      <c r="F164" s="45"/>
      <c r="G164" s="45"/>
      <c r="H164" s="45"/>
      <c r="I164" s="10"/>
    </row>
    <row r="165">
      <c r="A165" s="10"/>
      <c r="B165" s="45"/>
      <c r="C165" s="45"/>
      <c r="D165" s="45"/>
      <c r="E165" s="45"/>
      <c r="F165" s="45"/>
      <c r="G165" s="45"/>
      <c r="H165" s="45"/>
      <c r="I165" s="10"/>
    </row>
    <row r="166">
      <c r="A166" s="10"/>
      <c r="B166" s="45"/>
      <c r="C166" s="45"/>
      <c r="D166" s="45"/>
      <c r="E166" s="45"/>
      <c r="F166" s="45"/>
      <c r="G166" s="45"/>
      <c r="H166" s="45"/>
      <c r="I166" s="10"/>
    </row>
    <row r="167">
      <c r="A167" s="10"/>
      <c r="B167" s="45"/>
      <c r="C167" s="45"/>
      <c r="D167" s="45"/>
      <c r="E167" s="45"/>
      <c r="F167" s="45"/>
      <c r="G167" s="45"/>
      <c r="H167" s="45"/>
      <c r="I167" s="10"/>
    </row>
    <row r="168">
      <c r="A168" s="10"/>
      <c r="B168" s="45"/>
      <c r="C168" s="45"/>
      <c r="D168" s="45"/>
      <c r="E168" s="45"/>
      <c r="F168" s="45"/>
      <c r="G168" s="45"/>
      <c r="H168" s="45"/>
      <c r="I168" s="10"/>
    </row>
    <row r="169">
      <c r="A169" s="10"/>
      <c r="B169" s="45"/>
      <c r="C169" s="45"/>
      <c r="D169" s="45"/>
      <c r="E169" s="45"/>
      <c r="F169" s="45"/>
      <c r="G169" s="45"/>
      <c r="H169" s="45"/>
      <c r="I169" s="10"/>
    </row>
    <row r="170">
      <c r="A170" s="10"/>
      <c r="B170" s="45"/>
      <c r="C170" s="45"/>
      <c r="D170" s="45"/>
      <c r="E170" s="45"/>
      <c r="F170" s="45"/>
      <c r="G170" s="45"/>
      <c r="H170" s="45"/>
      <c r="I170" s="10"/>
    </row>
    <row r="171">
      <c r="A171" s="10"/>
      <c r="B171" s="45"/>
      <c r="C171" s="45"/>
      <c r="D171" s="45"/>
      <c r="E171" s="45"/>
      <c r="F171" s="45"/>
      <c r="G171" s="45"/>
      <c r="H171" s="45"/>
      <c r="I171" s="10"/>
    </row>
    <row r="172">
      <c r="A172" s="10"/>
      <c r="B172" s="45"/>
      <c r="C172" s="45"/>
      <c r="D172" s="45"/>
      <c r="E172" s="45"/>
      <c r="F172" s="45"/>
      <c r="G172" s="45"/>
      <c r="H172" s="45"/>
      <c r="I172" s="10"/>
    </row>
    <row r="173">
      <c r="A173" s="10"/>
      <c r="B173" s="45"/>
      <c r="C173" s="45"/>
      <c r="D173" s="45"/>
      <c r="E173" s="45"/>
      <c r="F173" s="45"/>
      <c r="G173" s="45"/>
      <c r="H173" s="45"/>
      <c r="I173" s="10"/>
    </row>
    <row r="174">
      <c r="A174" s="10"/>
      <c r="B174" s="45"/>
      <c r="C174" s="45"/>
      <c r="D174" s="45"/>
      <c r="E174" s="45"/>
      <c r="F174" s="45"/>
      <c r="G174" s="45"/>
      <c r="H174" s="45"/>
      <c r="I174" s="10"/>
    </row>
    <row r="175">
      <c r="A175" s="10"/>
      <c r="B175" s="45"/>
      <c r="C175" s="45"/>
      <c r="D175" s="45"/>
      <c r="E175" s="45"/>
      <c r="F175" s="45"/>
      <c r="G175" s="45"/>
      <c r="H175" s="45"/>
      <c r="I175" s="10"/>
    </row>
    <row r="176">
      <c r="A176" s="10"/>
      <c r="B176" s="45"/>
      <c r="C176" s="45"/>
      <c r="D176" s="45"/>
      <c r="E176" s="45"/>
      <c r="F176" s="45"/>
      <c r="G176" s="45"/>
      <c r="H176" s="45"/>
      <c r="I176" s="10"/>
    </row>
    <row r="177">
      <c r="A177" s="10"/>
      <c r="B177" s="45"/>
      <c r="C177" s="45"/>
      <c r="D177" s="45"/>
      <c r="E177" s="45"/>
      <c r="F177" s="45"/>
      <c r="G177" s="45"/>
      <c r="H177" s="45"/>
      <c r="I177" s="10"/>
    </row>
    <row r="178">
      <c r="A178" s="10"/>
      <c r="B178" s="45"/>
      <c r="C178" s="45"/>
      <c r="D178" s="45"/>
      <c r="E178" s="45"/>
      <c r="F178" s="45"/>
      <c r="G178" s="45"/>
      <c r="H178" s="45"/>
      <c r="I178" s="10"/>
    </row>
    <row r="179">
      <c r="A179" s="10"/>
      <c r="B179" s="45"/>
      <c r="C179" s="45"/>
      <c r="D179" s="45"/>
      <c r="E179" s="45"/>
      <c r="F179" s="45"/>
      <c r="G179" s="45"/>
      <c r="H179" s="45"/>
      <c r="I179" s="10"/>
    </row>
    <row r="180">
      <c r="A180" s="10"/>
      <c r="B180" s="45"/>
      <c r="C180" s="45"/>
      <c r="D180" s="45"/>
      <c r="E180" s="45"/>
      <c r="F180" s="45"/>
      <c r="G180" s="45"/>
      <c r="H180" s="45"/>
      <c r="I180" s="10"/>
    </row>
    <row r="181">
      <c r="A181" s="10"/>
      <c r="B181" s="45"/>
      <c r="C181" s="45"/>
      <c r="D181" s="45"/>
      <c r="E181" s="45"/>
      <c r="F181" s="45"/>
      <c r="G181" s="45"/>
      <c r="H181" s="45"/>
      <c r="I181" s="10"/>
    </row>
    <row r="182">
      <c r="A182" s="10"/>
      <c r="B182" s="45"/>
      <c r="C182" s="45"/>
      <c r="D182" s="45"/>
      <c r="E182" s="45"/>
      <c r="F182" s="45"/>
      <c r="G182" s="45"/>
      <c r="H182" s="45"/>
      <c r="I182" s="10"/>
    </row>
    <row r="183">
      <c r="A183" s="10"/>
      <c r="B183" s="45"/>
      <c r="C183" s="45"/>
      <c r="D183" s="45"/>
      <c r="E183" s="45"/>
      <c r="F183" s="45"/>
      <c r="G183" s="45"/>
      <c r="H183" s="45"/>
      <c r="I183" s="10"/>
    </row>
    <row r="184">
      <c r="A184" s="10"/>
      <c r="B184" s="45"/>
      <c r="C184" s="45"/>
      <c r="D184" s="45"/>
      <c r="E184" s="45"/>
      <c r="F184" s="45"/>
      <c r="G184" s="45"/>
      <c r="H184" s="45"/>
      <c r="I184" s="10"/>
    </row>
    <row r="185">
      <c r="A185" s="10"/>
      <c r="B185" s="45"/>
      <c r="C185" s="45"/>
      <c r="D185" s="45"/>
      <c r="E185" s="45"/>
      <c r="F185" s="45"/>
      <c r="G185" s="45"/>
      <c r="H185" s="45"/>
      <c r="I185" s="10"/>
    </row>
    <row r="186">
      <c r="A186" s="10"/>
      <c r="B186" s="45"/>
      <c r="C186" s="45"/>
      <c r="D186" s="45"/>
      <c r="E186" s="45"/>
      <c r="F186" s="45"/>
      <c r="G186" s="45"/>
      <c r="H186" s="45"/>
      <c r="I186" s="10"/>
    </row>
    <row r="187">
      <c r="A187" s="10"/>
      <c r="B187" s="45"/>
      <c r="C187" s="45"/>
      <c r="D187" s="45"/>
      <c r="E187" s="45"/>
      <c r="F187" s="45"/>
      <c r="G187" s="45"/>
      <c r="H187" s="45"/>
      <c r="I187" s="10"/>
    </row>
    <row r="188">
      <c r="A188" s="10"/>
      <c r="B188" s="45"/>
      <c r="C188" s="45"/>
      <c r="D188" s="45"/>
      <c r="E188" s="45"/>
      <c r="F188" s="45"/>
      <c r="G188" s="45"/>
      <c r="H188" s="45"/>
      <c r="I188" s="10"/>
    </row>
    <row r="189">
      <c r="A189" s="10"/>
      <c r="B189" s="45"/>
      <c r="C189" s="45"/>
      <c r="D189" s="45"/>
      <c r="E189" s="45"/>
      <c r="F189" s="45"/>
      <c r="G189" s="45"/>
      <c r="H189" s="45"/>
      <c r="I189" s="10"/>
    </row>
    <row r="190">
      <c r="A190" s="10"/>
      <c r="B190" s="45"/>
      <c r="C190" s="45"/>
      <c r="D190" s="45"/>
      <c r="E190" s="45"/>
      <c r="F190" s="45"/>
      <c r="G190" s="45"/>
      <c r="H190" s="45"/>
      <c r="I190" s="10"/>
    </row>
    <row r="191">
      <c r="A191" s="10"/>
      <c r="B191" s="45"/>
      <c r="C191" s="45"/>
      <c r="D191" s="45"/>
      <c r="E191" s="45"/>
      <c r="F191" s="45"/>
      <c r="G191" s="45"/>
      <c r="H191" s="45"/>
      <c r="I191" s="10"/>
    </row>
    <row r="192">
      <c r="A192" s="10"/>
      <c r="B192" s="45"/>
      <c r="C192" s="45"/>
      <c r="D192" s="45"/>
      <c r="E192" s="45"/>
      <c r="F192" s="45"/>
      <c r="G192" s="45"/>
      <c r="H192" s="45"/>
      <c r="I192" s="10"/>
    </row>
    <row r="193">
      <c r="A193" s="10"/>
      <c r="B193" s="45"/>
      <c r="C193" s="45"/>
      <c r="D193" s="45"/>
      <c r="E193" s="45"/>
      <c r="F193" s="45"/>
      <c r="G193" s="45"/>
      <c r="H193" s="45"/>
      <c r="I193" s="10"/>
    </row>
    <row r="194">
      <c r="A194" s="10"/>
      <c r="B194" s="45"/>
      <c r="C194" s="45"/>
      <c r="D194" s="45"/>
      <c r="E194" s="45"/>
      <c r="F194" s="45"/>
      <c r="G194" s="45"/>
      <c r="H194" s="45"/>
      <c r="I194" s="10"/>
    </row>
    <row r="195">
      <c r="A195" s="10"/>
      <c r="B195" s="45"/>
      <c r="C195" s="45"/>
      <c r="D195" s="45"/>
      <c r="E195" s="45"/>
      <c r="F195" s="45"/>
      <c r="G195" s="45"/>
      <c r="H195" s="45"/>
      <c r="I195" s="10"/>
    </row>
    <row r="196">
      <c r="A196" s="10"/>
      <c r="B196" s="45"/>
      <c r="C196" s="45"/>
      <c r="D196" s="45"/>
      <c r="E196" s="45"/>
      <c r="F196" s="45"/>
      <c r="G196" s="45"/>
      <c r="H196" s="45"/>
      <c r="I196" s="10"/>
    </row>
    <row r="197">
      <c r="A197" s="10"/>
      <c r="B197" s="45"/>
      <c r="C197" s="45"/>
      <c r="D197" s="45"/>
      <c r="E197" s="45"/>
      <c r="F197" s="45"/>
      <c r="G197" s="45"/>
      <c r="H197" s="45"/>
      <c r="I197" s="10"/>
    </row>
    <row r="198">
      <c r="A198" s="10"/>
      <c r="B198" s="45"/>
      <c r="C198" s="45"/>
      <c r="D198" s="45"/>
      <c r="E198" s="45"/>
      <c r="F198" s="45"/>
      <c r="G198" s="45"/>
      <c r="H198" s="45"/>
      <c r="I198" s="10"/>
    </row>
    <row r="199">
      <c r="A199" s="10"/>
      <c r="B199" s="45"/>
      <c r="C199" s="45"/>
      <c r="D199" s="45"/>
      <c r="E199" s="45"/>
      <c r="F199" s="45"/>
      <c r="G199" s="45"/>
      <c r="H199" s="45"/>
      <c r="I199" s="10"/>
    </row>
    <row r="200">
      <c r="A200" s="10"/>
      <c r="B200" s="45"/>
      <c r="C200" s="45"/>
      <c r="D200" s="45"/>
      <c r="E200" s="45"/>
      <c r="F200" s="45"/>
      <c r="G200" s="45"/>
      <c r="H200" s="45"/>
      <c r="I200" s="10"/>
    </row>
    <row r="201">
      <c r="A201" s="10"/>
      <c r="B201" s="45"/>
      <c r="C201" s="45"/>
      <c r="D201" s="45"/>
      <c r="E201" s="45"/>
      <c r="F201" s="45"/>
      <c r="G201" s="45"/>
      <c r="H201" s="45"/>
      <c r="I201" s="10"/>
    </row>
    <row r="202">
      <c r="A202" s="10"/>
      <c r="B202" s="45"/>
      <c r="C202" s="45"/>
      <c r="D202" s="45"/>
      <c r="E202" s="45"/>
      <c r="F202" s="45"/>
      <c r="G202" s="45"/>
      <c r="H202" s="45"/>
      <c r="I202" s="10"/>
    </row>
    <row r="203">
      <c r="A203" s="10"/>
      <c r="B203" s="45"/>
      <c r="C203" s="45"/>
      <c r="D203" s="45"/>
      <c r="E203" s="45"/>
      <c r="F203" s="45"/>
      <c r="G203" s="45"/>
      <c r="H203" s="45"/>
      <c r="I203" s="10"/>
    </row>
    <row r="204">
      <c r="A204" s="10"/>
      <c r="B204" s="45"/>
      <c r="C204" s="45"/>
      <c r="D204" s="45"/>
      <c r="E204" s="45"/>
      <c r="F204" s="45"/>
      <c r="G204" s="45"/>
      <c r="H204" s="45"/>
      <c r="I204" s="10"/>
    </row>
    <row r="205">
      <c r="A205" s="10"/>
      <c r="B205" s="45"/>
      <c r="C205" s="45"/>
      <c r="D205" s="45"/>
      <c r="E205" s="45"/>
      <c r="F205" s="45"/>
      <c r="G205" s="45"/>
      <c r="H205" s="45"/>
      <c r="I205" s="10"/>
    </row>
    <row r="206">
      <c r="A206" s="10"/>
      <c r="B206" s="45"/>
      <c r="C206" s="45"/>
      <c r="D206" s="45"/>
      <c r="E206" s="45"/>
      <c r="F206" s="45"/>
      <c r="G206" s="45"/>
      <c r="H206" s="45"/>
      <c r="I206" s="10"/>
    </row>
    <row r="207">
      <c r="A207" s="10"/>
      <c r="B207" s="45"/>
      <c r="C207" s="45"/>
      <c r="D207" s="45"/>
      <c r="E207" s="45"/>
      <c r="F207" s="45"/>
      <c r="G207" s="45"/>
      <c r="H207" s="45"/>
      <c r="I207" s="10"/>
    </row>
    <row r="208">
      <c r="A208" s="10"/>
      <c r="B208" s="45"/>
      <c r="C208" s="45"/>
      <c r="D208" s="45"/>
      <c r="E208" s="45"/>
      <c r="F208" s="45"/>
      <c r="G208" s="45"/>
      <c r="H208" s="45"/>
      <c r="I208" s="10"/>
    </row>
    <row r="209">
      <c r="A209" s="10"/>
      <c r="B209" s="45"/>
      <c r="C209" s="45"/>
      <c r="D209" s="45"/>
      <c r="E209" s="45"/>
      <c r="F209" s="45"/>
      <c r="G209" s="45"/>
      <c r="H209" s="45"/>
      <c r="I209" s="10"/>
    </row>
    <row r="210">
      <c r="A210" s="10"/>
      <c r="B210" s="45"/>
      <c r="C210" s="45"/>
      <c r="D210" s="45"/>
      <c r="E210" s="45"/>
      <c r="F210" s="45"/>
      <c r="G210" s="45"/>
      <c r="H210" s="45"/>
      <c r="I210" s="10"/>
    </row>
    <row r="211">
      <c r="A211" s="10"/>
      <c r="B211" s="45"/>
      <c r="C211" s="45"/>
      <c r="D211" s="45"/>
      <c r="E211" s="45"/>
      <c r="F211" s="45"/>
      <c r="G211" s="45"/>
      <c r="H211" s="45"/>
      <c r="I211" s="10"/>
    </row>
    <row r="212">
      <c r="A212" s="10"/>
      <c r="B212" s="45"/>
      <c r="C212" s="45"/>
      <c r="D212" s="45"/>
      <c r="E212" s="45"/>
      <c r="F212" s="45"/>
      <c r="G212" s="45"/>
      <c r="H212" s="45"/>
      <c r="I212" s="10"/>
    </row>
    <row r="213">
      <c r="A213" s="10"/>
      <c r="B213" s="45"/>
      <c r="C213" s="45"/>
      <c r="D213" s="45"/>
      <c r="E213" s="45"/>
      <c r="F213" s="45"/>
      <c r="G213" s="45"/>
      <c r="H213" s="45"/>
      <c r="I213" s="10"/>
    </row>
    <row r="214">
      <c r="A214" s="10"/>
      <c r="B214" s="45"/>
      <c r="C214" s="45"/>
      <c r="D214" s="45"/>
      <c r="E214" s="45"/>
      <c r="F214" s="45"/>
      <c r="G214" s="45"/>
      <c r="H214" s="45"/>
      <c r="I214" s="10"/>
    </row>
    <row r="215">
      <c r="A215" s="10"/>
      <c r="B215" s="45"/>
      <c r="C215" s="45"/>
      <c r="D215" s="45"/>
      <c r="E215" s="45"/>
      <c r="F215" s="45"/>
      <c r="G215" s="45"/>
      <c r="H215" s="45"/>
      <c r="I215" s="10"/>
    </row>
    <row r="216">
      <c r="A216" s="10"/>
      <c r="B216" s="45"/>
      <c r="C216" s="45"/>
      <c r="D216" s="45"/>
      <c r="E216" s="45"/>
      <c r="F216" s="45"/>
      <c r="G216" s="45"/>
      <c r="H216" s="45"/>
      <c r="I216" s="10"/>
    </row>
    <row r="217">
      <c r="A217" s="10"/>
      <c r="B217" s="45"/>
      <c r="C217" s="45"/>
      <c r="D217" s="45"/>
      <c r="E217" s="45"/>
      <c r="F217" s="45"/>
      <c r="G217" s="45"/>
      <c r="H217" s="45"/>
      <c r="I217" s="10"/>
    </row>
    <row r="218">
      <c r="A218" s="10"/>
      <c r="B218" s="45"/>
      <c r="C218" s="45"/>
      <c r="D218" s="45"/>
      <c r="E218" s="45"/>
      <c r="F218" s="45"/>
      <c r="G218" s="45"/>
      <c r="H218" s="45"/>
      <c r="I218" s="10"/>
    </row>
    <row r="219">
      <c r="A219" s="10"/>
      <c r="B219" s="45"/>
      <c r="C219" s="45"/>
      <c r="D219" s="45"/>
      <c r="E219" s="45"/>
      <c r="F219" s="45"/>
      <c r="G219" s="45"/>
      <c r="H219" s="45"/>
      <c r="I219" s="10"/>
    </row>
    <row r="220">
      <c r="A220" s="10"/>
      <c r="B220" s="45"/>
      <c r="C220" s="45"/>
      <c r="D220" s="45"/>
      <c r="E220" s="45"/>
      <c r="F220" s="45"/>
      <c r="G220" s="45"/>
      <c r="H220" s="45"/>
      <c r="I220" s="10"/>
    </row>
    <row r="221">
      <c r="A221" s="10"/>
      <c r="B221" s="45"/>
      <c r="C221" s="45"/>
      <c r="D221" s="45"/>
      <c r="E221" s="45"/>
      <c r="F221" s="45"/>
      <c r="G221" s="45"/>
      <c r="H221" s="45"/>
      <c r="I221" s="10"/>
    </row>
    <row r="222">
      <c r="A222" s="10"/>
      <c r="B222" s="45"/>
      <c r="C222" s="45"/>
      <c r="D222" s="45"/>
      <c r="E222" s="45"/>
      <c r="F222" s="45"/>
      <c r="G222" s="45"/>
      <c r="H222" s="45"/>
      <c r="I222" s="10"/>
    </row>
    <row r="223">
      <c r="A223" s="10"/>
      <c r="B223" s="45"/>
      <c r="C223" s="45"/>
      <c r="D223" s="45"/>
      <c r="E223" s="45"/>
      <c r="F223" s="45"/>
      <c r="G223" s="45"/>
      <c r="H223" s="45"/>
      <c r="I223" s="10"/>
    </row>
    <row r="224">
      <c r="A224" s="10"/>
      <c r="B224" s="45"/>
      <c r="C224" s="45"/>
      <c r="D224" s="45"/>
      <c r="E224" s="45"/>
      <c r="F224" s="45"/>
      <c r="G224" s="45"/>
      <c r="H224" s="45"/>
      <c r="I224" s="10"/>
    </row>
    <row r="225">
      <c r="A225" s="10"/>
      <c r="B225" s="45"/>
      <c r="C225" s="45"/>
      <c r="D225" s="45"/>
      <c r="E225" s="45"/>
      <c r="F225" s="45"/>
      <c r="G225" s="45"/>
      <c r="H225" s="45"/>
      <c r="I225" s="10"/>
    </row>
    <row r="226">
      <c r="A226" s="10"/>
      <c r="B226" s="45"/>
      <c r="C226" s="45"/>
      <c r="D226" s="45"/>
      <c r="E226" s="45"/>
      <c r="F226" s="45"/>
      <c r="G226" s="45"/>
      <c r="H226" s="45"/>
      <c r="I226" s="10"/>
    </row>
    <row r="227">
      <c r="A227" s="10"/>
      <c r="B227" s="45"/>
      <c r="C227" s="45"/>
      <c r="D227" s="45"/>
      <c r="E227" s="45"/>
      <c r="F227" s="45"/>
      <c r="G227" s="45"/>
      <c r="H227" s="45"/>
      <c r="I227" s="10"/>
    </row>
    <row r="228">
      <c r="A228" s="10"/>
      <c r="B228" s="45"/>
      <c r="C228" s="45"/>
      <c r="D228" s="45"/>
      <c r="E228" s="45"/>
      <c r="F228" s="45"/>
      <c r="G228" s="45"/>
      <c r="H228" s="45"/>
      <c r="I228" s="10"/>
    </row>
    <row r="229">
      <c r="A229" s="10"/>
      <c r="B229" s="45"/>
      <c r="C229" s="45"/>
      <c r="D229" s="45"/>
      <c r="E229" s="45"/>
      <c r="F229" s="45"/>
      <c r="G229" s="45"/>
      <c r="H229" s="45"/>
      <c r="I229" s="10"/>
    </row>
    <row r="230">
      <c r="A230" s="10"/>
      <c r="B230" s="45"/>
      <c r="C230" s="45"/>
      <c r="D230" s="45"/>
      <c r="E230" s="45"/>
      <c r="F230" s="45"/>
      <c r="G230" s="45"/>
      <c r="H230" s="45"/>
      <c r="I230" s="10"/>
    </row>
    <row r="231">
      <c r="A231" s="10"/>
      <c r="B231" s="45"/>
      <c r="C231" s="45"/>
      <c r="D231" s="45"/>
      <c r="E231" s="45"/>
      <c r="F231" s="45"/>
      <c r="G231" s="45"/>
      <c r="H231" s="45"/>
      <c r="I231" s="10"/>
    </row>
    <row r="232">
      <c r="A232" s="10"/>
      <c r="B232" s="45"/>
      <c r="C232" s="45"/>
      <c r="D232" s="45"/>
      <c r="E232" s="45"/>
      <c r="F232" s="45"/>
      <c r="G232" s="45"/>
      <c r="H232" s="45"/>
      <c r="I232" s="10"/>
    </row>
    <row r="233">
      <c r="A233" s="10"/>
      <c r="B233" s="45"/>
      <c r="C233" s="45"/>
      <c r="D233" s="45"/>
      <c r="E233" s="45"/>
      <c r="F233" s="45"/>
      <c r="G233" s="45"/>
      <c r="H233" s="45"/>
      <c r="I233" s="10"/>
    </row>
    <row r="234">
      <c r="A234" s="10"/>
      <c r="B234" s="45"/>
      <c r="C234" s="45"/>
      <c r="D234" s="45"/>
      <c r="E234" s="45"/>
      <c r="F234" s="45"/>
      <c r="G234" s="45"/>
      <c r="H234" s="45"/>
      <c r="I234" s="10"/>
    </row>
    <row r="235">
      <c r="A235" s="10"/>
      <c r="B235" s="45"/>
      <c r="C235" s="45"/>
      <c r="D235" s="45"/>
      <c r="E235" s="45"/>
      <c r="F235" s="45"/>
      <c r="G235" s="45"/>
      <c r="H235" s="45"/>
      <c r="I235" s="10"/>
    </row>
    <row r="236">
      <c r="A236" s="10"/>
      <c r="B236" s="45"/>
      <c r="C236" s="45"/>
      <c r="D236" s="45"/>
      <c r="E236" s="45"/>
      <c r="F236" s="45"/>
      <c r="G236" s="45"/>
      <c r="H236" s="45"/>
      <c r="I236" s="10"/>
    </row>
    <row r="237">
      <c r="A237" s="10"/>
      <c r="B237" s="45"/>
      <c r="C237" s="45"/>
      <c r="D237" s="45"/>
      <c r="E237" s="45"/>
      <c r="F237" s="45"/>
      <c r="G237" s="45"/>
      <c r="H237" s="45"/>
      <c r="I237" s="10"/>
    </row>
    <row r="238">
      <c r="A238" s="10"/>
      <c r="B238" s="45"/>
      <c r="C238" s="45"/>
      <c r="D238" s="45"/>
      <c r="E238" s="45"/>
      <c r="F238" s="45"/>
      <c r="G238" s="45"/>
      <c r="H238" s="45"/>
      <c r="I238" s="10"/>
    </row>
    <row r="239">
      <c r="A239" s="10"/>
      <c r="B239" s="45"/>
      <c r="C239" s="45"/>
      <c r="D239" s="45"/>
      <c r="E239" s="45"/>
      <c r="F239" s="45"/>
      <c r="G239" s="45"/>
      <c r="H239" s="45"/>
      <c r="I239" s="10"/>
    </row>
    <row r="240">
      <c r="A240" s="10"/>
      <c r="B240" s="45"/>
      <c r="C240" s="45"/>
      <c r="D240" s="45"/>
      <c r="E240" s="45"/>
      <c r="F240" s="45"/>
      <c r="G240" s="45"/>
      <c r="H240" s="45"/>
      <c r="I240" s="10"/>
    </row>
    <row r="241">
      <c r="A241" s="10"/>
      <c r="B241" s="45"/>
      <c r="C241" s="45"/>
      <c r="D241" s="45"/>
      <c r="E241" s="45"/>
      <c r="F241" s="45"/>
      <c r="G241" s="45"/>
      <c r="H241" s="45"/>
      <c r="I241" s="10"/>
    </row>
    <row r="242">
      <c r="A242" s="10"/>
      <c r="B242" s="45"/>
      <c r="C242" s="45"/>
      <c r="D242" s="45"/>
      <c r="E242" s="45"/>
      <c r="F242" s="45"/>
      <c r="G242" s="45"/>
      <c r="H242" s="45"/>
      <c r="I242" s="10"/>
    </row>
    <row r="243">
      <c r="A243" s="10"/>
      <c r="B243" s="45"/>
      <c r="C243" s="45"/>
      <c r="D243" s="45"/>
      <c r="E243" s="45"/>
      <c r="F243" s="45"/>
      <c r="G243" s="45"/>
      <c r="H243" s="45"/>
      <c r="I243" s="10"/>
    </row>
    <row r="244">
      <c r="A244" s="10"/>
      <c r="B244" s="45"/>
      <c r="C244" s="45"/>
      <c r="D244" s="45"/>
      <c r="E244" s="45"/>
      <c r="F244" s="45"/>
      <c r="G244" s="45"/>
      <c r="H244" s="45"/>
      <c r="I244" s="10"/>
    </row>
    <row r="245">
      <c r="A245" s="10"/>
      <c r="B245" s="45"/>
      <c r="C245" s="45"/>
      <c r="D245" s="45"/>
      <c r="E245" s="45"/>
      <c r="F245" s="45"/>
      <c r="G245" s="45"/>
      <c r="H245" s="45"/>
      <c r="I245" s="10"/>
    </row>
    <row r="246">
      <c r="A246" s="10"/>
      <c r="B246" s="45"/>
      <c r="C246" s="45"/>
      <c r="D246" s="45"/>
      <c r="E246" s="45"/>
      <c r="F246" s="45"/>
      <c r="G246" s="45"/>
      <c r="H246" s="45"/>
      <c r="I246" s="10"/>
    </row>
    <row r="247">
      <c r="A247" s="10"/>
      <c r="B247" s="45"/>
      <c r="C247" s="45"/>
      <c r="D247" s="45"/>
      <c r="E247" s="45"/>
      <c r="F247" s="45"/>
      <c r="G247" s="45"/>
      <c r="H247" s="45"/>
      <c r="I247" s="10"/>
    </row>
    <row r="248">
      <c r="A248" s="10"/>
      <c r="B248" s="45"/>
      <c r="C248" s="45"/>
      <c r="D248" s="45"/>
      <c r="E248" s="45"/>
      <c r="F248" s="45"/>
      <c r="G248" s="45"/>
      <c r="H248" s="45"/>
      <c r="I248" s="10"/>
    </row>
    <row r="249">
      <c r="A249" s="10"/>
      <c r="B249" s="45"/>
      <c r="C249" s="45"/>
      <c r="D249" s="45"/>
      <c r="E249" s="45"/>
      <c r="F249" s="45"/>
      <c r="G249" s="45"/>
      <c r="H249" s="45"/>
      <c r="I249" s="10"/>
    </row>
    <row r="250">
      <c r="A250" s="10"/>
      <c r="B250" s="45"/>
      <c r="C250" s="45"/>
      <c r="D250" s="45"/>
      <c r="E250" s="45"/>
      <c r="F250" s="45"/>
      <c r="G250" s="45"/>
      <c r="H250" s="45"/>
      <c r="I250" s="10"/>
    </row>
    <row r="251">
      <c r="A251" s="10"/>
      <c r="B251" s="45"/>
      <c r="C251" s="45"/>
      <c r="D251" s="45"/>
      <c r="E251" s="45"/>
      <c r="F251" s="45"/>
      <c r="G251" s="45"/>
      <c r="H251" s="45"/>
      <c r="I251" s="10"/>
    </row>
    <row r="252">
      <c r="A252" s="10"/>
      <c r="B252" s="45"/>
      <c r="C252" s="45"/>
      <c r="D252" s="45"/>
      <c r="E252" s="45"/>
      <c r="F252" s="45"/>
      <c r="G252" s="45"/>
      <c r="H252" s="45"/>
      <c r="I252" s="10"/>
    </row>
    <row r="253">
      <c r="A253" s="10"/>
      <c r="B253" s="45"/>
      <c r="C253" s="45"/>
      <c r="D253" s="45"/>
      <c r="E253" s="45"/>
      <c r="F253" s="45"/>
      <c r="G253" s="45"/>
      <c r="H253" s="45"/>
      <c r="I253" s="10"/>
    </row>
    <row r="254">
      <c r="A254" s="10"/>
      <c r="B254" s="45"/>
      <c r="C254" s="45"/>
      <c r="D254" s="45"/>
      <c r="E254" s="45"/>
      <c r="F254" s="45"/>
      <c r="G254" s="45"/>
      <c r="H254" s="45"/>
      <c r="I254" s="10"/>
    </row>
    <row r="255">
      <c r="A255" s="10"/>
      <c r="B255" s="45"/>
      <c r="C255" s="45"/>
      <c r="D255" s="45"/>
      <c r="E255" s="45"/>
      <c r="F255" s="45"/>
      <c r="G255" s="45"/>
      <c r="H255" s="45"/>
      <c r="I255" s="10"/>
    </row>
    <row r="256">
      <c r="A256" s="10"/>
      <c r="B256" s="45"/>
      <c r="C256" s="45"/>
      <c r="D256" s="45"/>
      <c r="E256" s="45"/>
      <c r="F256" s="45"/>
      <c r="G256" s="45"/>
      <c r="H256" s="45"/>
      <c r="I256" s="10"/>
    </row>
    <row r="257">
      <c r="A257" s="10"/>
      <c r="B257" s="45"/>
      <c r="C257" s="45"/>
      <c r="D257" s="45"/>
      <c r="E257" s="45"/>
      <c r="F257" s="45"/>
      <c r="G257" s="45"/>
      <c r="H257" s="45"/>
      <c r="I257" s="10"/>
    </row>
    <row r="258">
      <c r="A258" s="10"/>
      <c r="B258" s="45"/>
      <c r="C258" s="45"/>
      <c r="D258" s="45"/>
      <c r="E258" s="45"/>
      <c r="F258" s="45"/>
      <c r="G258" s="45"/>
      <c r="H258" s="45"/>
      <c r="I258" s="10"/>
    </row>
    <row r="259">
      <c r="A259" s="10"/>
      <c r="B259" s="45"/>
      <c r="C259" s="45"/>
      <c r="D259" s="45"/>
      <c r="E259" s="45"/>
      <c r="F259" s="45"/>
      <c r="G259" s="45"/>
      <c r="H259" s="45"/>
      <c r="I259" s="10"/>
    </row>
    <row r="260">
      <c r="A260" s="10"/>
      <c r="B260" s="45"/>
      <c r="C260" s="45"/>
      <c r="D260" s="45"/>
      <c r="E260" s="45"/>
      <c r="F260" s="45"/>
      <c r="G260" s="45"/>
      <c r="H260" s="45"/>
      <c r="I260" s="10"/>
    </row>
    <row r="261">
      <c r="A261" s="10"/>
      <c r="B261" s="45"/>
      <c r="C261" s="45"/>
      <c r="D261" s="45"/>
      <c r="E261" s="45"/>
      <c r="F261" s="45"/>
      <c r="G261" s="45"/>
      <c r="H261" s="45"/>
      <c r="I261" s="10"/>
    </row>
    <row r="262">
      <c r="A262" s="10"/>
      <c r="B262" s="45"/>
      <c r="C262" s="45"/>
      <c r="D262" s="45"/>
      <c r="E262" s="45"/>
      <c r="F262" s="45"/>
      <c r="G262" s="45"/>
      <c r="H262" s="45"/>
      <c r="I262" s="10"/>
    </row>
    <row r="263">
      <c r="A263" s="10"/>
      <c r="B263" s="45"/>
      <c r="C263" s="45"/>
      <c r="D263" s="45"/>
      <c r="E263" s="45"/>
      <c r="F263" s="45"/>
      <c r="G263" s="45"/>
      <c r="H263" s="45"/>
      <c r="I263" s="10"/>
    </row>
    <row r="264">
      <c r="A264" s="10"/>
      <c r="B264" s="45"/>
      <c r="C264" s="45"/>
      <c r="D264" s="45"/>
      <c r="E264" s="45"/>
      <c r="F264" s="45"/>
      <c r="G264" s="45"/>
      <c r="H264" s="45"/>
      <c r="I264" s="10"/>
    </row>
    <row r="265">
      <c r="A265" s="10"/>
      <c r="B265" s="45"/>
      <c r="C265" s="45"/>
      <c r="D265" s="45"/>
      <c r="E265" s="45"/>
      <c r="F265" s="45"/>
      <c r="G265" s="45"/>
      <c r="H265" s="45"/>
      <c r="I265" s="10"/>
    </row>
    <row r="266">
      <c r="A266" s="10"/>
      <c r="B266" s="45"/>
      <c r="C266" s="45"/>
      <c r="D266" s="45"/>
      <c r="E266" s="45"/>
      <c r="F266" s="45"/>
      <c r="G266" s="45"/>
      <c r="H266" s="45"/>
      <c r="I266" s="10"/>
    </row>
    <row r="267">
      <c r="A267" s="10"/>
      <c r="B267" s="45"/>
      <c r="C267" s="45"/>
      <c r="D267" s="45"/>
      <c r="E267" s="45"/>
      <c r="F267" s="45"/>
      <c r="G267" s="45"/>
      <c r="H267" s="45"/>
      <c r="I267" s="10"/>
    </row>
    <row r="268">
      <c r="A268" s="10"/>
      <c r="B268" s="45"/>
      <c r="C268" s="45"/>
      <c r="D268" s="45"/>
      <c r="E268" s="45"/>
      <c r="F268" s="45"/>
      <c r="G268" s="45"/>
      <c r="H268" s="45"/>
      <c r="I268" s="10"/>
    </row>
    <row r="269">
      <c r="A269" s="10"/>
      <c r="B269" s="45"/>
      <c r="C269" s="45"/>
      <c r="D269" s="45"/>
      <c r="E269" s="45"/>
      <c r="F269" s="45"/>
      <c r="G269" s="45"/>
      <c r="H269" s="45"/>
      <c r="I269" s="10"/>
    </row>
    <row r="270">
      <c r="A270" s="10"/>
      <c r="B270" s="45"/>
      <c r="C270" s="45"/>
      <c r="D270" s="45"/>
      <c r="E270" s="45"/>
      <c r="F270" s="45"/>
      <c r="G270" s="45"/>
      <c r="H270" s="45"/>
      <c r="I270" s="10"/>
    </row>
    <row r="271">
      <c r="A271" s="10"/>
      <c r="B271" s="45"/>
      <c r="C271" s="45"/>
      <c r="D271" s="45"/>
      <c r="E271" s="45"/>
      <c r="F271" s="45"/>
      <c r="G271" s="45"/>
      <c r="H271" s="45"/>
      <c r="I271" s="10"/>
    </row>
    <row r="272">
      <c r="A272" s="10"/>
      <c r="B272" s="45"/>
      <c r="C272" s="45"/>
      <c r="D272" s="45"/>
      <c r="E272" s="45"/>
      <c r="F272" s="45"/>
      <c r="G272" s="45"/>
      <c r="H272" s="45"/>
      <c r="I272" s="10"/>
    </row>
    <row r="273">
      <c r="A273" s="10"/>
      <c r="B273" s="45"/>
      <c r="C273" s="45"/>
      <c r="D273" s="45"/>
      <c r="E273" s="45"/>
      <c r="F273" s="45"/>
      <c r="G273" s="45"/>
      <c r="H273" s="45"/>
      <c r="I273" s="10"/>
    </row>
    <row r="274">
      <c r="A274" s="10"/>
      <c r="B274" s="45"/>
      <c r="C274" s="45"/>
      <c r="D274" s="45"/>
      <c r="E274" s="45"/>
      <c r="F274" s="45"/>
      <c r="G274" s="45"/>
      <c r="H274" s="45"/>
      <c r="I274" s="10"/>
    </row>
    <row r="275">
      <c r="A275" s="10"/>
      <c r="B275" s="45"/>
      <c r="C275" s="45"/>
      <c r="D275" s="45"/>
      <c r="E275" s="45"/>
      <c r="F275" s="45"/>
      <c r="G275" s="45"/>
      <c r="H275" s="45"/>
      <c r="I275" s="10"/>
    </row>
    <row r="276">
      <c r="A276" s="10"/>
      <c r="B276" s="45"/>
      <c r="C276" s="45"/>
      <c r="D276" s="45"/>
      <c r="E276" s="45"/>
      <c r="F276" s="45"/>
      <c r="G276" s="45"/>
      <c r="H276" s="45"/>
      <c r="I276" s="10"/>
    </row>
    <row r="277">
      <c r="A277" s="10"/>
      <c r="B277" s="45"/>
      <c r="C277" s="45"/>
      <c r="D277" s="45"/>
      <c r="E277" s="45"/>
      <c r="F277" s="45"/>
      <c r="G277" s="45"/>
      <c r="H277" s="45"/>
      <c r="I277" s="10"/>
    </row>
    <row r="278">
      <c r="A278" s="10"/>
      <c r="B278" s="45"/>
      <c r="C278" s="45"/>
      <c r="D278" s="45"/>
      <c r="E278" s="45"/>
      <c r="F278" s="45"/>
      <c r="G278" s="45"/>
      <c r="H278" s="45"/>
      <c r="I278" s="10"/>
    </row>
    <row r="279">
      <c r="A279" s="10"/>
      <c r="B279" s="45"/>
      <c r="C279" s="45"/>
      <c r="D279" s="45"/>
      <c r="E279" s="45"/>
      <c r="F279" s="45"/>
      <c r="G279" s="45"/>
      <c r="H279" s="45"/>
      <c r="I279" s="10"/>
    </row>
    <row r="280">
      <c r="A280" s="10"/>
      <c r="B280" s="45"/>
      <c r="C280" s="45"/>
      <c r="D280" s="45"/>
      <c r="E280" s="45"/>
      <c r="F280" s="45"/>
      <c r="G280" s="45"/>
      <c r="H280" s="45"/>
      <c r="I280" s="10"/>
    </row>
    <row r="281">
      <c r="A281" s="10"/>
      <c r="B281" s="45"/>
      <c r="C281" s="45"/>
      <c r="D281" s="45"/>
      <c r="E281" s="45"/>
      <c r="F281" s="45"/>
      <c r="G281" s="45"/>
      <c r="H281" s="45"/>
      <c r="I281" s="10"/>
    </row>
    <row r="282">
      <c r="A282" s="10"/>
      <c r="B282" s="45"/>
      <c r="C282" s="45"/>
      <c r="D282" s="45"/>
      <c r="E282" s="45"/>
      <c r="F282" s="45"/>
      <c r="G282" s="45"/>
      <c r="H282" s="45"/>
      <c r="I282" s="10"/>
    </row>
    <row r="283">
      <c r="A283" s="10"/>
      <c r="B283" s="45"/>
      <c r="C283" s="45"/>
      <c r="D283" s="45"/>
      <c r="E283" s="45"/>
      <c r="F283" s="45"/>
      <c r="G283" s="45"/>
      <c r="H283" s="45"/>
      <c r="I283" s="10"/>
    </row>
    <row r="284">
      <c r="A284" s="10"/>
      <c r="B284" s="45"/>
      <c r="C284" s="45"/>
      <c r="D284" s="45"/>
      <c r="E284" s="45"/>
      <c r="F284" s="45"/>
      <c r="G284" s="45"/>
      <c r="H284" s="45"/>
      <c r="I284" s="10"/>
    </row>
    <row r="285">
      <c r="A285" s="10"/>
      <c r="B285" s="45"/>
      <c r="C285" s="45"/>
      <c r="D285" s="45"/>
      <c r="E285" s="45"/>
      <c r="F285" s="45"/>
      <c r="G285" s="45"/>
      <c r="H285" s="45"/>
      <c r="I285" s="10"/>
    </row>
    <row r="286">
      <c r="A286" s="10"/>
      <c r="B286" s="45"/>
      <c r="C286" s="45"/>
      <c r="D286" s="45"/>
      <c r="E286" s="45"/>
      <c r="F286" s="45"/>
      <c r="G286" s="45"/>
      <c r="H286" s="45"/>
      <c r="I286" s="10"/>
    </row>
    <row r="287">
      <c r="A287" s="10"/>
      <c r="B287" s="45"/>
      <c r="C287" s="45"/>
      <c r="D287" s="45"/>
      <c r="E287" s="45"/>
      <c r="F287" s="45"/>
      <c r="G287" s="45"/>
      <c r="H287" s="45"/>
      <c r="I287" s="10"/>
    </row>
    <row r="288">
      <c r="A288" s="10"/>
      <c r="B288" s="45"/>
      <c r="C288" s="45"/>
      <c r="D288" s="45"/>
      <c r="E288" s="45"/>
      <c r="F288" s="45"/>
      <c r="G288" s="45"/>
      <c r="H288" s="45"/>
      <c r="I288" s="10"/>
    </row>
    <row r="289">
      <c r="A289" s="10"/>
      <c r="B289" s="45"/>
      <c r="C289" s="45"/>
      <c r="D289" s="45"/>
      <c r="E289" s="45"/>
      <c r="F289" s="45"/>
      <c r="G289" s="45"/>
      <c r="H289" s="45"/>
      <c r="I289" s="10"/>
    </row>
    <row r="290">
      <c r="A290" s="10"/>
      <c r="B290" s="45"/>
      <c r="C290" s="45"/>
      <c r="D290" s="45"/>
      <c r="E290" s="45"/>
      <c r="F290" s="45"/>
      <c r="G290" s="45"/>
      <c r="H290" s="45"/>
      <c r="I290" s="10"/>
    </row>
    <row r="291">
      <c r="A291" s="10"/>
      <c r="B291" s="45"/>
      <c r="C291" s="45"/>
      <c r="D291" s="45"/>
      <c r="E291" s="45"/>
      <c r="F291" s="45"/>
      <c r="G291" s="45"/>
      <c r="H291" s="45"/>
      <c r="I291" s="10"/>
    </row>
    <row r="292">
      <c r="A292" s="10"/>
      <c r="B292" s="45"/>
      <c r="C292" s="45"/>
      <c r="D292" s="45"/>
      <c r="E292" s="45"/>
      <c r="F292" s="45"/>
      <c r="G292" s="45"/>
      <c r="H292" s="45"/>
      <c r="I292" s="10"/>
    </row>
    <row r="293">
      <c r="A293" s="10"/>
      <c r="B293" s="45"/>
      <c r="C293" s="45"/>
      <c r="D293" s="45"/>
      <c r="E293" s="45"/>
      <c r="F293" s="45"/>
      <c r="G293" s="45"/>
      <c r="H293" s="45"/>
      <c r="I293" s="10"/>
    </row>
    <row r="294">
      <c r="A294" s="10"/>
      <c r="B294" s="45"/>
      <c r="C294" s="45"/>
      <c r="D294" s="45"/>
      <c r="E294" s="45"/>
      <c r="F294" s="45"/>
      <c r="G294" s="45"/>
      <c r="H294" s="45"/>
      <c r="I294" s="10"/>
    </row>
    <row r="295">
      <c r="A295" s="10"/>
      <c r="B295" s="45"/>
      <c r="C295" s="45"/>
      <c r="D295" s="45"/>
      <c r="E295" s="45"/>
      <c r="F295" s="45"/>
      <c r="G295" s="45"/>
      <c r="H295" s="45"/>
      <c r="I295" s="10"/>
    </row>
    <row r="296">
      <c r="A296" s="10"/>
      <c r="B296" s="45"/>
      <c r="C296" s="45"/>
      <c r="D296" s="45"/>
      <c r="E296" s="45"/>
      <c r="F296" s="45"/>
      <c r="G296" s="45"/>
      <c r="H296" s="45"/>
      <c r="I296" s="10"/>
    </row>
    <row r="297">
      <c r="A297" s="10"/>
      <c r="B297" s="45"/>
      <c r="C297" s="45"/>
      <c r="D297" s="45"/>
      <c r="E297" s="45"/>
      <c r="F297" s="45"/>
      <c r="G297" s="45"/>
      <c r="H297" s="45"/>
      <c r="I297" s="10"/>
    </row>
    <row r="298">
      <c r="A298" s="10"/>
      <c r="B298" s="45"/>
      <c r="C298" s="45"/>
      <c r="D298" s="45"/>
      <c r="E298" s="45"/>
      <c r="F298" s="45"/>
      <c r="G298" s="45"/>
      <c r="H298" s="45"/>
      <c r="I298" s="10"/>
    </row>
    <row r="299">
      <c r="A299" s="10"/>
      <c r="B299" s="45"/>
      <c r="C299" s="45"/>
      <c r="D299" s="45"/>
      <c r="E299" s="45"/>
      <c r="F299" s="45"/>
      <c r="G299" s="45"/>
      <c r="H299" s="45"/>
      <c r="I299" s="10"/>
    </row>
    <row r="300">
      <c r="A300" s="10"/>
      <c r="B300" s="45"/>
      <c r="C300" s="45"/>
      <c r="D300" s="45"/>
      <c r="E300" s="45"/>
      <c r="F300" s="45"/>
      <c r="G300" s="45"/>
      <c r="H300" s="45"/>
      <c r="I300" s="10"/>
    </row>
    <row r="301">
      <c r="A301" s="10"/>
      <c r="B301" s="45"/>
      <c r="C301" s="45"/>
      <c r="D301" s="45"/>
      <c r="E301" s="45"/>
      <c r="F301" s="45"/>
      <c r="G301" s="45"/>
      <c r="H301" s="45"/>
      <c r="I301" s="10"/>
    </row>
    <row r="302">
      <c r="A302" s="10"/>
      <c r="B302" s="45"/>
      <c r="C302" s="45"/>
      <c r="D302" s="45"/>
      <c r="E302" s="45"/>
      <c r="F302" s="45"/>
      <c r="G302" s="45"/>
      <c r="H302" s="45"/>
      <c r="I302" s="10"/>
    </row>
    <row r="303">
      <c r="A303" s="10"/>
      <c r="B303" s="45"/>
      <c r="C303" s="45"/>
      <c r="D303" s="45"/>
      <c r="E303" s="45"/>
      <c r="F303" s="45"/>
      <c r="G303" s="45"/>
      <c r="H303" s="45"/>
      <c r="I303" s="10"/>
    </row>
    <row r="304">
      <c r="A304" s="10"/>
      <c r="B304" s="45"/>
      <c r="C304" s="45"/>
      <c r="D304" s="45"/>
      <c r="E304" s="45"/>
      <c r="F304" s="45"/>
      <c r="G304" s="45"/>
      <c r="H304" s="45"/>
      <c r="I304" s="10"/>
    </row>
    <row r="305">
      <c r="A305" s="10"/>
      <c r="B305" s="45"/>
      <c r="C305" s="45"/>
      <c r="D305" s="45"/>
      <c r="E305" s="45"/>
      <c r="F305" s="45"/>
      <c r="G305" s="45"/>
      <c r="H305" s="45"/>
      <c r="I305" s="10"/>
    </row>
    <row r="306">
      <c r="A306" s="10"/>
      <c r="B306" s="45"/>
      <c r="C306" s="45"/>
      <c r="D306" s="45"/>
      <c r="E306" s="45"/>
      <c r="F306" s="45"/>
      <c r="G306" s="45"/>
      <c r="H306" s="45"/>
      <c r="I306" s="10"/>
    </row>
    <row r="307">
      <c r="A307" s="10"/>
      <c r="B307" s="45"/>
      <c r="C307" s="45"/>
      <c r="D307" s="45"/>
      <c r="E307" s="45"/>
      <c r="F307" s="45"/>
      <c r="G307" s="45"/>
      <c r="H307" s="45"/>
      <c r="I307" s="10"/>
    </row>
    <row r="308">
      <c r="A308" s="10"/>
      <c r="B308" s="45"/>
      <c r="C308" s="45"/>
      <c r="D308" s="45"/>
      <c r="E308" s="45"/>
      <c r="F308" s="45"/>
      <c r="G308" s="45"/>
      <c r="H308" s="45"/>
      <c r="I308" s="10"/>
    </row>
    <row r="309">
      <c r="A309" s="10"/>
      <c r="B309" s="45"/>
      <c r="C309" s="45"/>
      <c r="D309" s="45"/>
      <c r="E309" s="45"/>
      <c r="F309" s="45"/>
      <c r="G309" s="45"/>
      <c r="H309" s="45"/>
      <c r="I309" s="10"/>
    </row>
    <row r="310">
      <c r="A310" s="10"/>
      <c r="B310" s="45"/>
      <c r="C310" s="45"/>
      <c r="D310" s="45"/>
      <c r="E310" s="45"/>
      <c r="F310" s="45"/>
      <c r="G310" s="45"/>
      <c r="H310" s="45"/>
      <c r="I310" s="10"/>
    </row>
    <row r="311">
      <c r="A311" s="10"/>
      <c r="B311" s="45"/>
      <c r="C311" s="45"/>
      <c r="D311" s="45"/>
      <c r="E311" s="45"/>
      <c r="F311" s="45"/>
      <c r="G311" s="45"/>
      <c r="H311" s="45"/>
      <c r="I311" s="10"/>
    </row>
    <row r="312">
      <c r="A312" s="10"/>
      <c r="B312" s="45"/>
      <c r="C312" s="45"/>
      <c r="D312" s="45"/>
      <c r="E312" s="45"/>
      <c r="F312" s="45"/>
      <c r="G312" s="45"/>
      <c r="H312" s="45"/>
      <c r="I312" s="10"/>
    </row>
    <row r="313">
      <c r="A313" s="10"/>
      <c r="B313" s="45"/>
      <c r="C313" s="45"/>
      <c r="D313" s="45"/>
      <c r="E313" s="45"/>
      <c r="F313" s="45"/>
      <c r="G313" s="45"/>
      <c r="H313" s="45"/>
      <c r="I313" s="10"/>
    </row>
    <row r="314">
      <c r="A314" s="10"/>
      <c r="B314" s="45"/>
      <c r="C314" s="45"/>
      <c r="D314" s="45"/>
      <c r="E314" s="45"/>
      <c r="F314" s="45"/>
      <c r="G314" s="45"/>
      <c r="H314" s="45"/>
      <c r="I314" s="10"/>
    </row>
    <row r="315">
      <c r="A315" s="10"/>
      <c r="B315" s="45"/>
      <c r="C315" s="45"/>
      <c r="D315" s="45"/>
      <c r="E315" s="45"/>
      <c r="F315" s="45"/>
      <c r="G315" s="45"/>
      <c r="H315" s="45"/>
      <c r="I315" s="10"/>
    </row>
    <row r="316">
      <c r="A316" s="10"/>
      <c r="B316" s="45"/>
      <c r="C316" s="45"/>
      <c r="D316" s="45"/>
      <c r="E316" s="45"/>
      <c r="F316" s="45"/>
      <c r="G316" s="45"/>
      <c r="H316" s="45"/>
      <c r="I316" s="10"/>
    </row>
    <row r="317">
      <c r="A317" s="10"/>
      <c r="B317" s="45"/>
      <c r="C317" s="45"/>
      <c r="D317" s="45"/>
      <c r="E317" s="45"/>
      <c r="F317" s="45"/>
      <c r="G317" s="45"/>
      <c r="H317" s="45"/>
      <c r="I317" s="10"/>
    </row>
    <row r="318">
      <c r="A318" s="10"/>
      <c r="B318" s="45"/>
      <c r="C318" s="45"/>
      <c r="D318" s="45"/>
      <c r="E318" s="45"/>
      <c r="F318" s="45"/>
      <c r="G318" s="45"/>
      <c r="H318" s="45"/>
      <c r="I318" s="10"/>
    </row>
    <row r="319">
      <c r="A319" s="10"/>
      <c r="B319" s="45"/>
      <c r="C319" s="45"/>
      <c r="D319" s="45"/>
      <c r="E319" s="45"/>
      <c r="F319" s="45"/>
      <c r="G319" s="45"/>
      <c r="H319" s="45"/>
      <c r="I319" s="10"/>
    </row>
    <row r="320">
      <c r="A320" s="10"/>
      <c r="B320" s="45"/>
      <c r="C320" s="45"/>
      <c r="D320" s="45"/>
      <c r="E320" s="45"/>
      <c r="F320" s="45"/>
      <c r="G320" s="45"/>
      <c r="H320" s="45"/>
      <c r="I320" s="10"/>
    </row>
    <row r="321">
      <c r="A321" s="10"/>
      <c r="B321" s="45"/>
      <c r="C321" s="45"/>
      <c r="D321" s="45"/>
      <c r="E321" s="45"/>
      <c r="F321" s="45"/>
      <c r="G321" s="45"/>
      <c r="H321" s="45"/>
      <c r="I321" s="10"/>
    </row>
    <row r="322">
      <c r="A322" s="10"/>
      <c r="B322" s="45"/>
      <c r="C322" s="45"/>
      <c r="D322" s="45"/>
      <c r="E322" s="45"/>
      <c r="F322" s="45"/>
      <c r="G322" s="45"/>
      <c r="H322" s="45"/>
      <c r="I322" s="10"/>
    </row>
    <row r="323">
      <c r="A323" s="10"/>
      <c r="B323" s="45"/>
      <c r="C323" s="45"/>
      <c r="D323" s="45"/>
      <c r="E323" s="45"/>
      <c r="F323" s="45"/>
      <c r="G323" s="45"/>
      <c r="H323" s="45"/>
      <c r="I323" s="10"/>
    </row>
    <row r="324">
      <c r="A324" s="10"/>
      <c r="B324" s="45"/>
      <c r="C324" s="45"/>
      <c r="D324" s="45"/>
      <c r="E324" s="45"/>
      <c r="F324" s="45"/>
      <c r="G324" s="45"/>
      <c r="H324" s="45"/>
      <c r="I324" s="10"/>
    </row>
    <row r="325">
      <c r="A325" s="10"/>
      <c r="B325" s="45"/>
      <c r="C325" s="45"/>
      <c r="D325" s="45"/>
      <c r="E325" s="45"/>
      <c r="F325" s="45"/>
      <c r="G325" s="45"/>
      <c r="H325" s="45"/>
      <c r="I325" s="10"/>
    </row>
    <row r="326">
      <c r="A326" s="10"/>
      <c r="B326" s="45"/>
      <c r="C326" s="45"/>
      <c r="D326" s="45"/>
      <c r="E326" s="45"/>
      <c r="F326" s="45"/>
      <c r="G326" s="45"/>
      <c r="H326" s="45"/>
      <c r="I326" s="10"/>
    </row>
    <row r="327">
      <c r="A327" s="10"/>
      <c r="B327" s="45"/>
      <c r="C327" s="45"/>
      <c r="D327" s="45"/>
      <c r="E327" s="45"/>
      <c r="F327" s="45"/>
      <c r="G327" s="45"/>
      <c r="H327" s="45"/>
      <c r="I327" s="10"/>
    </row>
    <row r="328">
      <c r="A328" s="10"/>
      <c r="B328" s="45"/>
      <c r="C328" s="45"/>
      <c r="D328" s="45"/>
      <c r="E328" s="45"/>
      <c r="F328" s="45"/>
      <c r="G328" s="45"/>
      <c r="H328" s="45"/>
      <c r="I328" s="10"/>
    </row>
    <row r="329">
      <c r="A329" s="10"/>
      <c r="B329" s="45"/>
      <c r="C329" s="45"/>
      <c r="D329" s="45"/>
      <c r="E329" s="45"/>
      <c r="F329" s="45"/>
      <c r="G329" s="45"/>
      <c r="H329" s="45"/>
      <c r="I329" s="10"/>
    </row>
    <row r="330">
      <c r="A330" s="10"/>
      <c r="B330" s="45"/>
      <c r="C330" s="45"/>
      <c r="D330" s="45"/>
      <c r="E330" s="45"/>
      <c r="F330" s="45"/>
      <c r="G330" s="45"/>
      <c r="H330" s="45"/>
      <c r="I330" s="10"/>
    </row>
    <row r="331">
      <c r="A331" s="10"/>
      <c r="B331" s="45"/>
      <c r="C331" s="45"/>
      <c r="D331" s="45"/>
      <c r="E331" s="45"/>
      <c r="F331" s="45"/>
      <c r="G331" s="45"/>
      <c r="H331" s="45"/>
      <c r="I331" s="10"/>
    </row>
    <row r="332">
      <c r="A332" s="10"/>
      <c r="B332" s="45"/>
      <c r="C332" s="45"/>
      <c r="D332" s="45"/>
      <c r="E332" s="45"/>
      <c r="F332" s="45"/>
      <c r="G332" s="45"/>
      <c r="H332" s="45"/>
      <c r="I332" s="10"/>
    </row>
    <row r="333">
      <c r="A333" s="10"/>
      <c r="B333" s="45"/>
      <c r="C333" s="45"/>
      <c r="D333" s="45"/>
      <c r="E333" s="45"/>
      <c r="F333" s="45"/>
      <c r="G333" s="45"/>
      <c r="H333" s="45"/>
      <c r="I333" s="10"/>
    </row>
    <row r="334">
      <c r="A334" s="10"/>
      <c r="B334" s="45"/>
      <c r="C334" s="45"/>
      <c r="D334" s="45"/>
      <c r="E334" s="45"/>
      <c r="F334" s="45"/>
      <c r="G334" s="45"/>
      <c r="H334" s="45"/>
      <c r="I334" s="10"/>
    </row>
    <row r="335">
      <c r="A335" s="10"/>
      <c r="B335" s="45"/>
      <c r="C335" s="45"/>
      <c r="D335" s="45"/>
      <c r="E335" s="45"/>
      <c r="F335" s="45"/>
      <c r="G335" s="45"/>
      <c r="H335" s="45"/>
      <c r="I335" s="10"/>
    </row>
    <row r="336">
      <c r="A336" s="10"/>
      <c r="B336" s="45"/>
      <c r="C336" s="45"/>
      <c r="D336" s="45"/>
      <c r="E336" s="45"/>
      <c r="F336" s="45"/>
      <c r="G336" s="45"/>
      <c r="H336" s="45"/>
      <c r="I336" s="10"/>
    </row>
    <row r="337">
      <c r="A337" s="10"/>
      <c r="B337" s="45"/>
      <c r="C337" s="45"/>
      <c r="D337" s="45"/>
      <c r="E337" s="45"/>
      <c r="F337" s="45"/>
      <c r="G337" s="45"/>
      <c r="H337" s="45"/>
      <c r="I337" s="10"/>
    </row>
    <row r="338">
      <c r="A338" s="10"/>
      <c r="B338" s="45"/>
      <c r="C338" s="45"/>
      <c r="D338" s="45"/>
      <c r="E338" s="45"/>
      <c r="F338" s="45"/>
      <c r="G338" s="45"/>
      <c r="H338" s="45"/>
      <c r="I338" s="10"/>
    </row>
    <row r="339">
      <c r="A339" s="10"/>
      <c r="B339" s="45"/>
      <c r="C339" s="45"/>
      <c r="D339" s="45"/>
      <c r="E339" s="45"/>
      <c r="F339" s="45"/>
      <c r="G339" s="45"/>
      <c r="H339" s="45"/>
      <c r="I339" s="10"/>
    </row>
    <row r="340">
      <c r="A340" s="10"/>
      <c r="B340" s="45"/>
      <c r="C340" s="45"/>
      <c r="D340" s="45"/>
      <c r="E340" s="45"/>
      <c r="F340" s="45"/>
      <c r="G340" s="45"/>
      <c r="H340" s="45"/>
      <c r="I340" s="10"/>
    </row>
    <row r="341">
      <c r="A341" s="10"/>
      <c r="B341" s="45"/>
      <c r="C341" s="45"/>
      <c r="D341" s="45"/>
      <c r="E341" s="45"/>
      <c r="F341" s="45"/>
      <c r="G341" s="45"/>
      <c r="H341" s="45"/>
      <c r="I341" s="10"/>
    </row>
    <row r="342">
      <c r="A342" s="10"/>
      <c r="B342" s="45"/>
      <c r="C342" s="45"/>
      <c r="D342" s="45"/>
      <c r="E342" s="45"/>
      <c r="F342" s="45"/>
      <c r="G342" s="45"/>
      <c r="H342" s="45"/>
      <c r="I342" s="10"/>
    </row>
    <row r="343">
      <c r="A343" s="10"/>
      <c r="B343" s="45"/>
      <c r="C343" s="45"/>
      <c r="D343" s="45"/>
      <c r="E343" s="45"/>
      <c r="F343" s="45"/>
      <c r="G343" s="45"/>
      <c r="H343" s="45"/>
      <c r="I343" s="10"/>
    </row>
    <row r="344">
      <c r="A344" s="10"/>
      <c r="B344" s="45"/>
      <c r="C344" s="45"/>
      <c r="D344" s="45"/>
      <c r="E344" s="45"/>
      <c r="F344" s="45"/>
      <c r="G344" s="45"/>
      <c r="H344" s="45"/>
      <c r="I344" s="10"/>
    </row>
    <row r="345">
      <c r="A345" s="10"/>
      <c r="B345" s="45"/>
      <c r="C345" s="45"/>
      <c r="D345" s="45"/>
      <c r="E345" s="45"/>
      <c r="F345" s="45"/>
      <c r="G345" s="45"/>
      <c r="H345" s="45"/>
      <c r="I345" s="10"/>
    </row>
    <row r="346">
      <c r="A346" s="10"/>
      <c r="B346" s="45"/>
      <c r="C346" s="45"/>
      <c r="D346" s="45"/>
      <c r="E346" s="45"/>
      <c r="F346" s="45"/>
      <c r="G346" s="45"/>
      <c r="H346" s="45"/>
      <c r="I346" s="10"/>
    </row>
    <row r="347">
      <c r="A347" s="10"/>
      <c r="B347" s="45"/>
      <c r="C347" s="45"/>
      <c r="D347" s="45"/>
      <c r="E347" s="45"/>
      <c r="F347" s="45"/>
      <c r="G347" s="45"/>
      <c r="H347" s="45"/>
      <c r="I347" s="10"/>
    </row>
    <row r="348">
      <c r="A348" s="10"/>
      <c r="B348" s="45"/>
      <c r="C348" s="45"/>
      <c r="D348" s="45"/>
      <c r="E348" s="45"/>
      <c r="F348" s="45"/>
      <c r="G348" s="45"/>
      <c r="H348" s="45"/>
      <c r="I348" s="10"/>
    </row>
    <row r="349">
      <c r="A349" s="10"/>
      <c r="B349" s="45"/>
      <c r="C349" s="45"/>
      <c r="D349" s="45"/>
      <c r="E349" s="45"/>
      <c r="F349" s="45"/>
      <c r="G349" s="45"/>
      <c r="H349" s="45"/>
      <c r="I349" s="10"/>
    </row>
    <row r="350">
      <c r="A350" s="10"/>
      <c r="B350" s="45"/>
      <c r="C350" s="45"/>
      <c r="D350" s="45"/>
      <c r="E350" s="45"/>
      <c r="F350" s="45"/>
      <c r="G350" s="45"/>
      <c r="H350" s="45"/>
      <c r="I350" s="10"/>
    </row>
    <row r="351">
      <c r="A351" s="10"/>
      <c r="B351" s="45"/>
      <c r="C351" s="45"/>
      <c r="D351" s="45"/>
      <c r="E351" s="45"/>
      <c r="F351" s="45"/>
      <c r="G351" s="45"/>
      <c r="H351" s="45"/>
      <c r="I351" s="10"/>
    </row>
    <row r="352">
      <c r="A352" s="10"/>
      <c r="B352" s="45"/>
      <c r="C352" s="45"/>
      <c r="D352" s="45"/>
      <c r="E352" s="45"/>
      <c r="F352" s="45"/>
      <c r="G352" s="45"/>
      <c r="H352" s="45"/>
      <c r="I352" s="10"/>
    </row>
    <row r="353">
      <c r="A353" s="10"/>
      <c r="B353" s="45"/>
      <c r="C353" s="45"/>
      <c r="D353" s="45"/>
      <c r="E353" s="45"/>
      <c r="F353" s="45"/>
      <c r="G353" s="45"/>
      <c r="H353" s="45"/>
      <c r="I353" s="10"/>
    </row>
    <row r="354">
      <c r="A354" s="10"/>
      <c r="B354" s="45"/>
      <c r="C354" s="45"/>
      <c r="D354" s="45"/>
      <c r="E354" s="45"/>
      <c r="F354" s="45"/>
      <c r="G354" s="45"/>
      <c r="H354" s="45"/>
      <c r="I354" s="10"/>
    </row>
    <row r="355">
      <c r="A355" s="10"/>
      <c r="B355" s="45"/>
      <c r="C355" s="45"/>
      <c r="D355" s="45"/>
      <c r="E355" s="45"/>
      <c r="F355" s="45"/>
      <c r="G355" s="45"/>
      <c r="H355" s="45"/>
      <c r="I355" s="10"/>
    </row>
    <row r="356">
      <c r="A356" s="10"/>
      <c r="B356" s="45"/>
      <c r="C356" s="45"/>
      <c r="D356" s="45"/>
      <c r="E356" s="45"/>
      <c r="F356" s="45"/>
      <c r="G356" s="45"/>
      <c r="H356" s="45"/>
      <c r="I356" s="10"/>
    </row>
    <row r="357">
      <c r="A357" s="10"/>
      <c r="B357" s="45"/>
      <c r="C357" s="45"/>
      <c r="D357" s="45"/>
      <c r="E357" s="45"/>
      <c r="F357" s="45"/>
      <c r="G357" s="45"/>
      <c r="H357" s="45"/>
      <c r="I357" s="10"/>
    </row>
    <row r="358">
      <c r="A358" s="10"/>
      <c r="B358" s="45"/>
      <c r="C358" s="45"/>
      <c r="D358" s="45"/>
      <c r="E358" s="45"/>
      <c r="F358" s="45"/>
      <c r="G358" s="45"/>
      <c r="H358" s="45"/>
      <c r="I358" s="10"/>
    </row>
    <row r="359">
      <c r="A359" s="10"/>
      <c r="B359" s="45"/>
      <c r="C359" s="45"/>
      <c r="D359" s="45"/>
      <c r="E359" s="45"/>
      <c r="F359" s="45"/>
      <c r="G359" s="45"/>
      <c r="H359" s="45"/>
      <c r="I359" s="10"/>
    </row>
    <row r="360">
      <c r="A360" s="10"/>
      <c r="B360" s="45"/>
      <c r="C360" s="45"/>
      <c r="D360" s="45"/>
      <c r="E360" s="45"/>
      <c r="F360" s="45"/>
      <c r="G360" s="45"/>
      <c r="H360" s="45"/>
      <c r="I360" s="10"/>
    </row>
    <row r="361">
      <c r="A361" s="10"/>
      <c r="B361" s="45"/>
      <c r="C361" s="45"/>
      <c r="D361" s="45"/>
      <c r="E361" s="45"/>
      <c r="F361" s="45"/>
      <c r="G361" s="45"/>
      <c r="H361" s="45"/>
      <c r="I361" s="10"/>
    </row>
    <row r="362">
      <c r="A362" s="10"/>
      <c r="B362" s="45"/>
      <c r="C362" s="45"/>
      <c r="D362" s="45"/>
      <c r="E362" s="45"/>
      <c r="F362" s="45"/>
      <c r="G362" s="45"/>
      <c r="H362" s="45"/>
      <c r="I362" s="10"/>
    </row>
    <row r="363">
      <c r="A363" s="10"/>
      <c r="B363" s="45"/>
      <c r="C363" s="45"/>
      <c r="D363" s="45"/>
      <c r="E363" s="45"/>
      <c r="F363" s="45"/>
      <c r="G363" s="45"/>
      <c r="H363" s="45"/>
      <c r="I363" s="10"/>
    </row>
    <row r="364">
      <c r="A364" s="10"/>
      <c r="B364" s="45"/>
      <c r="C364" s="45"/>
      <c r="D364" s="45"/>
      <c r="E364" s="45"/>
      <c r="F364" s="45"/>
      <c r="G364" s="45"/>
      <c r="H364" s="45"/>
      <c r="I364" s="10"/>
    </row>
    <row r="365">
      <c r="A365" s="10"/>
      <c r="B365" s="45"/>
      <c r="C365" s="45"/>
      <c r="D365" s="45"/>
      <c r="E365" s="45"/>
      <c r="F365" s="45"/>
      <c r="G365" s="45"/>
      <c r="H365" s="45"/>
      <c r="I365" s="10"/>
    </row>
    <row r="366">
      <c r="A366" s="10"/>
      <c r="B366" s="45"/>
      <c r="C366" s="45"/>
      <c r="D366" s="45"/>
      <c r="E366" s="45"/>
      <c r="F366" s="45"/>
      <c r="G366" s="45"/>
      <c r="H366" s="45"/>
      <c r="I366" s="10"/>
    </row>
    <row r="367">
      <c r="A367" s="10"/>
      <c r="B367" s="45"/>
      <c r="C367" s="45"/>
      <c r="D367" s="45"/>
      <c r="E367" s="45"/>
      <c r="F367" s="45"/>
      <c r="G367" s="45"/>
      <c r="H367" s="45"/>
      <c r="I367" s="10"/>
    </row>
    <row r="368">
      <c r="A368" s="10"/>
      <c r="B368" s="45"/>
      <c r="C368" s="45"/>
      <c r="D368" s="45"/>
      <c r="E368" s="45"/>
      <c r="F368" s="45"/>
      <c r="G368" s="45"/>
      <c r="H368" s="45"/>
      <c r="I368" s="10"/>
    </row>
    <row r="369">
      <c r="A369" s="10"/>
      <c r="B369" s="45"/>
      <c r="C369" s="45"/>
      <c r="D369" s="45"/>
      <c r="E369" s="45"/>
      <c r="F369" s="45"/>
      <c r="G369" s="45"/>
      <c r="H369" s="45"/>
      <c r="I369" s="10"/>
    </row>
    <row r="370">
      <c r="A370" s="10"/>
      <c r="B370" s="45"/>
      <c r="C370" s="45"/>
      <c r="D370" s="45"/>
      <c r="E370" s="45"/>
      <c r="F370" s="45"/>
      <c r="G370" s="45"/>
      <c r="H370" s="45"/>
      <c r="I370" s="10"/>
    </row>
    <row r="371">
      <c r="A371" s="10"/>
      <c r="B371" s="45"/>
      <c r="C371" s="45"/>
      <c r="D371" s="45"/>
      <c r="E371" s="45"/>
      <c r="F371" s="45"/>
      <c r="G371" s="45"/>
      <c r="H371" s="45"/>
      <c r="I371" s="10"/>
    </row>
    <row r="372">
      <c r="A372" s="10"/>
      <c r="B372" s="45"/>
      <c r="C372" s="45"/>
      <c r="D372" s="45"/>
      <c r="E372" s="45"/>
      <c r="F372" s="45"/>
      <c r="G372" s="45"/>
      <c r="H372" s="45"/>
      <c r="I372" s="10"/>
    </row>
    <row r="373">
      <c r="A373" s="10"/>
      <c r="B373" s="45"/>
      <c r="C373" s="45"/>
      <c r="D373" s="45"/>
      <c r="E373" s="45"/>
      <c r="F373" s="45"/>
      <c r="G373" s="45"/>
      <c r="H373" s="45"/>
      <c r="I373" s="10"/>
    </row>
    <row r="374">
      <c r="A374" s="10"/>
      <c r="B374" s="45"/>
      <c r="C374" s="45"/>
      <c r="D374" s="45"/>
      <c r="E374" s="45"/>
      <c r="F374" s="45"/>
      <c r="G374" s="45"/>
      <c r="H374" s="45"/>
      <c r="I374" s="10"/>
    </row>
    <row r="375">
      <c r="A375" s="10"/>
      <c r="B375" s="45"/>
      <c r="C375" s="45"/>
      <c r="D375" s="45"/>
      <c r="E375" s="45"/>
      <c r="F375" s="45"/>
      <c r="G375" s="45"/>
      <c r="H375" s="45"/>
      <c r="I375" s="10"/>
    </row>
    <row r="376">
      <c r="A376" s="10"/>
      <c r="B376" s="45"/>
      <c r="C376" s="45"/>
      <c r="D376" s="45"/>
      <c r="E376" s="45"/>
      <c r="F376" s="45"/>
      <c r="G376" s="45"/>
      <c r="H376" s="45"/>
      <c r="I376" s="10"/>
    </row>
    <row r="377">
      <c r="A377" s="10"/>
      <c r="B377" s="45"/>
      <c r="C377" s="45"/>
      <c r="D377" s="45"/>
      <c r="E377" s="45"/>
      <c r="F377" s="45"/>
      <c r="G377" s="45"/>
      <c r="H377" s="45"/>
      <c r="I377" s="10"/>
    </row>
    <row r="378">
      <c r="A378" s="10"/>
      <c r="B378" s="45"/>
      <c r="C378" s="45"/>
      <c r="D378" s="45"/>
      <c r="E378" s="45"/>
      <c r="F378" s="45"/>
      <c r="G378" s="45"/>
      <c r="H378" s="45"/>
      <c r="I378" s="10"/>
    </row>
    <row r="379">
      <c r="A379" s="10"/>
      <c r="B379" s="45"/>
      <c r="C379" s="45"/>
      <c r="D379" s="45"/>
      <c r="E379" s="45"/>
      <c r="F379" s="45"/>
      <c r="G379" s="45"/>
      <c r="H379" s="45"/>
      <c r="I379" s="10"/>
    </row>
    <row r="380">
      <c r="A380" s="10"/>
      <c r="B380" s="45"/>
      <c r="C380" s="45"/>
      <c r="D380" s="45"/>
      <c r="E380" s="45"/>
      <c r="F380" s="45"/>
      <c r="G380" s="45"/>
      <c r="H380" s="45"/>
      <c r="I380" s="10"/>
    </row>
    <row r="381">
      <c r="A381" s="10"/>
      <c r="B381" s="45"/>
      <c r="C381" s="45"/>
      <c r="D381" s="45"/>
      <c r="E381" s="45"/>
      <c r="F381" s="45"/>
      <c r="G381" s="45"/>
      <c r="H381" s="45"/>
      <c r="I381" s="10"/>
    </row>
    <row r="382">
      <c r="A382" s="10"/>
      <c r="B382" s="45"/>
      <c r="C382" s="45"/>
      <c r="D382" s="45"/>
      <c r="E382" s="45"/>
      <c r="F382" s="45"/>
      <c r="G382" s="45"/>
      <c r="H382" s="45"/>
      <c r="I382" s="10"/>
    </row>
    <row r="383">
      <c r="A383" s="10"/>
      <c r="B383" s="45"/>
      <c r="C383" s="45"/>
      <c r="D383" s="45"/>
      <c r="E383" s="45"/>
      <c r="F383" s="45"/>
      <c r="G383" s="45"/>
      <c r="H383" s="45"/>
      <c r="I383" s="10"/>
    </row>
    <row r="384">
      <c r="A384" s="10"/>
      <c r="B384" s="45"/>
      <c r="C384" s="45"/>
      <c r="D384" s="45"/>
      <c r="E384" s="45"/>
      <c r="F384" s="45"/>
      <c r="G384" s="45"/>
      <c r="H384" s="45"/>
      <c r="I384" s="10"/>
    </row>
    <row r="385">
      <c r="A385" s="10"/>
      <c r="B385" s="45"/>
      <c r="C385" s="45"/>
      <c r="D385" s="45"/>
      <c r="E385" s="45"/>
      <c r="F385" s="45"/>
      <c r="G385" s="45"/>
      <c r="H385" s="45"/>
      <c r="I385" s="10"/>
    </row>
    <row r="386">
      <c r="A386" s="10"/>
      <c r="B386" s="45"/>
      <c r="C386" s="45"/>
      <c r="D386" s="45"/>
      <c r="E386" s="45"/>
      <c r="F386" s="45"/>
      <c r="G386" s="45"/>
      <c r="H386" s="45"/>
      <c r="I386" s="10"/>
    </row>
    <row r="387">
      <c r="A387" s="10"/>
      <c r="B387" s="45"/>
      <c r="C387" s="45"/>
      <c r="D387" s="45"/>
      <c r="E387" s="45"/>
      <c r="F387" s="45"/>
      <c r="G387" s="45"/>
      <c r="H387" s="45"/>
      <c r="I387" s="10"/>
    </row>
    <row r="388">
      <c r="A388" s="10"/>
      <c r="B388" s="45"/>
      <c r="C388" s="45"/>
      <c r="D388" s="45"/>
      <c r="E388" s="45"/>
      <c r="F388" s="45"/>
      <c r="G388" s="45"/>
      <c r="H388" s="45"/>
      <c r="I388" s="10"/>
    </row>
    <row r="389">
      <c r="A389" s="10"/>
      <c r="B389" s="45"/>
      <c r="C389" s="45"/>
      <c r="D389" s="45"/>
      <c r="E389" s="45"/>
      <c r="F389" s="45"/>
      <c r="G389" s="45"/>
      <c r="H389" s="45"/>
      <c r="I389" s="10"/>
    </row>
    <row r="390">
      <c r="A390" s="10"/>
      <c r="B390" s="45"/>
      <c r="C390" s="45"/>
      <c r="D390" s="45"/>
      <c r="E390" s="45"/>
      <c r="F390" s="45"/>
      <c r="G390" s="45"/>
      <c r="H390" s="45"/>
      <c r="I390" s="10"/>
    </row>
    <row r="391">
      <c r="A391" s="10"/>
      <c r="B391" s="45"/>
      <c r="C391" s="45"/>
      <c r="D391" s="45"/>
      <c r="E391" s="45"/>
      <c r="F391" s="45"/>
      <c r="G391" s="45"/>
      <c r="H391" s="45"/>
      <c r="I391" s="10"/>
    </row>
    <row r="392">
      <c r="A392" s="10"/>
      <c r="B392" s="45"/>
      <c r="C392" s="45"/>
      <c r="D392" s="45"/>
      <c r="E392" s="45"/>
      <c r="F392" s="45"/>
      <c r="G392" s="45"/>
      <c r="H392" s="45"/>
      <c r="I392" s="10"/>
    </row>
    <row r="393">
      <c r="A393" s="10"/>
      <c r="B393" s="45"/>
      <c r="C393" s="45"/>
      <c r="D393" s="45"/>
      <c r="E393" s="45"/>
      <c r="F393" s="45"/>
      <c r="G393" s="45"/>
      <c r="H393" s="45"/>
      <c r="I393" s="10"/>
    </row>
    <row r="394">
      <c r="A394" s="10"/>
      <c r="B394" s="45"/>
      <c r="C394" s="45"/>
      <c r="D394" s="45"/>
      <c r="E394" s="45"/>
      <c r="F394" s="45"/>
      <c r="G394" s="45"/>
      <c r="H394" s="45"/>
      <c r="I394" s="10"/>
    </row>
    <row r="395">
      <c r="A395" s="10"/>
      <c r="B395" s="45"/>
      <c r="C395" s="45"/>
      <c r="D395" s="45"/>
      <c r="E395" s="45"/>
      <c r="F395" s="45"/>
      <c r="G395" s="45"/>
      <c r="H395" s="45"/>
      <c r="I395" s="10"/>
    </row>
    <row r="396">
      <c r="A396" s="10"/>
      <c r="B396" s="45"/>
      <c r="C396" s="45"/>
      <c r="D396" s="45"/>
      <c r="E396" s="45"/>
      <c r="F396" s="45"/>
      <c r="G396" s="45"/>
      <c r="H396" s="45"/>
      <c r="I396" s="10"/>
    </row>
    <row r="397">
      <c r="A397" s="10"/>
      <c r="B397" s="45"/>
      <c r="C397" s="45"/>
      <c r="D397" s="45"/>
      <c r="E397" s="45"/>
      <c r="F397" s="45"/>
      <c r="G397" s="45"/>
      <c r="H397" s="45"/>
      <c r="I397" s="10"/>
    </row>
    <row r="398">
      <c r="A398" s="10"/>
      <c r="B398" s="45"/>
      <c r="C398" s="45"/>
      <c r="D398" s="45"/>
      <c r="E398" s="45"/>
      <c r="F398" s="45"/>
      <c r="G398" s="45"/>
      <c r="H398" s="45"/>
      <c r="I398" s="10"/>
    </row>
    <row r="399">
      <c r="A399" s="10"/>
      <c r="B399" s="45"/>
      <c r="C399" s="45"/>
      <c r="D399" s="45"/>
      <c r="E399" s="45"/>
      <c r="F399" s="45"/>
      <c r="G399" s="45"/>
      <c r="H399" s="45"/>
      <c r="I399" s="10"/>
    </row>
    <row r="400">
      <c r="A400" s="10"/>
      <c r="B400" s="45"/>
      <c r="C400" s="45"/>
      <c r="D400" s="45"/>
      <c r="E400" s="45"/>
      <c r="F400" s="45"/>
      <c r="G400" s="45"/>
      <c r="H400" s="45"/>
      <c r="I400" s="10"/>
    </row>
    <row r="401">
      <c r="A401" s="10"/>
      <c r="B401" s="45"/>
      <c r="C401" s="45"/>
      <c r="D401" s="45"/>
      <c r="E401" s="45"/>
      <c r="F401" s="45"/>
      <c r="G401" s="45"/>
      <c r="H401" s="45"/>
      <c r="I401" s="10"/>
    </row>
    <row r="402">
      <c r="A402" s="10"/>
      <c r="B402" s="45"/>
      <c r="C402" s="45"/>
      <c r="D402" s="45"/>
      <c r="E402" s="45"/>
      <c r="F402" s="45"/>
      <c r="G402" s="45"/>
      <c r="H402" s="45"/>
      <c r="I402" s="10"/>
    </row>
    <row r="403">
      <c r="A403" s="10"/>
      <c r="B403" s="45"/>
      <c r="C403" s="45"/>
      <c r="D403" s="45"/>
      <c r="E403" s="45"/>
      <c r="F403" s="45"/>
      <c r="G403" s="45"/>
      <c r="H403" s="45"/>
      <c r="I403" s="10"/>
    </row>
    <row r="404">
      <c r="A404" s="10"/>
      <c r="B404" s="45"/>
      <c r="C404" s="45"/>
      <c r="D404" s="45"/>
      <c r="E404" s="45"/>
      <c r="F404" s="45"/>
      <c r="G404" s="45"/>
      <c r="H404" s="45"/>
      <c r="I404" s="10"/>
    </row>
    <row r="405">
      <c r="A405" s="10"/>
      <c r="B405" s="45"/>
      <c r="C405" s="45"/>
      <c r="D405" s="45"/>
      <c r="E405" s="45"/>
      <c r="F405" s="45"/>
      <c r="G405" s="45"/>
      <c r="H405" s="45"/>
      <c r="I405" s="10"/>
    </row>
    <row r="406">
      <c r="A406" s="10"/>
      <c r="B406" s="45"/>
      <c r="C406" s="45"/>
      <c r="D406" s="45"/>
      <c r="E406" s="45"/>
      <c r="F406" s="45"/>
      <c r="G406" s="45"/>
      <c r="H406" s="45"/>
      <c r="I406" s="10"/>
    </row>
    <row r="407">
      <c r="A407" s="10"/>
      <c r="B407" s="45"/>
      <c r="C407" s="45"/>
      <c r="D407" s="45"/>
      <c r="E407" s="45"/>
      <c r="F407" s="45"/>
      <c r="G407" s="45"/>
      <c r="H407" s="45"/>
      <c r="I407" s="10"/>
    </row>
    <row r="408">
      <c r="A408" s="10"/>
      <c r="B408" s="45"/>
      <c r="C408" s="45"/>
      <c r="D408" s="45"/>
      <c r="E408" s="45"/>
      <c r="F408" s="45"/>
      <c r="G408" s="45"/>
      <c r="H408" s="45"/>
      <c r="I408" s="10"/>
    </row>
    <row r="409">
      <c r="A409" s="10"/>
      <c r="B409" s="45"/>
      <c r="C409" s="45"/>
      <c r="D409" s="45"/>
      <c r="E409" s="45"/>
      <c r="F409" s="45"/>
      <c r="G409" s="45"/>
      <c r="H409" s="45"/>
      <c r="I409" s="10"/>
    </row>
    <row r="410">
      <c r="A410" s="10"/>
      <c r="B410" s="45"/>
      <c r="C410" s="45"/>
      <c r="D410" s="45"/>
      <c r="E410" s="45"/>
      <c r="F410" s="45"/>
      <c r="G410" s="45"/>
      <c r="H410" s="45"/>
      <c r="I410" s="10"/>
    </row>
    <row r="411">
      <c r="A411" s="10"/>
      <c r="B411" s="45"/>
      <c r="C411" s="45"/>
      <c r="D411" s="45"/>
      <c r="E411" s="45"/>
      <c r="F411" s="45"/>
      <c r="G411" s="45"/>
      <c r="H411" s="45"/>
      <c r="I411" s="10"/>
    </row>
    <row r="412">
      <c r="A412" s="10"/>
      <c r="B412" s="45"/>
      <c r="C412" s="45"/>
      <c r="D412" s="45"/>
      <c r="E412" s="45"/>
      <c r="F412" s="45"/>
      <c r="G412" s="45"/>
      <c r="H412" s="45"/>
      <c r="I412" s="10"/>
    </row>
    <row r="413">
      <c r="A413" s="10"/>
      <c r="B413" s="45"/>
      <c r="C413" s="45"/>
      <c r="D413" s="45"/>
      <c r="E413" s="45"/>
      <c r="F413" s="45"/>
      <c r="G413" s="45"/>
      <c r="H413" s="45"/>
      <c r="I413" s="10"/>
    </row>
    <row r="414">
      <c r="A414" s="10"/>
      <c r="B414" s="45"/>
      <c r="C414" s="45"/>
      <c r="D414" s="45"/>
      <c r="E414" s="45"/>
      <c r="F414" s="45"/>
      <c r="G414" s="45"/>
      <c r="H414" s="45"/>
      <c r="I414" s="10"/>
    </row>
    <row r="415">
      <c r="A415" s="10"/>
      <c r="B415" s="45"/>
      <c r="C415" s="45"/>
      <c r="D415" s="45"/>
      <c r="E415" s="45"/>
      <c r="F415" s="45"/>
      <c r="G415" s="45"/>
      <c r="H415" s="45"/>
      <c r="I415" s="10"/>
    </row>
    <row r="416">
      <c r="A416" s="10"/>
      <c r="B416" s="45"/>
      <c r="C416" s="45"/>
      <c r="D416" s="45"/>
      <c r="E416" s="45"/>
      <c r="F416" s="45"/>
      <c r="G416" s="45"/>
      <c r="H416" s="45"/>
      <c r="I416" s="10"/>
    </row>
    <row r="417">
      <c r="A417" s="10"/>
      <c r="B417" s="45"/>
      <c r="C417" s="45"/>
      <c r="D417" s="45"/>
      <c r="E417" s="45"/>
      <c r="F417" s="45"/>
      <c r="G417" s="45"/>
      <c r="H417" s="45"/>
      <c r="I417" s="10"/>
    </row>
    <row r="418">
      <c r="A418" s="10"/>
      <c r="B418" s="45"/>
      <c r="C418" s="45"/>
      <c r="D418" s="45"/>
      <c r="E418" s="45"/>
      <c r="F418" s="45"/>
      <c r="G418" s="45"/>
      <c r="H418" s="45"/>
      <c r="I418" s="10"/>
    </row>
    <row r="419">
      <c r="A419" s="10"/>
      <c r="B419" s="45"/>
      <c r="C419" s="45"/>
      <c r="D419" s="45"/>
      <c r="E419" s="45"/>
      <c r="F419" s="45"/>
      <c r="G419" s="45"/>
      <c r="H419" s="45"/>
      <c r="I419" s="10"/>
    </row>
    <row r="420">
      <c r="A420" s="10"/>
      <c r="B420" s="45"/>
      <c r="C420" s="45"/>
      <c r="D420" s="45"/>
      <c r="E420" s="45"/>
      <c r="F420" s="45"/>
      <c r="G420" s="45"/>
      <c r="H420" s="45"/>
      <c r="I420" s="10"/>
    </row>
    <row r="421">
      <c r="A421" s="10"/>
      <c r="B421" s="45"/>
      <c r="C421" s="45"/>
      <c r="D421" s="45"/>
      <c r="E421" s="45"/>
      <c r="F421" s="45"/>
      <c r="G421" s="45"/>
      <c r="H421" s="45"/>
      <c r="I421" s="10"/>
    </row>
    <row r="422">
      <c r="A422" s="10"/>
      <c r="B422" s="45"/>
      <c r="C422" s="45"/>
      <c r="D422" s="45"/>
      <c r="E422" s="45"/>
      <c r="F422" s="45"/>
      <c r="G422" s="45"/>
      <c r="H422" s="45"/>
      <c r="I422" s="10"/>
    </row>
    <row r="423">
      <c r="A423" s="10"/>
      <c r="B423" s="45"/>
      <c r="C423" s="45"/>
      <c r="D423" s="45"/>
      <c r="E423" s="45"/>
      <c r="F423" s="45"/>
      <c r="G423" s="45"/>
      <c r="H423" s="45"/>
      <c r="I423" s="10"/>
    </row>
    <row r="424">
      <c r="A424" s="10"/>
      <c r="B424" s="45"/>
      <c r="C424" s="45"/>
      <c r="D424" s="45"/>
      <c r="E424" s="45"/>
      <c r="F424" s="45"/>
      <c r="G424" s="45"/>
      <c r="H424" s="45"/>
      <c r="I424" s="10"/>
    </row>
    <row r="425">
      <c r="A425" s="10"/>
      <c r="B425" s="45"/>
      <c r="C425" s="45"/>
      <c r="D425" s="45"/>
      <c r="E425" s="45"/>
      <c r="F425" s="45"/>
      <c r="G425" s="45"/>
      <c r="H425" s="45"/>
      <c r="I425" s="10"/>
    </row>
    <row r="426">
      <c r="A426" s="10"/>
      <c r="B426" s="45"/>
      <c r="C426" s="45"/>
      <c r="D426" s="45"/>
      <c r="E426" s="45"/>
      <c r="F426" s="45"/>
      <c r="G426" s="45"/>
      <c r="H426" s="45"/>
      <c r="I426" s="10"/>
    </row>
    <row r="427">
      <c r="A427" s="10"/>
      <c r="B427" s="45"/>
      <c r="C427" s="45"/>
      <c r="D427" s="45"/>
      <c r="E427" s="45"/>
      <c r="F427" s="45"/>
      <c r="G427" s="45"/>
      <c r="H427" s="45"/>
      <c r="I427" s="10"/>
    </row>
    <row r="428">
      <c r="A428" s="10"/>
      <c r="B428" s="45"/>
      <c r="C428" s="45"/>
      <c r="D428" s="45"/>
      <c r="E428" s="45"/>
      <c r="F428" s="45"/>
      <c r="G428" s="45"/>
      <c r="H428" s="45"/>
      <c r="I428" s="10"/>
    </row>
    <row r="429">
      <c r="A429" s="10"/>
      <c r="B429" s="45"/>
      <c r="C429" s="45"/>
      <c r="D429" s="45"/>
      <c r="E429" s="45"/>
      <c r="F429" s="45"/>
      <c r="G429" s="45"/>
      <c r="H429" s="45"/>
      <c r="I429" s="10"/>
    </row>
    <row r="430">
      <c r="A430" s="10"/>
      <c r="B430" s="45"/>
      <c r="C430" s="45"/>
      <c r="D430" s="45"/>
      <c r="E430" s="45"/>
      <c r="F430" s="45"/>
      <c r="G430" s="45"/>
      <c r="H430" s="45"/>
      <c r="I430" s="10"/>
    </row>
    <row r="431">
      <c r="A431" s="10"/>
      <c r="B431" s="45"/>
      <c r="C431" s="45"/>
      <c r="D431" s="45"/>
      <c r="E431" s="45"/>
      <c r="F431" s="45"/>
      <c r="G431" s="45"/>
      <c r="H431" s="45"/>
      <c r="I431" s="10"/>
    </row>
    <row r="432">
      <c r="A432" s="10"/>
      <c r="B432" s="45"/>
      <c r="C432" s="45"/>
      <c r="D432" s="45"/>
      <c r="E432" s="45"/>
      <c r="F432" s="45"/>
      <c r="G432" s="45"/>
      <c r="H432" s="45"/>
      <c r="I432" s="10"/>
    </row>
    <row r="433">
      <c r="A433" s="10"/>
      <c r="B433" s="45"/>
      <c r="C433" s="45"/>
      <c r="D433" s="45"/>
      <c r="E433" s="45"/>
      <c r="F433" s="45"/>
      <c r="G433" s="45"/>
      <c r="H433" s="45"/>
      <c r="I433" s="10"/>
    </row>
    <row r="434">
      <c r="A434" s="10"/>
      <c r="B434" s="45"/>
      <c r="C434" s="45"/>
      <c r="D434" s="45"/>
      <c r="E434" s="45"/>
      <c r="F434" s="45"/>
      <c r="G434" s="45"/>
      <c r="H434" s="45"/>
      <c r="I434" s="10"/>
    </row>
    <row r="435">
      <c r="A435" s="10"/>
      <c r="B435" s="45"/>
      <c r="C435" s="45"/>
      <c r="D435" s="45"/>
      <c r="E435" s="45"/>
      <c r="F435" s="45"/>
      <c r="G435" s="45"/>
      <c r="H435" s="45"/>
      <c r="I435" s="10"/>
    </row>
    <row r="436">
      <c r="A436" s="10"/>
      <c r="B436" s="45"/>
      <c r="C436" s="45"/>
      <c r="D436" s="45"/>
      <c r="E436" s="45"/>
      <c r="F436" s="45"/>
      <c r="G436" s="45"/>
      <c r="H436" s="45"/>
      <c r="I436" s="10"/>
    </row>
    <row r="437">
      <c r="A437" s="10"/>
      <c r="B437" s="45"/>
      <c r="C437" s="45"/>
      <c r="D437" s="45"/>
      <c r="E437" s="45"/>
      <c r="F437" s="45"/>
      <c r="G437" s="45"/>
      <c r="H437" s="45"/>
      <c r="I437" s="10"/>
    </row>
    <row r="438">
      <c r="A438" s="10"/>
      <c r="B438" s="45"/>
      <c r="C438" s="45"/>
      <c r="D438" s="45"/>
      <c r="E438" s="45"/>
      <c r="F438" s="45"/>
      <c r="G438" s="45"/>
      <c r="H438" s="45"/>
      <c r="I438" s="10"/>
    </row>
    <row r="439">
      <c r="A439" s="10"/>
      <c r="B439" s="45"/>
      <c r="C439" s="45"/>
      <c r="D439" s="45"/>
      <c r="E439" s="45"/>
      <c r="F439" s="45"/>
      <c r="G439" s="45"/>
      <c r="H439" s="45"/>
      <c r="I439" s="10"/>
    </row>
    <row r="440">
      <c r="A440" s="10"/>
      <c r="B440" s="45"/>
      <c r="C440" s="45"/>
      <c r="D440" s="45"/>
      <c r="E440" s="45"/>
      <c r="F440" s="45"/>
      <c r="G440" s="45"/>
      <c r="H440" s="45"/>
      <c r="I440" s="10"/>
    </row>
    <row r="441">
      <c r="A441" s="10"/>
      <c r="B441" s="45"/>
      <c r="C441" s="45"/>
      <c r="D441" s="45"/>
      <c r="E441" s="45"/>
      <c r="F441" s="45"/>
      <c r="G441" s="45"/>
      <c r="H441" s="45"/>
      <c r="I441" s="10"/>
    </row>
    <row r="442">
      <c r="A442" s="10"/>
      <c r="B442" s="45"/>
      <c r="C442" s="45"/>
      <c r="D442" s="45"/>
      <c r="E442" s="45"/>
      <c r="F442" s="45"/>
      <c r="G442" s="45"/>
      <c r="H442" s="45"/>
      <c r="I442" s="10"/>
    </row>
    <row r="443">
      <c r="A443" s="10"/>
      <c r="B443" s="45"/>
      <c r="C443" s="45"/>
      <c r="D443" s="45"/>
      <c r="E443" s="45"/>
      <c r="F443" s="45"/>
      <c r="G443" s="45"/>
      <c r="H443" s="45"/>
      <c r="I443" s="10"/>
    </row>
    <row r="444">
      <c r="A444" s="10"/>
      <c r="B444" s="45"/>
      <c r="C444" s="45"/>
      <c r="D444" s="45"/>
      <c r="E444" s="45"/>
      <c r="F444" s="45"/>
      <c r="G444" s="45"/>
      <c r="H444" s="45"/>
      <c r="I444" s="10"/>
    </row>
    <row r="445">
      <c r="A445" s="10"/>
      <c r="B445" s="45"/>
      <c r="C445" s="45"/>
      <c r="D445" s="45"/>
      <c r="E445" s="45"/>
      <c r="F445" s="45"/>
      <c r="G445" s="45"/>
      <c r="H445" s="45"/>
      <c r="I445" s="10"/>
    </row>
    <row r="446">
      <c r="A446" s="10"/>
      <c r="B446" s="45"/>
      <c r="C446" s="45"/>
      <c r="D446" s="45"/>
      <c r="E446" s="45"/>
      <c r="F446" s="45"/>
      <c r="G446" s="45"/>
      <c r="H446" s="45"/>
      <c r="I446" s="10"/>
    </row>
    <row r="447">
      <c r="A447" s="10"/>
      <c r="B447" s="45"/>
      <c r="C447" s="45"/>
      <c r="D447" s="45"/>
      <c r="E447" s="45"/>
      <c r="F447" s="45"/>
      <c r="G447" s="45"/>
      <c r="H447" s="45"/>
      <c r="I447" s="10"/>
    </row>
    <row r="448">
      <c r="A448" s="10"/>
      <c r="B448" s="45"/>
      <c r="C448" s="45"/>
      <c r="D448" s="45"/>
      <c r="E448" s="45"/>
      <c r="F448" s="45"/>
      <c r="G448" s="45"/>
      <c r="H448" s="45"/>
      <c r="I448" s="10"/>
    </row>
    <row r="449">
      <c r="A449" s="10"/>
      <c r="B449" s="45"/>
      <c r="C449" s="45"/>
      <c r="D449" s="45"/>
      <c r="E449" s="45"/>
      <c r="F449" s="45"/>
      <c r="G449" s="45"/>
      <c r="H449" s="45"/>
      <c r="I449" s="10"/>
    </row>
    <row r="450">
      <c r="A450" s="10"/>
      <c r="B450" s="45"/>
      <c r="C450" s="45"/>
      <c r="D450" s="45"/>
      <c r="E450" s="45"/>
      <c r="F450" s="45"/>
      <c r="G450" s="45"/>
      <c r="H450" s="45"/>
      <c r="I450" s="10"/>
    </row>
    <row r="451">
      <c r="A451" s="10"/>
      <c r="B451" s="45"/>
      <c r="C451" s="45"/>
      <c r="D451" s="45"/>
      <c r="E451" s="45"/>
      <c r="F451" s="45"/>
      <c r="G451" s="45"/>
      <c r="H451" s="45"/>
      <c r="I451" s="10"/>
    </row>
    <row r="452">
      <c r="A452" s="10"/>
      <c r="B452" s="45"/>
      <c r="C452" s="45"/>
      <c r="D452" s="45"/>
      <c r="E452" s="45"/>
      <c r="F452" s="45"/>
      <c r="G452" s="45"/>
      <c r="H452" s="45"/>
      <c r="I452" s="10"/>
    </row>
    <row r="453">
      <c r="A453" s="10"/>
      <c r="B453" s="45"/>
      <c r="C453" s="45"/>
      <c r="D453" s="45"/>
      <c r="E453" s="45"/>
      <c r="F453" s="45"/>
      <c r="G453" s="45"/>
      <c r="H453" s="45"/>
      <c r="I453" s="10"/>
    </row>
    <row r="454">
      <c r="A454" s="10"/>
      <c r="B454" s="45"/>
      <c r="C454" s="45"/>
      <c r="D454" s="45"/>
      <c r="E454" s="45"/>
      <c r="F454" s="45"/>
      <c r="G454" s="45"/>
      <c r="H454" s="45"/>
      <c r="I454" s="10"/>
    </row>
    <row r="455">
      <c r="A455" s="10"/>
      <c r="B455" s="45"/>
      <c r="C455" s="45"/>
      <c r="D455" s="45"/>
      <c r="E455" s="45"/>
      <c r="F455" s="45"/>
      <c r="G455" s="45"/>
      <c r="H455" s="45"/>
      <c r="I455" s="10"/>
    </row>
    <row r="456">
      <c r="A456" s="10"/>
      <c r="B456" s="45"/>
      <c r="C456" s="45"/>
      <c r="D456" s="45"/>
      <c r="E456" s="45"/>
      <c r="F456" s="45"/>
      <c r="G456" s="45"/>
      <c r="H456" s="45"/>
      <c r="I456" s="10"/>
    </row>
    <row r="457">
      <c r="A457" s="10"/>
      <c r="B457" s="45"/>
      <c r="C457" s="45"/>
      <c r="D457" s="45"/>
      <c r="E457" s="45"/>
      <c r="F457" s="45"/>
      <c r="G457" s="45"/>
      <c r="H457" s="45"/>
      <c r="I457" s="10"/>
    </row>
    <row r="458">
      <c r="A458" s="10"/>
      <c r="B458" s="45"/>
      <c r="C458" s="45"/>
      <c r="D458" s="45"/>
      <c r="E458" s="45"/>
      <c r="F458" s="45"/>
      <c r="G458" s="45"/>
      <c r="H458" s="45"/>
      <c r="I458" s="10"/>
    </row>
    <row r="459">
      <c r="A459" s="10"/>
      <c r="B459" s="45"/>
      <c r="C459" s="45"/>
      <c r="D459" s="45"/>
      <c r="E459" s="45"/>
      <c r="F459" s="45"/>
      <c r="G459" s="45"/>
      <c r="H459" s="45"/>
      <c r="I459" s="10"/>
    </row>
    <row r="460">
      <c r="A460" s="10"/>
      <c r="B460" s="45"/>
      <c r="C460" s="45"/>
      <c r="D460" s="45"/>
      <c r="E460" s="45"/>
      <c r="F460" s="45"/>
      <c r="G460" s="45"/>
      <c r="H460" s="45"/>
      <c r="I460" s="10"/>
    </row>
    <row r="461">
      <c r="A461" s="10"/>
      <c r="B461" s="45"/>
      <c r="C461" s="45"/>
      <c r="D461" s="45"/>
      <c r="E461" s="45"/>
      <c r="F461" s="45"/>
      <c r="G461" s="45"/>
      <c r="H461" s="45"/>
      <c r="I461" s="10"/>
    </row>
    <row r="462">
      <c r="A462" s="10"/>
      <c r="B462" s="45"/>
      <c r="C462" s="45"/>
      <c r="D462" s="45"/>
      <c r="E462" s="45"/>
      <c r="F462" s="45"/>
      <c r="G462" s="45"/>
      <c r="H462" s="45"/>
      <c r="I462" s="10"/>
    </row>
    <row r="463">
      <c r="A463" s="10"/>
      <c r="B463" s="45"/>
      <c r="C463" s="45"/>
      <c r="D463" s="45"/>
      <c r="E463" s="45"/>
      <c r="F463" s="45"/>
      <c r="G463" s="45"/>
      <c r="H463" s="45"/>
      <c r="I463" s="10"/>
    </row>
    <row r="464">
      <c r="A464" s="10"/>
      <c r="B464" s="45"/>
      <c r="C464" s="45"/>
      <c r="D464" s="45"/>
      <c r="E464" s="45"/>
      <c r="F464" s="45"/>
      <c r="G464" s="45"/>
      <c r="H464" s="45"/>
      <c r="I464" s="10"/>
    </row>
    <row r="465">
      <c r="A465" s="10"/>
      <c r="B465" s="45"/>
      <c r="C465" s="45"/>
      <c r="D465" s="45"/>
      <c r="E465" s="45"/>
      <c r="F465" s="45"/>
      <c r="G465" s="45"/>
      <c r="H465" s="45"/>
      <c r="I465" s="10"/>
    </row>
    <row r="466">
      <c r="A466" s="10"/>
      <c r="B466" s="45"/>
      <c r="C466" s="45"/>
      <c r="D466" s="45"/>
      <c r="E466" s="45"/>
      <c r="F466" s="45"/>
      <c r="G466" s="45"/>
      <c r="H466" s="45"/>
      <c r="I466" s="10"/>
    </row>
    <row r="467">
      <c r="A467" s="10"/>
      <c r="B467" s="45"/>
      <c r="C467" s="45"/>
      <c r="D467" s="45"/>
      <c r="E467" s="45"/>
      <c r="F467" s="45"/>
      <c r="G467" s="45"/>
      <c r="H467" s="45"/>
      <c r="I467" s="10"/>
    </row>
    <row r="468">
      <c r="A468" s="10"/>
      <c r="B468" s="45"/>
      <c r="C468" s="45"/>
      <c r="D468" s="45"/>
      <c r="E468" s="45"/>
      <c r="F468" s="45"/>
      <c r="G468" s="45"/>
      <c r="H468" s="45"/>
      <c r="I468" s="10"/>
    </row>
    <row r="469">
      <c r="A469" s="10"/>
      <c r="B469" s="45"/>
      <c r="C469" s="45"/>
      <c r="D469" s="45"/>
      <c r="E469" s="45"/>
      <c r="F469" s="45"/>
      <c r="G469" s="45"/>
      <c r="H469" s="45"/>
      <c r="I469" s="10"/>
    </row>
    <row r="470">
      <c r="A470" s="10"/>
      <c r="B470" s="45"/>
      <c r="C470" s="45"/>
      <c r="D470" s="45"/>
      <c r="E470" s="45"/>
      <c r="F470" s="45"/>
      <c r="G470" s="45"/>
      <c r="H470" s="45"/>
      <c r="I470" s="10"/>
    </row>
    <row r="471">
      <c r="A471" s="10"/>
      <c r="B471" s="45"/>
      <c r="C471" s="45"/>
      <c r="D471" s="45"/>
      <c r="E471" s="45"/>
      <c r="F471" s="45"/>
      <c r="G471" s="45"/>
      <c r="H471" s="45"/>
      <c r="I471" s="10"/>
    </row>
    <row r="472">
      <c r="A472" s="10"/>
      <c r="B472" s="45"/>
      <c r="C472" s="45"/>
      <c r="D472" s="45"/>
      <c r="E472" s="45"/>
      <c r="F472" s="45"/>
      <c r="G472" s="45"/>
      <c r="H472" s="45"/>
      <c r="I472" s="10"/>
    </row>
    <row r="473">
      <c r="A473" s="10"/>
      <c r="B473" s="45"/>
      <c r="C473" s="45"/>
      <c r="D473" s="45"/>
      <c r="E473" s="45"/>
      <c r="F473" s="45"/>
      <c r="G473" s="45"/>
      <c r="H473" s="45"/>
      <c r="I473" s="10"/>
    </row>
    <row r="474">
      <c r="A474" s="10"/>
      <c r="B474" s="45"/>
      <c r="C474" s="45"/>
      <c r="D474" s="45"/>
      <c r="E474" s="45"/>
      <c r="F474" s="45"/>
      <c r="G474" s="45"/>
      <c r="H474" s="45"/>
      <c r="I474" s="10"/>
    </row>
    <row r="475">
      <c r="A475" s="10"/>
      <c r="B475" s="45"/>
      <c r="C475" s="45"/>
      <c r="D475" s="45"/>
      <c r="E475" s="45"/>
      <c r="F475" s="45"/>
      <c r="G475" s="45"/>
      <c r="H475" s="45"/>
      <c r="I475" s="10"/>
    </row>
    <row r="476">
      <c r="A476" s="10"/>
      <c r="B476" s="45"/>
      <c r="C476" s="45"/>
      <c r="D476" s="45"/>
      <c r="E476" s="45"/>
      <c r="F476" s="45"/>
      <c r="G476" s="45"/>
      <c r="H476" s="45"/>
      <c r="I476" s="10"/>
    </row>
    <row r="477">
      <c r="A477" s="10"/>
      <c r="B477" s="45"/>
      <c r="C477" s="45"/>
      <c r="D477" s="45"/>
      <c r="E477" s="45"/>
      <c r="F477" s="45"/>
      <c r="G477" s="45"/>
      <c r="H477" s="45"/>
      <c r="I477" s="10"/>
    </row>
    <row r="478">
      <c r="A478" s="10"/>
      <c r="B478" s="45"/>
      <c r="C478" s="45"/>
      <c r="D478" s="45"/>
      <c r="E478" s="45"/>
      <c r="F478" s="45"/>
      <c r="G478" s="45"/>
      <c r="H478" s="45"/>
      <c r="I478" s="10"/>
    </row>
    <row r="479">
      <c r="A479" s="10"/>
      <c r="B479" s="45"/>
      <c r="C479" s="45"/>
      <c r="D479" s="45"/>
      <c r="E479" s="45"/>
      <c r="F479" s="45"/>
      <c r="G479" s="45"/>
      <c r="H479" s="45"/>
      <c r="I479" s="10"/>
    </row>
    <row r="480">
      <c r="A480" s="10"/>
      <c r="B480" s="45"/>
      <c r="C480" s="45"/>
      <c r="D480" s="45"/>
      <c r="E480" s="45"/>
      <c r="F480" s="45"/>
      <c r="G480" s="45"/>
      <c r="H480" s="45"/>
      <c r="I480" s="10"/>
    </row>
    <row r="481">
      <c r="A481" s="10"/>
      <c r="B481" s="45"/>
      <c r="C481" s="45"/>
      <c r="D481" s="45"/>
      <c r="E481" s="45"/>
      <c r="F481" s="45"/>
      <c r="G481" s="45"/>
      <c r="H481" s="45"/>
      <c r="I481" s="10"/>
    </row>
    <row r="482">
      <c r="A482" s="10"/>
      <c r="B482" s="45"/>
      <c r="C482" s="45"/>
      <c r="D482" s="45"/>
      <c r="E482" s="45"/>
      <c r="F482" s="45"/>
      <c r="G482" s="45"/>
      <c r="H482" s="45"/>
      <c r="I482" s="10"/>
    </row>
    <row r="483">
      <c r="A483" s="10"/>
      <c r="B483" s="45"/>
      <c r="C483" s="45"/>
      <c r="D483" s="45"/>
      <c r="E483" s="45"/>
      <c r="F483" s="45"/>
      <c r="G483" s="45"/>
      <c r="H483" s="45"/>
      <c r="I483" s="10"/>
    </row>
    <row r="484">
      <c r="A484" s="10"/>
      <c r="B484" s="45"/>
      <c r="C484" s="45"/>
      <c r="D484" s="45"/>
      <c r="E484" s="45"/>
      <c r="F484" s="45"/>
      <c r="G484" s="45"/>
      <c r="H484" s="45"/>
      <c r="I484" s="10"/>
    </row>
    <row r="485">
      <c r="A485" s="10"/>
      <c r="B485" s="45"/>
      <c r="C485" s="45"/>
      <c r="D485" s="45"/>
      <c r="E485" s="45"/>
      <c r="F485" s="45"/>
      <c r="G485" s="45"/>
      <c r="H485" s="45"/>
      <c r="I485" s="10"/>
    </row>
    <row r="486">
      <c r="A486" s="10"/>
      <c r="B486" s="45"/>
      <c r="C486" s="45"/>
      <c r="D486" s="45"/>
      <c r="E486" s="45"/>
      <c r="F486" s="45"/>
      <c r="G486" s="45"/>
      <c r="H486" s="45"/>
      <c r="I486" s="10"/>
    </row>
    <row r="487">
      <c r="A487" s="10"/>
      <c r="B487" s="45"/>
      <c r="C487" s="45"/>
      <c r="D487" s="45"/>
      <c r="E487" s="45"/>
      <c r="F487" s="45"/>
      <c r="G487" s="45"/>
      <c r="H487" s="45"/>
      <c r="I487" s="10"/>
    </row>
    <row r="488">
      <c r="A488" s="10"/>
      <c r="B488" s="45"/>
      <c r="C488" s="45"/>
      <c r="D488" s="45"/>
      <c r="E488" s="45"/>
      <c r="F488" s="45"/>
      <c r="G488" s="45"/>
      <c r="H488" s="45"/>
      <c r="I488" s="10"/>
    </row>
    <row r="489">
      <c r="A489" s="10"/>
      <c r="B489" s="45"/>
      <c r="C489" s="45"/>
      <c r="D489" s="45"/>
      <c r="E489" s="45"/>
      <c r="F489" s="45"/>
      <c r="G489" s="45"/>
      <c r="H489" s="45"/>
      <c r="I489" s="10"/>
    </row>
    <row r="490">
      <c r="A490" s="10"/>
      <c r="B490" s="45"/>
      <c r="C490" s="45"/>
      <c r="D490" s="45"/>
      <c r="E490" s="45"/>
      <c r="F490" s="45"/>
      <c r="G490" s="45"/>
      <c r="H490" s="45"/>
      <c r="I490" s="10"/>
    </row>
    <row r="491">
      <c r="A491" s="10"/>
      <c r="B491" s="45"/>
      <c r="C491" s="45"/>
      <c r="D491" s="45"/>
      <c r="E491" s="45"/>
      <c r="F491" s="45"/>
      <c r="G491" s="45"/>
      <c r="H491" s="45"/>
      <c r="I491" s="10"/>
    </row>
    <row r="492">
      <c r="A492" s="10"/>
      <c r="B492" s="45"/>
      <c r="C492" s="45"/>
      <c r="D492" s="45"/>
      <c r="E492" s="45"/>
      <c r="F492" s="45"/>
      <c r="G492" s="45"/>
      <c r="H492" s="45"/>
      <c r="I492" s="10"/>
    </row>
    <row r="493">
      <c r="A493" s="10"/>
      <c r="B493" s="45"/>
      <c r="C493" s="45"/>
      <c r="D493" s="45"/>
      <c r="E493" s="45"/>
      <c r="F493" s="45"/>
      <c r="G493" s="45"/>
      <c r="H493" s="45"/>
      <c r="I493" s="10"/>
    </row>
    <row r="494">
      <c r="A494" s="10"/>
      <c r="B494" s="45"/>
      <c r="C494" s="45"/>
      <c r="D494" s="45"/>
      <c r="E494" s="45"/>
      <c r="F494" s="45"/>
      <c r="G494" s="45"/>
      <c r="H494" s="45"/>
      <c r="I494" s="10"/>
    </row>
    <row r="495">
      <c r="A495" s="10"/>
      <c r="B495" s="45"/>
      <c r="C495" s="45"/>
      <c r="D495" s="45"/>
      <c r="E495" s="45"/>
      <c r="F495" s="45"/>
      <c r="G495" s="45"/>
      <c r="H495" s="45"/>
      <c r="I495" s="10"/>
    </row>
    <row r="496">
      <c r="A496" s="10"/>
      <c r="B496" s="45"/>
      <c r="C496" s="45"/>
      <c r="D496" s="45"/>
      <c r="E496" s="45"/>
      <c r="F496" s="45"/>
      <c r="G496" s="45"/>
      <c r="H496" s="45"/>
      <c r="I496" s="10"/>
    </row>
    <row r="497">
      <c r="A497" s="10"/>
      <c r="B497" s="45"/>
      <c r="C497" s="45"/>
      <c r="D497" s="45"/>
      <c r="E497" s="45"/>
      <c r="F497" s="45"/>
      <c r="G497" s="45"/>
      <c r="H497" s="45"/>
      <c r="I497" s="10"/>
    </row>
    <row r="498">
      <c r="A498" s="10"/>
      <c r="B498" s="45"/>
      <c r="C498" s="45"/>
      <c r="D498" s="45"/>
      <c r="E498" s="45"/>
      <c r="F498" s="45"/>
      <c r="G498" s="45"/>
      <c r="H498" s="45"/>
      <c r="I498" s="10"/>
    </row>
    <row r="499">
      <c r="A499" s="10"/>
      <c r="B499" s="45"/>
      <c r="C499" s="45"/>
      <c r="D499" s="45"/>
      <c r="E499" s="45"/>
      <c r="F499" s="45"/>
      <c r="G499" s="45"/>
      <c r="H499" s="45"/>
      <c r="I499" s="10"/>
    </row>
    <row r="500">
      <c r="A500" s="10"/>
      <c r="B500" s="45"/>
      <c r="C500" s="45"/>
      <c r="D500" s="45"/>
      <c r="E500" s="45"/>
      <c r="F500" s="45"/>
      <c r="G500" s="45"/>
      <c r="H500" s="45"/>
      <c r="I500" s="10"/>
    </row>
    <row r="501">
      <c r="A501" s="10"/>
      <c r="B501" s="45"/>
      <c r="C501" s="45"/>
      <c r="D501" s="45"/>
      <c r="E501" s="45"/>
      <c r="F501" s="45"/>
      <c r="G501" s="45"/>
      <c r="H501" s="45"/>
      <c r="I501" s="10"/>
    </row>
    <row r="502">
      <c r="A502" s="10"/>
      <c r="B502" s="45"/>
      <c r="C502" s="45"/>
      <c r="D502" s="45"/>
      <c r="E502" s="45"/>
      <c r="F502" s="45"/>
      <c r="G502" s="45"/>
      <c r="H502" s="45"/>
      <c r="I502" s="10"/>
    </row>
    <row r="503">
      <c r="A503" s="10"/>
      <c r="B503" s="45"/>
      <c r="C503" s="45"/>
      <c r="D503" s="45"/>
      <c r="E503" s="45"/>
      <c r="F503" s="45"/>
      <c r="G503" s="45"/>
      <c r="H503" s="45"/>
      <c r="I503" s="10"/>
    </row>
    <row r="504">
      <c r="A504" s="10"/>
      <c r="B504" s="45"/>
      <c r="C504" s="45"/>
      <c r="D504" s="45"/>
      <c r="E504" s="45"/>
      <c r="F504" s="45"/>
      <c r="G504" s="45"/>
      <c r="H504" s="45"/>
      <c r="I504" s="10"/>
    </row>
    <row r="505">
      <c r="A505" s="10"/>
      <c r="B505" s="45"/>
      <c r="C505" s="45"/>
      <c r="D505" s="45"/>
      <c r="E505" s="45"/>
      <c r="F505" s="45"/>
      <c r="G505" s="45"/>
      <c r="H505" s="45"/>
      <c r="I505" s="10"/>
    </row>
    <row r="506">
      <c r="A506" s="10"/>
      <c r="B506" s="45"/>
      <c r="C506" s="45"/>
      <c r="D506" s="45"/>
      <c r="E506" s="45"/>
      <c r="F506" s="45"/>
      <c r="G506" s="45"/>
      <c r="H506" s="45"/>
      <c r="I506" s="10"/>
    </row>
    <row r="507">
      <c r="A507" s="10"/>
      <c r="B507" s="45"/>
      <c r="C507" s="45"/>
      <c r="D507" s="45"/>
      <c r="E507" s="45"/>
      <c r="F507" s="45"/>
      <c r="G507" s="45"/>
      <c r="H507" s="45"/>
      <c r="I507" s="10"/>
    </row>
    <row r="508">
      <c r="A508" s="10"/>
      <c r="B508" s="45"/>
      <c r="C508" s="45"/>
      <c r="D508" s="45"/>
      <c r="E508" s="45"/>
      <c r="F508" s="45"/>
      <c r="G508" s="45"/>
      <c r="H508" s="45"/>
      <c r="I508" s="10"/>
    </row>
    <row r="509">
      <c r="A509" s="10"/>
      <c r="B509" s="45"/>
      <c r="C509" s="45"/>
      <c r="D509" s="45"/>
      <c r="E509" s="45"/>
      <c r="F509" s="45"/>
      <c r="G509" s="45"/>
      <c r="H509" s="45"/>
      <c r="I509" s="10"/>
    </row>
    <row r="510">
      <c r="A510" s="10"/>
      <c r="B510" s="45"/>
      <c r="C510" s="45"/>
      <c r="D510" s="45"/>
      <c r="E510" s="45"/>
      <c r="F510" s="45"/>
      <c r="G510" s="45"/>
      <c r="H510" s="45"/>
      <c r="I510" s="10"/>
    </row>
    <row r="511">
      <c r="A511" s="10"/>
      <c r="B511" s="45"/>
      <c r="C511" s="45"/>
      <c r="D511" s="45"/>
      <c r="E511" s="45"/>
      <c r="F511" s="45"/>
      <c r="G511" s="45"/>
      <c r="H511" s="45"/>
      <c r="I511" s="10"/>
    </row>
    <row r="512">
      <c r="A512" s="10"/>
      <c r="B512" s="45"/>
      <c r="C512" s="45"/>
      <c r="D512" s="45"/>
      <c r="E512" s="45"/>
      <c r="F512" s="45"/>
      <c r="G512" s="45"/>
      <c r="H512" s="45"/>
      <c r="I512" s="10"/>
    </row>
    <row r="513">
      <c r="A513" s="10"/>
      <c r="B513" s="45"/>
      <c r="C513" s="45"/>
      <c r="D513" s="45"/>
      <c r="E513" s="45"/>
      <c r="F513" s="45"/>
      <c r="G513" s="45"/>
      <c r="H513" s="45"/>
      <c r="I513" s="10"/>
    </row>
    <row r="514">
      <c r="A514" s="10"/>
      <c r="B514" s="45"/>
      <c r="C514" s="45"/>
      <c r="D514" s="45"/>
      <c r="E514" s="45"/>
      <c r="F514" s="45"/>
      <c r="G514" s="45"/>
      <c r="H514" s="45"/>
      <c r="I514" s="10"/>
    </row>
    <row r="515">
      <c r="A515" s="10"/>
      <c r="B515" s="45"/>
      <c r="C515" s="45"/>
      <c r="D515" s="45"/>
      <c r="E515" s="45"/>
      <c r="F515" s="45"/>
      <c r="G515" s="45"/>
      <c r="H515" s="45"/>
      <c r="I515" s="10"/>
    </row>
    <row r="516">
      <c r="A516" s="10"/>
      <c r="B516" s="45"/>
      <c r="C516" s="45"/>
      <c r="D516" s="45"/>
      <c r="E516" s="45"/>
      <c r="F516" s="45"/>
      <c r="G516" s="45"/>
      <c r="H516" s="45"/>
      <c r="I516" s="10"/>
    </row>
    <row r="517">
      <c r="A517" s="10"/>
      <c r="B517" s="45"/>
      <c r="C517" s="45"/>
      <c r="D517" s="45"/>
      <c r="E517" s="45"/>
      <c r="F517" s="45"/>
      <c r="G517" s="45"/>
      <c r="H517" s="45"/>
      <c r="I517" s="10"/>
    </row>
    <row r="518">
      <c r="A518" s="10"/>
      <c r="B518" s="45"/>
      <c r="C518" s="45"/>
      <c r="D518" s="45"/>
      <c r="E518" s="45"/>
      <c r="F518" s="45"/>
      <c r="G518" s="45"/>
      <c r="H518" s="45"/>
      <c r="I518" s="10"/>
    </row>
    <row r="519">
      <c r="A519" s="10"/>
      <c r="B519" s="45"/>
      <c r="C519" s="45"/>
      <c r="D519" s="45"/>
      <c r="E519" s="45"/>
      <c r="F519" s="45"/>
      <c r="G519" s="45"/>
      <c r="H519" s="45"/>
      <c r="I519" s="10"/>
    </row>
    <row r="520">
      <c r="A520" s="10"/>
      <c r="B520" s="45"/>
      <c r="C520" s="45"/>
      <c r="D520" s="45"/>
      <c r="E520" s="45"/>
      <c r="F520" s="45"/>
      <c r="G520" s="45"/>
      <c r="H520" s="45"/>
      <c r="I520" s="10"/>
    </row>
    <row r="521">
      <c r="A521" s="10"/>
      <c r="B521" s="45"/>
      <c r="C521" s="45"/>
      <c r="D521" s="45"/>
      <c r="E521" s="45"/>
      <c r="F521" s="45"/>
      <c r="G521" s="45"/>
      <c r="H521" s="45"/>
      <c r="I521" s="10"/>
    </row>
    <row r="522">
      <c r="A522" s="10"/>
      <c r="B522" s="45"/>
      <c r="C522" s="45"/>
      <c r="D522" s="45"/>
      <c r="E522" s="45"/>
      <c r="F522" s="45"/>
      <c r="G522" s="45"/>
      <c r="H522" s="45"/>
      <c r="I522" s="10"/>
    </row>
    <row r="523">
      <c r="A523" s="10"/>
      <c r="B523" s="45"/>
      <c r="C523" s="45"/>
      <c r="D523" s="45"/>
      <c r="E523" s="45"/>
      <c r="F523" s="45"/>
      <c r="G523" s="45"/>
      <c r="H523" s="45"/>
      <c r="I523" s="10"/>
    </row>
    <row r="524">
      <c r="A524" s="10"/>
      <c r="B524" s="45"/>
      <c r="C524" s="45"/>
      <c r="D524" s="45"/>
      <c r="E524" s="45"/>
      <c r="F524" s="45"/>
      <c r="G524" s="45"/>
      <c r="H524" s="45"/>
      <c r="I524" s="10"/>
    </row>
    <row r="525">
      <c r="A525" s="10"/>
      <c r="B525" s="45"/>
      <c r="C525" s="45"/>
      <c r="D525" s="45"/>
      <c r="E525" s="45"/>
      <c r="F525" s="45"/>
      <c r="G525" s="45"/>
      <c r="H525" s="45"/>
      <c r="I525" s="10"/>
    </row>
    <row r="526">
      <c r="A526" s="10"/>
      <c r="B526" s="45"/>
      <c r="C526" s="45"/>
      <c r="D526" s="45"/>
      <c r="E526" s="45"/>
      <c r="F526" s="45"/>
      <c r="G526" s="45"/>
      <c r="H526" s="45"/>
      <c r="I526" s="10"/>
    </row>
    <row r="527">
      <c r="A527" s="10"/>
      <c r="B527" s="45"/>
      <c r="C527" s="45"/>
      <c r="D527" s="45"/>
      <c r="E527" s="45"/>
      <c r="F527" s="45"/>
      <c r="G527" s="45"/>
      <c r="H527" s="45"/>
      <c r="I527" s="10"/>
    </row>
    <row r="528">
      <c r="A528" s="10"/>
      <c r="B528" s="45"/>
      <c r="C528" s="45"/>
      <c r="D528" s="45"/>
      <c r="E528" s="45"/>
      <c r="F528" s="45"/>
      <c r="G528" s="45"/>
      <c r="H528" s="45"/>
      <c r="I528" s="10"/>
    </row>
    <row r="529">
      <c r="A529" s="10"/>
      <c r="B529" s="45"/>
      <c r="C529" s="45"/>
      <c r="D529" s="45"/>
      <c r="E529" s="45"/>
      <c r="F529" s="45"/>
      <c r="G529" s="45"/>
      <c r="H529" s="45"/>
      <c r="I529" s="10"/>
    </row>
    <row r="530">
      <c r="A530" s="10"/>
      <c r="B530" s="45"/>
      <c r="C530" s="45"/>
      <c r="D530" s="45"/>
      <c r="E530" s="45"/>
      <c r="F530" s="45"/>
      <c r="G530" s="45"/>
      <c r="H530" s="45"/>
      <c r="I530" s="10"/>
    </row>
    <row r="531">
      <c r="A531" s="10"/>
      <c r="B531" s="45"/>
      <c r="C531" s="45"/>
      <c r="D531" s="45"/>
      <c r="E531" s="45"/>
      <c r="F531" s="45"/>
      <c r="G531" s="45"/>
      <c r="H531" s="45"/>
      <c r="I531" s="10"/>
    </row>
    <row r="532">
      <c r="A532" s="10"/>
      <c r="B532" s="45"/>
      <c r="C532" s="45"/>
      <c r="D532" s="45"/>
      <c r="E532" s="45"/>
      <c r="F532" s="45"/>
      <c r="G532" s="45"/>
      <c r="H532" s="45"/>
      <c r="I532" s="10"/>
    </row>
    <row r="533">
      <c r="A533" s="10"/>
      <c r="B533" s="45"/>
      <c r="C533" s="45"/>
      <c r="D533" s="45"/>
      <c r="E533" s="45"/>
      <c r="F533" s="45"/>
      <c r="G533" s="45"/>
      <c r="H533" s="45"/>
      <c r="I533" s="10"/>
    </row>
    <row r="534">
      <c r="A534" s="10"/>
      <c r="B534" s="45"/>
      <c r="C534" s="45"/>
      <c r="D534" s="45"/>
      <c r="E534" s="45"/>
      <c r="F534" s="45"/>
      <c r="G534" s="45"/>
      <c r="H534" s="45"/>
      <c r="I534" s="10"/>
    </row>
    <row r="535">
      <c r="A535" s="10"/>
      <c r="B535" s="45"/>
      <c r="C535" s="45"/>
      <c r="D535" s="45"/>
      <c r="E535" s="45"/>
      <c r="F535" s="45"/>
      <c r="G535" s="45"/>
      <c r="H535" s="45"/>
      <c r="I535" s="10"/>
    </row>
    <row r="536">
      <c r="A536" s="10"/>
      <c r="B536" s="45"/>
      <c r="C536" s="45"/>
      <c r="D536" s="45"/>
      <c r="E536" s="45"/>
      <c r="F536" s="45"/>
      <c r="G536" s="45"/>
      <c r="H536" s="45"/>
      <c r="I536" s="10"/>
    </row>
    <row r="537">
      <c r="A537" s="10"/>
      <c r="B537" s="45"/>
      <c r="C537" s="45"/>
      <c r="D537" s="45"/>
      <c r="E537" s="45"/>
      <c r="F537" s="45"/>
      <c r="G537" s="45"/>
      <c r="H537" s="45"/>
      <c r="I537" s="10"/>
    </row>
    <row r="538">
      <c r="A538" s="10"/>
      <c r="B538" s="45"/>
      <c r="C538" s="45"/>
      <c r="D538" s="45"/>
      <c r="E538" s="45"/>
      <c r="F538" s="45"/>
      <c r="G538" s="45"/>
      <c r="H538" s="45"/>
      <c r="I538" s="10"/>
    </row>
    <row r="539">
      <c r="A539" s="10"/>
      <c r="B539" s="45"/>
      <c r="C539" s="45"/>
      <c r="D539" s="45"/>
      <c r="E539" s="45"/>
      <c r="F539" s="45"/>
      <c r="G539" s="45"/>
      <c r="H539" s="45"/>
      <c r="I539" s="10"/>
    </row>
    <row r="540">
      <c r="A540" s="10"/>
      <c r="B540" s="45"/>
      <c r="C540" s="45"/>
      <c r="D540" s="45"/>
      <c r="E540" s="45"/>
      <c r="F540" s="45"/>
      <c r="G540" s="45"/>
      <c r="H540" s="45"/>
      <c r="I540" s="10"/>
    </row>
    <row r="541">
      <c r="A541" s="10"/>
      <c r="B541" s="45"/>
      <c r="C541" s="45"/>
      <c r="D541" s="45"/>
      <c r="E541" s="45"/>
      <c r="F541" s="45"/>
      <c r="G541" s="45"/>
      <c r="H541" s="45"/>
      <c r="I541" s="10"/>
    </row>
    <row r="542">
      <c r="A542" s="10"/>
      <c r="B542" s="45"/>
      <c r="C542" s="45"/>
      <c r="D542" s="45"/>
      <c r="E542" s="45"/>
      <c r="F542" s="45"/>
      <c r="G542" s="45"/>
      <c r="H542" s="45"/>
      <c r="I542" s="10"/>
    </row>
    <row r="543">
      <c r="A543" s="10"/>
      <c r="B543" s="45"/>
      <c r="C543" s="45"/>
      <c r="D543" s="45"/>
      <c r="E543" s="45"/>
      <c r="F543" s="45"/>
      <c r="G543" s="45"/>
      <c r="H543" s="45"/>
      <c r="I543" s="10"/>
    </row>
    <row r="544">
      <c r="A544" s="10"/>
      <c r="B544" s="45"/>
      <c r="C544" s="45"/>
      <c r="D544" s="45"/>
      <c r="E544" s="45"/>
      <c r="F544" s="45"/>
      <c r="G544" s="45"/>
      <c r="H544" s="45"/>
      <c r="I544" s="10"/>
    </row>
    <row r="545">
      <c r="A545" s="10"/>
      <c r="B545" s="45"/>
      <c r="C545" s="45"/>
      <c r="D545" s="45"/>
      <c r="E545" s="45"/>
      <c r="F545" s="45"/>
      <c r="G545" s="45"/>
      <c r="H545" s="45"/>
      <c r="I545" s="10"/>
    </row>
    <row r="546">
      <c r="A546" s="10"/>
      <c r="B546" s="45"/>
      <c r="C546" s="45"/>
      <c r="D546" s="45"/>
      <c r="E546" s="45"/>
      <c r="F546" s="45"/>
      <c r="G546" s="45"/>
      <c r="H546" s="45"/>
      <c r="I546" s="10"/>
    </row>
    <row r="547">
      <c r="A547" s="10"/>
      <c r="B547" s="45"/>
      <c r="C547" s="45"/>
      <c r="D547" s="45"/>
      <c r="E547" s="45"/>
      <c r="F547" s="45"/>
      <c r="G547" s="45"/>
      <c r="H547" s="45"/>
      <c r="I547" s="10"/>
    </row>
    <row r="548">
      <c r="A548" s="10"/>
      <c r="B548" s="45"/>
      <c r="C548" s="45"/>
      <c r="D548" s="45"/>
      <c r="E548" s="45"/>
      <c r="F548" s="45"/>
      <c r="G548" s="45"/>
      <c r="H548" s="45"/>
      <c r="I548" s="10"/>
    </row>
    <row r="549">
      <c r="A549" s="10"/>
      <c r="B549" s="45"/>
      <c r="C549" s="45"/>
      <c r="D549" s="45"/>
      <c r="E549" s="45"/>
      <c r="F549" s="45"/>
      <c r="G549" s="45"/>
      <c r="H549" s="45"/>
      <c r="I549" s="10"/>
    </row>
    <row r="550">
      <c r="A550" s="10"/>
      <c r="B550" s="45"/>
      <c r="C550" s="45"/>
      <c r="D550" s="45"/>
      <c r="E550" s="45"/>
      <c r="F550" s="45"/>
      <c r="G550" s="45"/>
      <c r="H550" s="45"/>
      <c r="I550" s="10"/>
    </row>
    <row r="551">
      <c r="A551" s="10"/>
      <c r="B551" s="45"/>
      <c r="C551" s="45"/>
      <c r="D551" s="45"/>
      <c r="E551" s="45"/>
      <c r="F551" s="45"/>
      <c r="G551" s="45"/>
      <c r="H551" s="45"/>
      <c r="I551" s="10"/>
    </row>
    <row r="552">
      <c r="A552" s="10"/>
      <c r="B552" s="45"/>
      <c r="C552" s="45"/>
      <c r="D552" s="45"/>
      <c r="E552" s="45"/>
      <c r="F552" s="45"/>
      <c r="G552" s="45"/>
      <c r="H552" s="45"/>
      <c r="I552" s="10"/>
    </row>
    <row r="553">
      <c r="A553" s="10"/>
      <c r="B553" s="45"/>
      <c r="C553" s="45"/>
      <c r="D553" s="45"/>
      <c r="E553" s="45"/>
      <c r="F553" s="45"/>
      <c r="G553" s="45"/>
      <c r="H553" s="45"/>
      <c r="I553" s="10"/>
    </row>
    <row r="554">
      <c r="A554" s="10"/>
      <c r="B554" s="45"/>
      <c r="C554" s="45"/>
      <c r="D554" s="45"/>
      <c r="E554" s="45"/>
      <c r="F554" s="45"/>
      <c r="G554" s="45"/>
      <c r="H554" s="45"/>
      <c r="I554" s="10"/>
    </row>
    <row r="555">
      <c r="A555" s="10"/>
      <c r="B555" s="45"/>
      <c r="C555" s="45"/>
      <c r="D555" s="45"/>
      <c r="E555" s="45"/>
      <c r="F555" s="45"/>
      <c r="G555" s="45"/>
      <c r="H555" s="45"/>
      <c r="I555" s="10"/>
    </row>
    <row r="556">
      <c r="A556" s="10"/>
      <c r="B556" s="45"/>
      <c r="C556" s="45"/>
      <c r="D556" s="45"/>
      <c r="E556" s="45"/>
      <c r="F556" s="45"/>
      <c r="G556" s="45"/>
      <c r="H556" s="45"/>
      <c r="I556" s="10"/>
    </row>
    <row r="557">
      <c r="A557" s="10"/>
      <c r="B557" s="45"/>
      <c r="C557" s="45"/>
      <c r="D557" s="45"/>
      <c r="E557" s="45"/>
      <c r="F557" s="45"/>
      <c r="G557" s="45"/>
      <c r="H557" s="45"/>
      <c r="I557" s="10"/>
    </row>
    <row r="558">
      <c r="A558" s="10"/>
      <c r="B558" s="45"/>
      <c r="C558" s="45"/>
      <c r="D558" s="45"/>
      <c r="E558" s="45"/>
      <c r="F558" s="45"/>
      <c r="G558" s="45"/>
      <c r="H558" s="45"/>
      <c r="I558" s="10"/>
    </row>
    <row r="559">
      <c r="A559" s="10"/>
      <c r="B559" s="45"/>
      <c r="C559" s="45"/>
      <c r="D559" s="45"/>
      <c r="E559" s="45"/>
      <c r="F559" s="45"/>
      <c r="G559" s="45"/>
      <c r="H559" s="45"/>
      <c r="I559" s="10"/>
    </row>
    <row r="560">
      <c r="A560" s="10"/>
      <c r="B560" s="45"/>
      <c r="C560" s="45"/>
      <c r="D560" s="45"/>
      <c r="E560" s="45"/>
      <c r="F560" s="45"/>
      <c r="G560" s="45"/>
      <c r="H560" s="45"/>
      <c r="I560" s="10"/>
    </row>
    <row r="561">
      <c r="A561" s="10"/>
      <c r="B561" s="45"/>
      <c r="C561" s="45"/>
      <c r="D561" s="45"/>
      <c r="E561" s="45"/>
      <c r="F561" s="45"/>
      <c r="G561" s="45"/>
      <c r="H561" s="45"/>
      <c r="I561" s="10"/>
    </row>
    <row r="562">
      <c r="A562" s="10"/>
      <c r="B562" s="45"/>
      <c r="C562" s="45"/>
      <c r="D562" s="45"/>
      <c r="E562" s="45"/>
      <c r="F562" s="45"/>
      <c r="G562" s="45"/>
      <c r="H562" s="45"/>
      <c r="I562" s="10"/>
    </row>
    <row r="563">
      <c r="A563" s="10"/>
      <c r="B563" s="45"/>
      <c r="C563" s="45"/>
      <c r="D563" s="45"/>
      <c r="E563" s="45"/>
      <c r="F563" s="45"/>
      <c r="G563" s="45"/>
      <c r="H563" s="45"/>
      <c r="I563" s="10"/>
    </row>
    <row r="564">
      <c r="A564" s="10"/>
      <c r="B564" s="45"/>
      <c r="C564" s="45"/>
      <c r="D564" s="45"/>
      <c r="E564" s="45"/>
      <c r="F564" s="45"/>
      <c r="G564" s="45"/>
      <c r="H564" s="45"/>
      <c r="I564" s="10"/>
    </row>
    <row r="565">
      <c r="A565" s="10"/>
      <c r="B565" s="45"/>
      <c r="C565" s="45"/>
      <c r="D565" s="45"/>
      <c r="E565" s="45"/>
      <c r="F565" s="45"/>
      <c r="G565" s="45"/>
      <c r="H565" s="45"/>
      <c r="I565" s="10"/>
    </row>
    <row r="566">
      <c r="A566" s="10"/>
      <c r="B566" s="45"/>
      <c r="C566" s="45"/>
      <c r="D566" s="45"/>
      <c r="E566" s="45"/>
      <c r="F566" s="45"/>
      <c r="G566" s="45"/>
      <c r="H566" s="45"/>
      <c r="I566" s="10"/>
    </row>
    <row r="567">
      <c r="A567" s="10"/>
      <c r="B567" s="45"/>
      <c r="C567" s="45"/>
      <c r="D567" s="45"/>
      <c r="E567" s="45"/>
      <c r="F567" s="45"/>
      <c r="G567" s="45"/>
      <c r="H567" s="45"/>
      <c r="I567" s="10"/>
    </row>
    <row r="568">
      <c r="A568" s="10"/>
      <c r="B568" s="45"/>
      <c r="C568" s="45"/>
      <c r="D568" s="45"/>
      <c r="E568" s="45"/>
      <c r="F568" s="45"/>
      <c r="G568" s="45"/>
      <c r="H568" s="45"/>
      <c r="I568" s="10"/>
    </row>
    <row r="569">
      <c r="A569" s="10"/>
      <c r="B569" s="45"/>
      <c r="C569" s="45"/>
      <c r="D569" s="45"/>
      <c r="E569" s="45"/>
      <c r="F569" s="45"/>
      <c r="G569" s="45"/>
      <c r="H569" s="45"/>
      <c r="I569" s="10"/>
    </row>
    <row r="570">
      <c r="A570" s="10"/>
      <c r="B570" s="45"/>
      <c r="C570" s="45"/>
      <c r="D570" s="45"/>
      <c r="E570" s="45"/>
      <c r="F570" s="45"/>
      <c r="G570" s="45"/>
      <c r="H570" s="45"/>
      <c r="I570" s="10"/>
    </row>
    <row r="571">
      <c r="A571" s="10"/>
      <c r="B571" s="45"/>
      <c r="C571" s="45"/>
      <c r="D571" s="45"/>
      <c r="E571" s="45"/>
      <c r="F571" s="45"/>
      <c r="G571" s="45"/>
      <c r="H571" s="45"/>
      <c r="I571" s="10"/>
    </row>
    <row r="572">
      <c r="A572" s="10"/>
      <c r="B572" s="45"/>
      <c r="C572" s="45"/>
      <c r="D572" s="45"/>
      <c r="E572" s="45"/>
      <c r="F572" s="45"/>
      <c r="G572" s="45"/>
      <c r="H572" s="45"/>
      <c r="I572" s="10"/>
    </row>
    <row r="573">
      <c r="A573" s="10"/>
      <c r="B573" s="45"/>
      <c r="C573" s="45"/>
      <c r="D573" s="45"/>
      <c r="E573" s="45"/>
      <c r="F573" s="45"/>
      <c r="G573" s="45"/>
      <c r="H573" s="45"/>
      <c r="I573" s="10"/>
    </row>
    <row r="574">
      <c r="A574" s="10"/>
      <c r="B574" s="45"/>
      <c r="C574" s="45"/>
      <c r="D574" s="45"/>
      <c r="E574" s="45"/>
      <c r="F574" s="45"/>
      <c r="G574" s="45"/>
      <c r="H574" s="45"/>
      <c r="I574" s="10"/>
    </row>
    <row r="575">
      <c r="A575" s="10"/>
      <c r="B575" s="45"/>
      <c r="C575" s="45"/>
      <c r="D575" s="45"/>
      <c r="E575" s="45"/>
      <c r="F575" s="45"/>
      <c r="G575" s="45"/>
      <c r="H575" s="45"/>
      <c r="I575" s="10"/>
    </row>
    <row r="576">
      <c r="A576" s="10"/>
      <c r="B576" s="45"/>
      <c r="C576" s="45"/>
      <c r="D576" s="45"/>
      <c r="E576" s="45"/>
      <c r="F576" s="45"/>
      <c r="G576" s="45"/>
      <c r="H576" s="45"/>
      <c r="I576" s="10"/>
    </row>
    <row r="577">
      <c r="A577" s="10"/>
      <c r="B577" s="45"/>
      <c r="C577" s="45"/>
      <c r="D577" s="45"/>
      <c r="E577" s="45"/>
      <c r="F577" s="45"/>
      <c r="G577" s="45"/>
      <c r="H577" s="45"/>
      <c r="I577" s="10"/>
    </row>
    <row r="578">
      <c r="A578" s="10"/>
      <c r="B578" s="45"/>
      <c r="C578" s="45"/>
      <c r="D578" s="45"/>
      <c r="E578" s="45"/>
      <c r="F578" s="45"/>
      <c r="G578" s="45"/>
      <c r="H578" s="45"/>
      <c r="I578" s="10"/>
    </row>
    <row r="579">
      <c r="A579" s="10"/>
      <c r="B579" s="45"/>
      <c r="C579" s="45"/>
      <c r="D579" s="45"/>
      <c r="E579" s="45"/>
      <c r="F579" s="45"/>
      <c r="G579" s="45"/>
      <c r="H579" s="45"/>
      <c r="I579" s="10"/>
    </row>
    <row r="580">
      <c r="A580" s="10"/>
      <c r="B580" s="45"/>
      <c r="C580" s="45"/>
      <c r="D580" s="45"/>
      <c r="E580" s="45"/>
      <c r="F580" s="45"/>
      <c r="G580" s="45"/>
      <c r="H580" s="45"/>
      <c r="I580" s="10"/>
    </row>
    <row r="581">
      <c r="A581" s="10"/>
      <c r="B581" s="45"/>
      <c r="C581" s="45"/>
      <c r="D581" s="45"/>
      <c r="E581" s="45"/>
      <c r="F581" s="45"/>
      <c r="G581" s="45"/>
      <c r="H581" s="45"/>
      <c r="I581" s="10"/>
    </row>
    <row r="582">
      <c r="A582" s="10"/>
      <c r="B582" s="45"/>
      <c r="C582" s="45"/>
      <c r="D582" s="45"/>
      <c r="E582" s="45"/>
      <c r="F582" s="45"/>
      <c r="G582" s="45"/>
      <c r="H582" s="45"/>
      <c r="I582" s="10"/>
    </row>
    <row r="583">
      <c r="A583" s="10"/>
      <c r="B583" s="45"/>
      <c r="C583" s="45"/>
      <c r="D583" s="45"/>
      <c r="E583" s="45"/>
      <c r="F583" s="45"/>
      <c r="G583" s="45"/>
      <c r="H583" s="45"/>
      <c r="I583" s="10"/>
    </row>
    <row r="584">
      <c r="A584" s="10"/>
      <c r="B584" s="45"/>
      <c r="C584" s="45"/>
      <c r="D584" s="45"/>
      <c r="E584" s="45"/>
      <c r="F584" s="45"/>
      <c r="G584" s="45"/>
      <c r="H584" s="45"/>
      <c r="I584" s="10"/>
    </row>
    <row r="585">
      <c r="A585" s="10"/>
      <c r="B585" s="45"/>
      <c r="C585" s="45"/>
      <c r="D585" s="45"/>
      <c r="E585" s="45"/>
      <c r="F585" s="45"/>
      <c r="G585" s="45"/>
      <c r="H585" s="45"/>
      <c r="I585" s="10"/>
    </row>
    <row r="586">
      <c r="A586" s="10"/>
      <c r="B586" s="45"/>
      <c r="C586" s="45"/>
      <c r="D586" s="45"/>
      <c r="E586" s="45"/>
      <c r="F586" s="45"/>
      <c r="G586" s="45"/>
      <c r="H586" s="45"/>
      <c r="I586" s="10"/>
    </row>
    <row r="587">
      <c r="A587" s="10"/>
      <c r="B587" s="45"/>
      <c r="C587" s="45"/>
      <c r="D587" s="45"/>
      <c r="E587" s="45"/>
      <c r="F587" s="45"/>
      <c r="G587" s="45"/>
      <c r="H587" s="45"/>
      <c r="I587" s="10"/>
    </row>
    <row r="588">
      <c r="A588" s="10"/>
      <c r="B588" s="45"/>
      <c r="C588" s="45"/>
      <c r="D588" s="45"/>
      <c r="E588" s="45"/>
      <c r="F588" s="45"/>
      <c r="G588" s="45"/>
      <c r="H588" s="45"/>
      <c r="I588" s="10"/>
    </row>
    <row r="589">
      <c r="A589" s="10"/>
      <c r="B589" s="45"/>
      <c r="C589" s="45"/>
      <c r="D589" s="45"/>
      <c r="E589" s="45"/>
      <c r="F589" s="45"/>
      <c r="G589" s="45"/>
      <c r="H589" s="45"/>
      <c r="I589" s="10"/>
    </row>
    <row r="590">
      <c r="A590" s="10"/>
      <c r="B590" s="45"/>
      <c r="C590" s="45"/>
      <c r="D590" s="45"/>
      <c r="E590" s="45"/>
      <c r="F590" s="45"/>
      <c r="G590" s="45"/>
      <c r="H590" s="45"/>
      <c r="I590" s="10"/>
    </row>
    <row r="591">
      <c r="A591" s="10"/>
      <c r="B591" s="45"/>
      <c r="C591" s="45"/>
      <c r="D591" s="45"/>
      <c r="E591" s="45"/>
      <c r="F591" s="45"/>
      <c r="G591" s="45"/>
      <c r="H591" s="45"/>
      <c r="I591" s="10"/>
    </row>
    <row r="592">
      <c r="A592" s="10"/>
      <c r="B592" s="45"/>
      <c r="C592" s="45"/>
      <c r="D592" s="45"/>
      <c r="E592" s="45"/>
      <c r="F592" s="45"/>
      <c r="G592" s="45"/>
      <c r="H592" s="45"/>
      <c r="I592" s="10"/>
    </row>
    <row r="593">
      <c r="A593" s="10"/>
      <c r="B593" s="45"/>
      <c r="C593" s="45"/>
      <c r="D593" s="45"/>
      <c r="E593" s="45"/>
      <c r="F593" s="45"/>
      <c r="G593" s="45"/>
      <c r="H593" s="45"/>
      <c r="I593" s="10"/>
    </row>
    <row r="594">
      <c r="A594" s="10"/>
      <c r="B594" s="45"/>
      <c r="C594" s="45"/>
      <c r="D594" s="45"/>
      <c r="E594" s="45"/>
      <c r="F594" s="45"/>
      <c r="G594" s="45"/>
      <c r="H594" s="45"/>
      <c r="I594" s="10"/>
    </row>
    <row r="595">
      <c r="A595" s="10"/>
      <c r="B595" s="45"/>
      <c r="C595" s="45"/>
      <c r="D595" s="45"/>
      <c r="E595" s="45"/>
      <c r="F595" s="45"/>
      <c r="G595" s="45"/>
      <c r="H595" s="45"/>
      <c r="I595" s="10"/>
    </row>
    <row r="596">
      <c r="A596" s="10"/>
      <c r="B596" s="45"/>
      <c r="C596" s="45"/>
      <c r="D596" s="45"/>
      <c r="E596" s="45"/>
      <c r="F596" s="45"/>
      <c r="G596" s="45"/>
      <c r="H596" s="45"/>
      <c r="I596" s="10"/>
    </row>
    <row r="597">
      <c r="A597" s="10"/>
      <c r="B597" s="45"/>
      <c r="C597" s="45"/>
      <c r="D597" s="45"/>
      <c r="E597" s="45"/>
      <c r="F597" s="45"/>
      <c r="G597" s="45"/>
      <c r="H597" s="45"/>
      <c r="I597" s="10"/>
    </row>
    <row r="598">
      <c r="A598" s="10"/>
      <c r="B598" s="45"/>
      <c r="C598" s="45"/>
      <c r="D598" s="45"/>
      <c r="E598" s="45"/>
      <c r="F598" s="45"/>
      <c r="G598" s="45"/>
      <c r="H598" s="45"/>
      <c r="I598" s="10"/>
    </row>
    <row r="599">
      <c r="A599" s="10"/>
      <c r="B599" s="45"/>
      <c r="C599" s="45"/>
      <c r="D599" s="45"/>
      <c r="E599" s="45"/>
      <c r="F599" s="45"/>
      <c r="G599" s="45"/>
      <c r="H599" s="45"/>
      <c r="I599" s="10"/>
    </row>
    <row r="600">
      <c r="A600" s="10"/>
      <c r="B600" s="45"/>
      <c r="C600" s="45"/>
      <c r="D600" s="45"/>
      <c r="E600" s="45"/>
      <c r="F600" s="45"/>
      <c r="G600" s="45"/>
      <c r="H600" s="45"/>
      <c r="I600" s="10"/>
    </row>
    <row r="601">
      <c r="A601" s="10"/>
      <c r="B601" s="45"/>
      <c r="C601" s="45"/>
      <c r="D601" s="45"/>
      <c r="E601" s="45"/>
      <c r="F601" s="45"/>
      <c r="G601" s="45"/>
      <c r="H601" s="45"/>
      <c r="I601" s="10"/>
    </row>
    <row r="602">
      <c r="A602" s="10"/>
      <c r="B602" s="45"/>
      <c r="C602" s="45"/>
      <c r="D602" s="45"/>
      <c r="E602" s="45"/>
      <c r="F602" s="45"/>
      <c r="G602" s="45"/>
      <c r="H602" s="45"/>
      <c r="I602" s="10"/>
    </row>
    <row r="603">
      <c r="A603" s="10"/>
      <c r="B603" s="45"/>
      <c r="C603" s="45"/>
      <c r="D603" s="45"/>
      <c r="E603" s="45"/>
      <c r="F603" s="45"/>
      <c r="G603" s="45"/>
      <c r="H603" s="45"/>
      <c r="I603" s="10"/>
    </row>
    <row r="604">
      <c r="A604" s="10"/>
      <c r="B604" s="45"/>
      <c r="C604" s="45"/>
      <c r="D604" s="45"/>
      <c r="E604" s="45"/>
      <c r="F604" s="45"/>
      <c r="G604" s="45"/>
      <c r="H604" s="45"/>
      <c r="I604" s="10"/>
    </row>
    <row r="605">
      <c r="A605" s="10"/>
      <c r="B605" s="45"/>
      <c r="C605" s="45"/>
      <c r="D605" s="45"/>
      <c r="E605" s="45"/>
      <c r="F605" s="45"/>
      <c r="G605" s="45"/>
      <c r="H605" s="45"/>
      <c r="I605" s="10"/>
    </row>
    <row r="606">
      <c r="A606" s="10"/>
      <c r="B606" s="45"/>
      <c r="C606" s="45"/>
      <c r="D606" s="45"/>
      <c r="E606" s="45"/>
      <c r="F606" s="45"/>
      <c r="G606" s="45"/>
      <c r="H606" s="45"/>
      <c r="I606" s="10"/>
    </row>
    <row r="607">
      <c r="A607" s="10"/>
      <c r="B607" s="45"/>
      <c r="C607" s="45"/>
      <c r="D607" s="45"/>
      <c r="E607" s="45"/>
      <c r="F607" s="45"/>
      <c r="G607" s="45"/>
      <c r="H607" s="45"/>
      <c r="I607" s="10"/>
    </row>
    <row r="608">
      <c r="A608" s="10"/>
      <c r="B608" s="45"/>
      <c r="C608" s="45"/>
      <c r="D608" s="45"/>
      <c r="E608" s="45"/>
      <c r="F608" s="45"/>
      <c r="G608" s="45"/>
      <c r="H608" s="45"/>
      <c r="I608" s="10"/>
    </row>
    <row r="609">
      <c r="A609" s="10"/>
      <c r="B609" s="45"/>
      <c r="C609" s="45"/>
      <c r="D609" s="45"/>
      <c r="E609" s="45"/>
      <c r="F609" s="45"/>
      <c r="G609" s="45"/>
      <c r="H609" s="45"/>
      <c r="I609" s="10"/>
    </row>
    <row r="610">
      <c r="A610" s="10"/>
      <c r="B610" s="45"/>
      <c r="C610" s="45"/>
      <c r="D610" s="45"/>
      <c r="E610" s="45"/>
      <c r="F610" s="45"/>
      <c r="G610" s="45"/>
      <c r="H610" s="45"/>
      <c r="I610" s="10"/>
    </row>
    <row r="611">
      <c r="A611" s="10"/>
      <c r="B611" s="45"/>
      <c r="C611" s="45"/>
      <c r="D611" s="45"/>
      <c r="E611" s="45"/>
      <c r="F611" s="45"/>
      <c r="G611" s="45"/>
      <c r="H611" s="45"/>
      <c r="I611" s="10"/>
    </row>
    <row r="612">
      <c r="A612" s="10"/>
      <c r="B612" s="45"/>
      <c r="C612" s="45"/>
      <c r="D612" s="45"/>
      <c r="E612" s="45"/>
      <c r="F612" s="45"/>
      <c r="G612" s="45"/>
      <c r="H612" s="45"/>
      <c r="I612" s="10"/>
    </row>
    <row r="613">
      <c r="A613" s="10"/>
      <c r="B613" s="45"/>
      <c r="C613" s="45"/>
      <c r="D613" s="45"/>
      <c r="E613" s="45"/>
      <c r="F613" s="45"/>
      <c r="G613" s="45"/>
      <c r="H613" s="45"/>
      <c r="I613" s="10"/>
    </row>
    <row r="614">
      <c r="A614" s="10"/>
      <c r="B614" s="45"/>
      <c r="C614" s="45"/>
      <c r="D614" s="45"/>
      <c r="E614" s="45"/>
      <c r="F614" s="45"/>
      <c r="G614" s="45"/>
      <c r="H614" s="45"/>
      <c r="I614" s="10"/>
    </row>
    <row r="615">
      <c r="A615" s="10"/>
      <c r="B615" s="45"/>
      <c r="C615" s="45"/>
      <c r="D615" s="45"/>
      <c r="E615" s="45"/>
      <c r="F615" s="45"/>
      <c r="G615" s="45"/>
      <c r="H615" s="45"/>
      <c r="I615" s="10"/>
    </row>
    <row r="616">
      <c r="A616" s="10"/>
      <c r="B616" s="45"/>
      <c r="C616" s="45"/>
      <c r="D616" s="45"/>
      <c r="E616" s="45"/>
      <c r="F616" s="45"/>
      <c r="G616" s="45"/>
      <c r="H616" s="45"/>
      <c r="I616" s="10"/>
    </row>
    <row r="617">
      <c r="A617" s="10"/>
      <c r="B617" s="45"/>
      <c r="C617" s="45"/>
      <c r="D617" s="45"/>
      <c r="E617" s="45"/>
      <c r="F617" s="45"/>
      <c r="G617" s="45"/>
      <c r="H617" s="45"/>
      <c r="I617" s="10"/>
    </row>
    <row r="618">
      <c r="A618" s="10"/>
      <c r="B618" s="45"/>
      <c r="C618" s="45"/>
      <c r="D618" s="45"/>
      <c r="E618" s="45"/>
      <c r="F618" s="45"/>
      <c r="G618" s="45"/>
      <c r="H618" s="45"/>
      <c r="I618" s="10"/>
    </row>
    <row r="619">
      <c r="A619" s="10"/>
      <c r="B619" s="45"/>
      <c r="C619" s="45"/>
      <c r="D619" s="45"/>
      <c r="E619" s="45"/>
      <c r="F619" s="45"/>
      <c r="G619" s="45"/>
      <c r="H619" s="45"/>
      <c r="I619" s="10"/>
    </row>
    <row r="620">
      <c r="A620" s="10"/>
      <c r="B620" s="45"/>
      <c r="C620" s="45"/>
      <c r="D620" s="45"/>
      <c r="E620" s="45"/>
      <c r="F620" s="45"/>
      <c r="G620" s="45"/>
      <c r="H620" s="45"/>
      <c r="I620" s="10"/>
    </row>
    <row r="621">
      <c r="A621" s="10"/>
      <c r="B621" s="45"/>
      <c r="C621" s="45"/>
      <c r="D621" s="45"/>
      <c r="E621" s="45"/>
      <c r="F621" s="45"/>
      <c r="G621" s="45"/>
      <c r="H621" s="45"/>
      <c r="I621" s="10"/>
    </row>
    <row r="622">
      <c r="A622" s="10"/>
      <c r="B622" s="45"/>
      <c r="C622" s="45"/>
      <c r="D622" s="45"/>
      <c r="E622" s="45"/>
      <c r="F622" s="45"/>
      <c r="G622" s="45"/>
      <c r="H622" s="45"/>
      <c r="I622" s="10"/>
    </row>
    <row r="623">
      <c r="A623" s="10"/>
      <c r="B623" s="45"/>
      <c r="C623" s="45"/>
      <c r="D623" s="45"/>
      <c r="E623" s="45"/>
      <c r="F623" s="45"/>
      <c r="G623" s="45"/>
      <c r="H623" s="45"/>
      <c r="I623" s="10"/>
    </row>
    <row r="624">
      <c r="A624" s="10"/>
      <c r="B624" s="45"/>
      <c r="C624" s="45"/>
      <c r="D624" s="45"/>
      <c r="E624" s="45"/>
      <c r="F624" s="45"/>
      <c r="G624" s="45"/>
      <c r="H624" s="45"/>
      <c r="I624" s="10"/>
    </row>
    <row r="625">
      <c r="A625" s="10"/>
      <c r="B625" s="45"/>
      <c r="C625" s="45"/>
      <c r="D625" s="45"/>
      <c r="E625" s="45"/>
      <c r="F625" s="45"/>
      <c r="G625" s="45"/>
      <c r="H625" s="45"/>
      <c r="I625" s="10"/>
    </row>
    <row r="626">
      <c r="A626" s="10"/>
      <c r="B626" s="45"/>
      <c r="C626" s="45"/>
      <c r="D626" s="45"/>
      <c r="E626" s="45"/>
      <c r="F626" s="45"/>
      <c r="G626" s="45"/>
      <c r="H626" s="45"/>
      <c r="I626" s="10"/>
    </row>
    <row r="627">
      <c r="A627" s="10"/>
      <c r="B627" s="45"/>
      <c r="C627" s="45"/>
      <c r="D627" s="45"/>
      <c r="E627" s="45"/>
      <c r="F627" s="45"/>
      <c r="G627" s="45"/>
      <c r="H627" s="45"/>
      <c r="I627" s="10"/>
    </row>
    <row r="628">
      <c r="A628" s="10"/>
      <c r="B628" s="45"/>
      <c r="C628" s="45"/>
      <c r="D628" s="45"/>
      <c r="E628" s="45"/>
      <c r="F628" s="45"/>
      <c r="G628" s="45"/>
      <c r="H628" s="45"/>
      <c r="I628" s="10"/>
    </row>
    <row r="629">
      <c r="A629" s="10"/>
      <c r="B629" s="45"/>
      <c r="C629" s="45"/>
      <c r="D629" s="45"/>
      <c r="E629" s="45"/>
      <c r="F629" s="45"/>
      <c r="G629" s="45"/>
      <c r="H629" s="45"/>
      <c r="I629" s="10"/>
    </row>
    <row r="630">
      <c r="A630" s="10"/>
      <c r="B630" s="45"/>
      <c r="C630" s="45"/>
      <c r="D630" s="45"/>
      <c r="E630" s="45"/>
      <c r="F630" s="45"/>
      <c r="G630" s="45"/>
      <c r="H630" s="45"/>
      <c r="I630" s="10"/>
    </row>
    <row r="631">
      <c r="A631" s="10"/>
      <c r="B631" s="45"/>
      <c r="C631" s="45"/>
      <c r="D631" s="45"/>
      <c r="E631" s="45"/>
      <c r="F631" s="45"/>
      <c r="G631" s="45"/>
      <c r="H631" s="45"/>
      <c r="I631" s="10"/>
    </row>
    <row r="632">
      <c r="A632" s="10"/>
      <c r="B632" s="45"/>
      <c r="C632" s="45"/>
      <c r="D632" s="45"/>
      <c r="E632" s="45"/>
      <c r="F632" s="45"/>
      <c r="G632" s="45"/>
      <c r="H632" s="45"/>
      <c r="I632" s="10"/>
    </row>
    <row r="633">
      <c r="A633" s="10"/>
      <c r="B633" s="45"/>
      <c r="C633" s="45"/>
      <c r="D633" s="45"/>
      <c r="E633" s="45"/>
      <c r="F633" s="45"/>
      <c r="G633" s="45"/>
      <c r="H633" s="45"/>
      <c r="I633" s="10"/>
    </row>
    <row r="634">
      <c r="A634" s="10"/>
      <c r="B634" s="45"/>
      <c r="C634" s="45"/>
      <c r="D634" s="45"/>
      <c r="E634" s="45"/>
      <c r="F634" s="45"/>
      <c r="G634" s="45"/>
      <c r="H634" s="45"/>
      <c r="I634" s="10"/>
    </row>
    <row r="635">
      <c r="A635" s="10"/>
      <c r="B635" s="45"/>
      <c r="C635" s="45"/>
      <c r="D635" s="45"/>
      <c r="E635" s="45"/>
      <c r="F635" s="45"/>
      <c r="G635" s="45"/>
      <c r="H635" s="45"/>
      <c r="I635" s="10"/>
    </row>
    <row r="636">
      <c r="A636" s="10"/>
      <c r="B636" s="45"/>
      <c r="C636" s="45"/>
      <c r="D636" s="45"/>
      <c r="E636" s="45"/>
      <c r="F636" s="45"/>
      <c r="G636" s="45"/>
      <c r="H636" s="45"/>
      <c r="I636" s="10"/>
    </row>
    <row r="637">
      <c r="A637" s="10"/>
      <c r="B637" s="45"/>
      <c r="C637" s="45"/>
      <c r="D637" s="45"/>
      <c r="E637" s="45"/>
      <c r="F637" s="45"/>
      <c r="G637" s="45"/>
      <c r="H637" s="45"/>
      <c r="I637" s="10"/>
    </row>
    <row r="638">
      <c r="A638" s="10"/>
      <c r="B638" s="45"/>
      <c r="C638" s="45"/>
      <c r="D638" s="45"/>
      <c r="E638" s="45"/>
      <c r="F638" s="45"/>
      <c r="G638" s="45"/>
      <c r="H638" s="45"/>
      <c r="I638" s="10"/>
    </row>
    <row r="639">
      <c r="A639" s="10"/>
      <c r="B639" s="45"/>
      <c r="C639" s="45"/>
      <c r="D639" s="45"/>
      <c r="E639" s="45"/>
      <c r="F639" s="45"/>
      <c r="G639" s="45"/>
      <c r="H639" s="45"/>
      <c r="I639" s="10"/>
    </row>
    <row r="640">
      <c r="A640" s="10"/>
      <c r="B640" s="45"/>
      <c r="C640" s="45"/>
      <c r="D640" s="45"/>
      <c r="E640" s="45"/>
      <c r="F640" s="45"/>
      <c r="G640" s="45"/>
      <c r="H640" s="45"/>
      <c r="I640" s="10"/>
    </row>
    <row r="641">
      <c r="A641" s="10"/>
      <c r="B641" s="45"/>
      <c r="C641" s="45"/>
      <c r="D641" s="45"/>
      <c r="E641" s="45"/>
      <c r="F641" s="45"/>
      <c r="G641" s="45"/>
      <c r="H641" s="45"/>
      <c r="I641" s="10"/>
    </row>
    <row r="642">
      <c r="A642" s="10"/>
      <c r="B642" s="45"/>
      <c r="C642" s="45"/>
      <c r="D642" s="45"/>
      <c r="E642" s="45"/>
      <c r="F642" s="45"/>
      <c r="G642" s="45"/>
      <c r="H642" s="45"/>
      <c r="I642" s="10"/>
    </row>
    <row r="643">
      <c r="A643" s="10"/>
      <c r="B643" s="45"/>
      <c r="C643" s="45"/>
      <c r="D643" s="45"/>
      <c r="E643" s="45"/>
      <c r="F643" s="45"/>
      <c r="G643" s="45"/>
      <c r="H643" s="45"/>
      <c r="I643" s="10"/>
    </row>
    <row r="644">
      <c r="A644" s="10"/>
      <c r="B644" s="45"/>
      <c r="C644" s="45"/>
      <c r="D644" s="45"/>
      <c r="E644" s="45"/>
      <c r="F644" s="45"/>
      <c r="G644" s="45"/>
      <c r="H644" s="45"/>
      <c r="I644" s="10"/>
    </row>
    <row r="645">
      <c r="A645" s="10"/>
      <c r="B645" s="45"/>
      <c r="C645" s="45"/>
      <c r="D645" s="45"/>
      <c r="E645" s="45"/>
      <c r="F645" s="45"/>
      <c r="G645" s="45"/>
      <c r="H645" s="45"/>
      <c r="I645" s="10"/>
    </row>
    <row r="646">
      <c r="A646" s="10"/>
      <c r="B646" s="45"/>
      <c r="C646" s="45"/>
      <c r="D646" s="45"/>
      <c r="E646" s="45"/>
      <c r="F646" s="45"/>
      <c r="G646" s="45"/>
      <c r="H646" s="45"/>
      <c r="I646" s="10"/>
    </row>
    <row r="647">
      <c r="A647" s="10"/>
      <c r="B647" s="45"/>
      <c r="C647" s="45"/>
      <c r="D647" s="45"/>
      <c r="E647" s="45"/>
      <c r="F647" s="45"/>
      <c r="G647" s="45"/>
      <c r="H647" s="45"/>
      <c r="I647" s="10"/>
    </row>
    <row r="648">
      <c r="A648" s="10"/>
      <c r="B648" s="45"/>
      <c r="C648" s="45"/>
      <c r="D648" s="45"/>
      <c r="E648" s="45"/>
      <c r="F648" s="45"/>
      <c r="G648" s="45"/>
      <c r="H648" s="45"/>
      <c r="I648" s="10"/>
    </row>
    <row r="649">
      <c r="A649" s="10"/>
      <c r="B649" s="45"/>
      <c r="C649" s="45"/>
      <c r="D649" s="45"/>
      <c r="E649" s="45"/>
      <c r="F649" s="45"/>
      <c r="G649" s="45"/>
      <c r="H649" s="45"/>
      <c r="I649" s="10"/>
    </row>
    <row r="650">
      <c r="A650" s="10"/>
      <c r="B650" s="45"/>
      <c r="C650" s="45"/>
      <c r="D650" s="45"/>
      <c r="E650" s="45"/>
      <c r="F650" s="45"/>
      <c r="G650" s="45"/>
      <c r="H650" s="45"/>
      <c r="I650" s="10"/>
    </row>
    <row r="651">
      <c r="A651" s="10"/>
      <c r="B651" s="45"/>
      <c r="C651" s="45"/>
      <c r="D651" s="45"/>
      <c r="E651" s="45"/>
      <c r="F651" s="45"/>
      <c r="G651" s="45"/>
      <c r="H651" s="45"/>
      <c r="I651" s="10"/>
    </row>
    <row r="652">
      <c r="A652" s="10"/>
      <c r="B652" s="45"/>
      <c r="C652" s="45"/>
      <c r="D652" s="45"/>
      <c r="E652" s="45"/>
      <c r="F652" s="45"/>
      <c r="G652" s="45"/>
      <c r="H652" s="45"/>
      <c r="I652" s="10"/>
    </row>
    <row r="653">
      <c r="A653" s="10"/>
      <c r="B653" s="45"/>
      <c r="C653" s="45"/>
      <c r="D653" s="45"/>
      <c r="E653" s="45"/>
      <c r="F653" s="45"/>
      <c r="G653" s="45"/>
      <c r="H653" s="45"/>
      <c r="I653" s="10"/>
    </row>
    <row r="654">
      <c r="A654" s="10"/>
      <c r="B654" s="45"/>
      <c r="C654" s="45"/>
      <c r="D654" s="45"/>
      <c r="E654" s="45"/>
      <c r="F654" s="45"/>
      <c r="G654" s="45"/>
      <c r="H654" s="45"/>
      <c r="I654" s="10"/>
    </row>
    <row r="655">
      <c r="A655" s="10"/>
      <c r="B655" s="45"/>
      <c r="C655" s="45"/>
      <c r="D655" s="45"/>
      <c r="E655" s="45"/>
      <c r="F655" s="45"/>
      <c r="G655" s="45"/>
      <c r="H655" s="45"/>
      <c r="I655" s="10"/>
    </row>
    <row r="656">
      <c r="A656" s="10"/>
      <c r="B656" s="45"/>
      <c r="C656" s="45"/>
      <c r="D656" s="45"/>
      <c r="E656" s="45"/>
      <c r="F656" s="45"/>
      <c r="G656" s="45"/>
      <c r="H656" s="45"/>
      <c r="I656" s="10"/>
    </row>
    <row r="657">
      <c r="A657" s="10"/>
      <c r="B657" s="45"/>
      <c r="C657" s="45"/>
      <c r="D657" s="45"/>
      <c r="E657" s="45"/>
      <c r="F657" s="45"/>
      <c r="G657" s="45"/>
      <c r="H657" s="45"/>
      <c r="I657" s="10"/>
    </row>
    <row r="658">
      <c r="A658" s="10"/>
      <c r="B658" s="45"/>
      <c r="C658" s="45"/>
      <c r="D658" s="45"/>
      <c r="E658" s="45"/>
      <c r="F658" s="45"/>
      <c r="G658" s="45"/>
      <c r="H658" s="45"/>
      <c r="I658" s="10"/>
    </row>
    <row r="659">
      <c r="A659" s="10"/>
      <c r="B659" s="45"/>
      <c r="C659" s="45"/>
      <c r="D659" s="45"/>
      <c r="E659" s="45"/>
      <c r="F659" s="45"/>
      <c r="G659" s="45"/>
      <c r="H659" s="45"/>
      <c r="I659" s="10"/>
    </row>
    <row r="660">
      <c r="A660" s="10"/>
      <c r="B660" s="45"/>
      <c r="C660" s="45"/>
      <c r="D660" s="45"/>
      <c r="E660" s="45"/>
      <c r="F660" s="45"/>
      <c r="G660" s="45"/>
      <c r="H660" s="45"/>
      <c r="I660" s="10"/>
    </row>
    <row r="661">
      <c r="A661" s="10"/>
      <c r="B661" s="45"/>
      <c r="C661" s="45"/>
      <c r="D661" s="45"/>
      <c r="E661" s="45"/>
      <c r="F661" s="45"/>
      <c r="G661" s="45"/>
      <c r="H661" s="45"/>
      <c r="I661" s="10"/>
    </row>
    <row r="662">
      <c r="A662" s="10"/>
      <c r="B662" s="45"/>
      <c r="C662" s="45"/>
      <c r="D662" s="45"/>
      <c r="E662" s="45"/>
      <c r="F662" s="45"/>
      <c r="G662" s="45"/>
      <c r="H662" s="45"/>
      <c r="I662" s="10"/>
    </row>
    <row r="663">
      <c r="A663" s="10"/>
      <c r="B663" s="45"/>
      <c r="C663" s="45"/>
      <c r="D663" s="45"/>
      <c r="E663" s="45"/>
      <c r="F663" s="45"/>
      <c r="G663" s="45"/>
      <c r="H663" s="45"/>
      <c r="I663" s="10"/>
    </row>
    <row r="664">
      <c r="A664" s="10"/>
      <c r="B664" s="45"/>
      <c r="C664" s="45"/>
      <c r="D664" s="45"/>
      <c r="E664" s="45"/>
      <c r="F664" s="45"/>
      <c r="G664" s="45"/>
      <c r="H664" s="45"/>
      <c r="I664" s="10"/>
    </row>
    <row r="665">
      <c r="A665" s="10"/>
      <c r="B665" s="45"/>
      <c r="C665" s="45"/>
      <c r="D665" s="45"/>
      <c r="E665" s="45"/>
      <c r="F665" s="45"/>
      <c r="G665" s="45"/>
      <c r="H665" s="45"/>
      <c r="I665" s="10"/>
    </row>
    <row r="666">
      <c r="A666" s="10"/>
      <c r="B666" s="45"/>
      <c r="C666" s="45"/>
      <c r="D666" s="45"/>
      <c r="E666" s="45"/>
      <c r="F666" s="45"/>
      <c r="G666" s="45"/>
      <c r="H666" s="45"/>
      <c r="I666" s="10"/>
    </row>
    <row r="667">
      <c r="A667" s="10"/>
      <c r="B667" s="45"/>
      <c r="C667" s="45"/>
      <c r="D667" s="45"/>
      <c r="E667" s="45"/>
      <c r="F667" s="45"/>
      <c r="G667" s="45"/>
      <c r="H667" s="45"/>
      <c r="I667" s="10"/>
    </row>
    <row r="668">
      <c r="A668" s="10"/>
      <c r="B668" s="45"/>
      <c r="C668" s="45"/>
      <c r="D668" s="45"/>
      <c r="E668" s="45"/>
      <c r="F668" s="45"/>
      <c r="G668" s="45"/>
      <c r="H668" s="45"/>
      <c r="I668" s="10"/>
    </row>
    <row r="669">
      <c r="A669" s="10"/>
      <c r="B669" s="45"/>
      <c r="C669" s="45"/>
      <c r="D669" s="45"/>
      <c r="E669" s="45"/>
      <c r="F669" s="45"/>
      <c r="G669" s="45"/>
      <c r="H669" s="45"/>
      <c r="I669" s="10"/>
    </row>
    <row r="670">
      <c r="A670" s="10"/>
      <c r="B670" s="45"/>
      <c r="C670" s="45"/>
      <c r="D670" s="45"/>
      <c r="E670" s="45"/>
      <c r="F670" s="45"/>
      <c r="G670" s="45"/>
      <c r="H670" s="45"/>
      <c r="I670" s="10"/>
    </row>
    <row r="671">
      <c r="A671" s="10"/>
      <c r="B671" s="45"/>
      <c r="C671" s="45"/>
      <c r="D671" s="45"/>
      <c r="E671" s="45"/>
      <c r="F671" s="45"/>
      <c r="G671" s="45"/>
      <c r="H671" s="45"/>
      <c r="I671" s="10"/>
    </row>
    <row r="672">
      <c r="A672" s="10"/>
      <c r="B672" s="45"/>
      <c r="C672" s="45"/>
      <c r="D672" s="45"/>
      <c r="E672" s="45"/>
      <c r="F672" s="45"/>
      <c r="G672" s="45"/>
      <c r="H672" s="45"/>
      <c r="I672" s="10"/>
    </row>
    <row r="673">
      <c r="A673" s="10"/>
      <c r="B673" s="45"/>
      <c r="C673" s="45"/>
      <c r="D673" s="45"/>
      <c r="E673" s="45"/>
      <c r="F673" s="45"/>
      <c r="G673" s="45"/>
      <c r="H673" s="45"/>
      <c r="I673" s="10"/>
    </row>
    <row r="674">
      <c r="A674" s="10"/>
      <c r="B674" s="45"/>
      <c r="C674" s="45"/>
      <c r="D674" s="45"/>
      <c r="E674" s="45"/>
      <c r="F674" s="45"/>
      <c r="G674" s="45"/>
      <c r="H674" s="45"/>
      <c r="I674" s="10"/>
    </row>
    <row r="675">
      <c r="A675" s="10"/>
      <c r="B675" s="45"/>
      <c r="C675" s="45"/>
      <c r="D675" s="45"/>
      <c r="E675" s="45"/>
      <c r="F675" s="45"/>
      <c r="G675" s="45"/>
      <c r="H675" s="45"/>
      <c r="I675" s="10"/>
    </row>
    <row r="676">
      <c r="A676" s="10"/>
      <c r="B676" s="45"/>
      <c r="C676" s="45"/>
      <c r="D676" s="45"/>
      <c r="E676" s="45"/>
      <c r="F676" s="45"/>
      <c r="G676" s="45"/>
      <c r="H676" s="45"/>
      <c r="I676" s="10"/>
    </row>
    <row r="677">
      <c r="A677" s="10"/>
      <c r="B677" s="45"/>
      <c r="C677" s="45"/>
      <c r="D677" s="45"/>
      <c r="E677" s="45"/>
      <c r="F677" s="45"/>
      <c r="G677" s="45"/>
      <c r="H677" s="45"/>
      <c r="I677" s="10"/>
    </row>
    <row r="678">
      <c r="A678" s="10"/>
      <c r="B678" s="45"/>
      <c r="C678" s="45"/>
      <c r="D678" s="45"/>
      <c r="E678" s="45"/>
      <c r="F678" s="45"/>
      <c r="G678" s="45"/>
      <c r="H678" s="45"/>
      <c r="I678" s="10"/>
    </row>
    <row r="679">
      <c r="A679" s="10"/>
      <c r="B679" s="45"/>
      <c r="C679" s="45"/>
      <c r="D679" s="45"/>
      <c r="E679" s="45"/>
      <c r="F679" s="45"/>
      <c r="G679" s="45"/>
      <c r="H679" s="45"/>
      <c r="I679" s="10"/>
    </row>
    <row r="680">
      <c r="A680" s="10"/>
      <c r="B680" s="45"/>
      <c r="C680" s="45"/>
      <c r="D680" s="45"/>
      <c r="E680" s="45"/>
      <c r="F680" s="45"/>
      <c r="G680" s="45"/>
      <c r="H680" s="45"/>
      <c r="I680" s="10"/>
    </row>
    <row r="681">
      <c r="A681" s="10"/>
      <c r="B681" s="45"/>
      <c r="C681" s="45"/>
      <c r="D681" s="45"/>
      <c r="E681" s="45"/>
      <c r="F681" s="45"/>
      <c r="G681" s="45"/>
      <c r="H681" s="45"/>
      <c r="I681" s="10"/>
    </row>
    <row r="682">
      <c r="A682" s="10"/>
      <c r="B682" s="45"/>
      <c r="C682" s="45"/>
      <c r="D682" s="45"/>
      <c r="E682" s="45"/>
      <c r="F682" s="45"/>
      <c r="G682" s="45"/>
      <c r="H682" s="45"/>
      <c r="I682" s="10"/>
    </row>
    <row r="683">
      <c r="A683" s="10"/>
      <c r="B683" s="45"/>
      <c r="C683" s="45"/>
      <c r="D683" s="45"/>
      <c r="E683" s="45"/>
      <c r="F683" s="45"/>
      <c r="G683" s="45"/>
      <c r="H683" s="45"/>
      <c r="I683" s="10"/>
    </row>
    <row r="684">
      <c r="A684" s="10"/>
      <c r="B684" s="45"/>
      <c r="C684" s="45"/>
      <c r="D684" s="45"/>
      <c r="E684" s="45"/>
      <c r="F684" s="45"/>
      <c r="G684" s="45"/>
      <c r="H684" s="45"/>
      <c r="I684" s="10"/>
    </row>
    <row r="685">
      <c r="A685" s="10"/>
      <c r="B685" s="45"/>
      <c r="C685" s="45"/>
      <c r="D685" s="45"/>
      <c r="E685" s="45"/>
      <c r="F685" s="45"/>
      <c r="G685" s="45"/>
      <c r="H685" s="45"/>
      <c r="I685" s="10"/>
    </row>
    <row r="686">
      <c r="A686" s="10"/>
      <c r="B686" s="45"/>
      <c r="C686" s="45"/>
      <c r="D686" s="45"/>
      <c r="E686" s="45"/>
      <c r="F686" s="45"/>
      <c r="G686" s="45"/>
      <c r="H686" s="45"/>
      <c r="I686" s="10"/>
    </row>
    <row r="687">
      <c r="A687" s="10"/>
      <c r="B687" s="45"/>
      <c r="C687" s="45"/>
      <c r="D687" s="45"/>
      <c r="E687" s="45"/>
      <c r="F687" s="45"/>
      <c r="G687" s="45"/>
      <c r="H687" s="45"/>
      <c r="I687" s="10"/>
    </row>
    <row r="688">
      <c r="A688" s="10"/>
      <c r="B688" s="45"/>
      <c r="C688" s="45"/>
      <c r="D688" s="45"/>
      <c r="E688" s="45"/>
      <c r="F688" s="45"/>
      <c r="G688" s="45"/>
      <c r="H688" s="45"/>
      <c r="I688" s="10"/>
    </row>
    <row r="689">
      <c r="A689" s="10"/>
      <c r="B689" s="45"/>
      <c r="C689" s="45"/>
      <c r="D689" s="45"/>
      <c r="E689" s="45"/>
      <c r="F689" s="45"/>
      <c r="G689" s="45"/>
      <c r="H689" s="45"/>
      <c r="I689" s="10"/>
    </row>
    <row r="690">
      <c r="A690" s="10"/>
      <c r="B690" s="45"/>
      <c r="C690" s="45"/>
      <c r="D690" s="45"/>
      <c r="E690" s="45"/>
      <c r="F690" s="45"/>
      <c r="G690" s="45"/>
      <c r="H690" s="45"/>
      <c r="I690" s="10"/>
    </row>
    <row r="691">
      <c r="A691" s="10"/>
      <c r="B691" s="45"/>
      <c r="C691" s="45"/>
      <c r="D691" s="45"/>
      <c r="E691" s="45"/>
      <c r="F691" s="45"/>
      <c r="G691" s="45"/>
      <c r="H691" s="45"/>
      <c r="I691" s="10"/>
    </row>
    <row r="692">
      <c r="A692" s="10"/>
      <c r="B692" s="45"/>
      <c r="C692" s="45"/>
      <c r="D692" s="45"/>
      <c r="E692" s="45"/>
      <c r="F692" s="45"/>
      <c r="G692" s="45"/>
      <c r="H692" s="45"/>
      <c r="I692" s="10"/>
    </row>
    <row r="693">
      <c r="A693" s="10"/>
      <c r="B693" s="45"/>
      <c r="C693" s="45"/>
      <c r="D693" s="45"/>
      <c r="E693" s="45"/>
      <c r="F693" s="45"/>
      <c r="G693" s="45"/>
      <c r="H693" s="45"/>
      <c r="I693" s="10"/>
    </row>
    <row r="694">
      <c r="A694" s="10"/>
      <c r="B694" s="45"/>
      <c r="C694" s="45"/>
      <c r="D694" s="45"/>
      <c r="E694" s="45"/>
      <c r="F694" s="45"/>
      <c r="G694" s="45"/>
      <c r="H694" s="45"/>
      <c r="I694" s="10"/>
    </row>
    <row r="695">
      <c r="A695" s="10"/>
      <c r="B695" s="45"/>
      <c r="C695" s="45"/>
      <c r="D695" s="45"/>
      <c r="E695" s="45"/>
      <c r="F695" s="45"/>
      <c r="G695" s="45"/>
      <c r="H695" s="45"/>
      <c r="I695" s="10"/>
    </row>
    <row r="696">
      <c r="A696" s="10"/>
      <c r="B696" s="45"/>
      <c r="C696" s="45"/>
      <c r="D696" s="45"/>
      <c r="E696" s="45"/>
      <c r="F696" s="45"/>
      <c r="G696" s="45"/>
      <c r="H696" s="45"/>
      <c r="I696" s="10"/>
    </row>
    <row r="697">
      <c r="A697" s="10"/>
      <c r="B697" s="45"/>
      <c r="C697" s="45"/>
      <c r="D697" s="45"/>
      <c r="E697" s="45"/>
      <c r="F697" s="45"/>
      <c r="G697" s="45"/>
      <c r="H697" s="45"/>
      <c r="I697" s="10"/>
    </row>
    <row r="698">
      <c r="A698" s="10"/>
      <c r="B698" s="45"/>
      <c r="C698" s="45"/>
      <c r="D698" s="45"/>
      <c r="E698" s="45"/>
      <c r="F698" s="45"/>
      <c r="G698" s="45"/>
      <c r="H698" s="45"/>
      <c r="I698" s="10"/>
    </row>
    <row r="699">
      <c r="A699" s="10"/>
      <c r="B699" s="45"/>
      <c r="C699" s="45"/>
      <c r="D699" s="45"/>
      <c r="E699" s="45"/>
      <c r="F699" s="45"/>
      <c r="G699" s="45"/>
      <c r="H699" s="45"/>
      <c r="I699" s="10"/>
    </row>
    <row r="700">
      <c r="A700" s="10"/>
      <c r="B700" s="45"/>
      <c r="C700" s="45"/>
      <c r="D700" s="45"/>
      <c r="E700" s="45"/>
      <c r="F700" s="45"/>
      <c r="G700" s="45"/>
      <c r="H700" s="45"/>
      <c r="I700" s="10"/>
    </row>
    <row r="701">
      <c r="A701" s="10"/>
      <c r="B701" s="45"/>
      <c r="C701" s="45"/>
      <c r="D701" s="45"/>
      <c r="E701" s="45"/>
      <c r="F701" s="45"/>
      <c r="G701" s="45"/>
      <c r="H701" s="45"/>
      <c r="I701" s="10"/>
    </row>
    <row r="702">
      <c r="A702" s="10"/>
      <c r="B702" s="45"/>
      <c r="C702" s="45"/>
      <c r="D702" s="45"/>
      <c r="E702" s="45"/>
      <c r="F702" s="45"/>
      <c r="G702" s="45"/>
      <c r="H702" s="45"/>
      <c r="I702" s="10"/>
    </row>
    <row r="703">
      <c r="A703" s="10"/>
      <c r="B703" s="45"/>
      <c r="C703" s="45"/>
      <c r="D703" s="45"/>
      <c r="E703" s="45"/>
      <c r="F703" s="45"/>
      <c r="G703" s="45"/>
      <c r="H703" s="45"/>
      <c r="I703" s="10"/>
    </row>
    <row r="704">
      <c r="A704" s="10"/>
      <c r="B704" s="45"/>
      <c r="C704" s="45"/>
      <c r="D704" s="45"/>
      <c r="E704" s="45"/>
      <c r="F704" s="45"/>
      <c r="G704" s="45"/>
      <c r="H704" s="45"/>
      <c r="I704" s="10"/>
    </row>
    <row r="705">
      <c r="A705" s="10"/>
      <c r="B705" s="45"/>
      <c r="C705" s="45"/>
      <c r="D705" s="45"/>
      <c r="E705" s="45"/>
      <c r="F705" s="45"/>
      <c r="G705" s="45"/>
      <c r="H705" s="45"/>
      <c r="I705" s="10"/>
    </row>
    <row r="706">
      <c r="A706" s="10"/>
      <c r="B706" s="45"/>
      <c r="C706" s="45"/>
      <c r="D706" s="45"/>
      <c r="E706" s="45"/>
      <c r="F706" s="45"/>
      <c r="G706" s="45"/>
      <c r="H706" s="45"/>
      <c r="I706" s="10"/>
    </row>
    <row r="707">
      <c r="A707" s="10"/>
      <c r="B707" s="45"/>
      <c r="C707" s="45"/>
      <c r="D707" s="45"/>
      <c r="E707" s="45"/>
      <c r="F707" s="45"/>
      <c r="G707" s="45"/>
      <c r="H707" s="45"/>
      <c r="I707" s="10"/>
    </row>
    <row r="708">
      <c r="A708" s="10"/>
      <c r="B708" s="45"/>
      <c r="C708" s="45"/>
      <c r="D708" s="45"/>
      <c r="E708" s="45"/>
      <c r="F708" s="45"/>
      <c r="G708" s="45"/>
      <c r="H708" s="45"/>
      <c r="I708" s="10"/>
    </row>
    <row r="709">
      <c r="A709" s="10"/>
      <c r="B709" s="45"/>
      <c r="C709" s="45"/>
      <c r="D709" s="45"/>
      <c r="E709" s="45"/>
      <c r="F709" s="45"/>
      <c r="G709" s="45"/>
      <c r="H709" s="45"/>
      <c r="I709" s="10"/>
    </row>
    <row r="710">
      <c r="A710" s="10"/>
      <c r="B710" s="45"/>
      <c r="C710" s="45"/>
      <c r="D710" s="45"/>
      <c r="E710" s="45"/>
      <c r="F710" s="45"/>
      <c r="G710" s="45"/>
      <c r="H710" s="45"/>
      <c r="I710" s="10"/>
    </row>
    <row r="711">
      <c r="A711" s="10"/>
      <c r="B711" s="45"/>
      <c r="C711" s="45"/>
      <c r="D711" s="45"/>
      <c r="E711" s="45"/>
      <c r="F711" s="45"/>
      <c r="G711" s="45"/>
      <c r="H711" s="45"/>
      <c r="I711" s="10"/>
    </row>
    <row r="712">
      <c r="A712" s="10"/>
      <c r="B712" s="45"/>
      <c r="C712" s="45"/>
      <c r="D712" s="45"/>
      <c r="E712" s="45"/>
      <c r="F712" s="45"/>
      <c r="G712" s="45"/>
      <c r="H712" s="45"/>
      <c r="I712" s="10"/>
    </row>
    <row r="713">
      <c r="A713" s="10"/>
      <c r="B713" s="45"/>
      <c r="C713" s="45"/>
      <c r="D713" s="45"/>
      <c r="E713" s="45"/>
      <c r="F713" s="45"/>
      <c r="G713" s="45"/>
      <c r="H713" s="45"/>
      <c r="I713" s="10"/>
    </row>
    <row r="714">
      <c r="A714" s="10"/>
      <c r="B714" s="45"/>
      <c r="C714" s="45"/>
      <c r="D714" s="45"/>
      <c r="E714" s="45"/>
      <c r="F714" s="45"/>
      <c r="G714" s="45"/>
      <c r="H714" s="45"/>
      <c r="I714" s="10"/>
    </row>
    <row r="715">
      <c r="A715" s="10"/>
      <c r="B715" s="45"/>
      <c r="C715" s="45"/>
      <c r="D715" s="45"/>
      <c r="E715" s="45"/>
      <c r="F715" s="45"/>
      <c r="G715" s="45"/>
      <c r="H715" s="45"/>
      <c r="I715" s="10"/>
    </row>
    <row r="716">
      <c r="A716" s="10"/>
      <c r="B716" s="45"/>
      <c r="C716" s="45"/>
      <c r="D716" s="45"/>
      <c r="E716" s="45"/>
      <c r="F716" s="45"/>
      <c r="G716" s="45"/>
      <c r="H716" s="45"/>
      <c r="I716" s="10"/>
    </row>
    <row r="717">
      <c r="A717" s="10"/>
      <c r="B717" s="45"/>
      <c r="C717" s="45"/>
      <c r="D717" s="45"/>
      <c r="E717" s="45"/>
      <c r="F717" s="45"/>
      <c r="G717" s="45"/>
      <c r="H717" s="45"/>
      <c r="I717" s="10"/>
    </row>
    <row r="718">
      <c r="A718" s="10"/>
      <c r="B718" s="45"/>
      <c r="C718" s="45"/>
      <c r="D718" s="45"/>
      <c r="E718" s="45"/>
      <c r="F718" s="45"/>
      <c r="G718" s="45"/>
      <c r="H718" s="45"/>
      <c r="I718" s="10"/>
    </row>
    <row r="719">
      <c r="A719" s="10"/>
      <c r="B719" s="45"/>
      <c r="C719" s="45"/>
      <c r="D719" s="45"/>
      <c r="E719" s="45"/>
      <c r="F719" s="45"/>
      <c r="G719" s="45"/>
      <c r="H719" s="45"/>
      <c r="I719" s="10"/>
    </row>
    <row r="720">
      <c r="A720" s="10"/>
      <c r="B720" s="45"/>
      <c r="C720" s="45"/>
      <c r="D720" s="45"/>
      <c r="E720" s="45"/>
      <c r="F720" s="45"/>
      <c r="G720" s="45"/>
      <c r="H720" s="45"/>
      <c r="I720" s="10"/>
    </row>
    <row r="721">
      <c r="A721" s="10"/>
      <c r="B721" s="45"/>
      <c r="C721" s="45"/>
      <c r="D721" s="45"/>
      <c r="E721" s="45"/>
      <c r="F721" s="45"/>
      <c r="G721" s="45"/>
      <c r="H721" s="45"/>
      <c r="I721" s="10"/>
    </row>
    <row r="722">
      <c r="A722" s="10"/>
      <c r="B722" s="45"/>
      <c r="C722" s="45"/>
      <c r="D722" s="45"/>
      <c r="E722" s="45"/>
      <c r="F722" s="45"/>
      <c r="G722" s="45"/>
      <c r="H722" s="45"/>
      <c r="I722" s="10"/>
    </row>
    <row r="723">
      <c r="A723" s="10"/>
      <c r="B723" s="45"/>
      <c r="C723" s="45"/>
      <c r="D723" s="45"/>
      <c r="E723" s="45"/>
      <c r="F723" s="45"/>
      <c r="G723" s="45"/>
      <c r="H723" s="45"/>
      <c r="I723" s="10"/>
    </row>
    <row r="724">
      <c r="A724" s="10"/>
      <c r="B724" s="45"/>
      <c r="C724" s="45"/>
      <c r="D724" s="45"/>
      <c r="E724" s="45"/>
      <c r="F724" s="45"/>
      <c r="G724" s="45"/>
      <c r="H724" s="45"/>
      <c r="I724" s="10"/>
    </row>
    <row r="725">
      <c r="A725" s="10"/>
      <c r="B725" s="45"/>
      <c r="C725" s="45"/>
      <c r="D725" s="45"/>
      <c r="E725" s="45"/>
      <c r="F725" s="45"/>
      <c r="G725" s="45"/>
      <c r="H725" s="45"/>
      <c r="I725" s="10"/>
    </row>
    <row r="726">
      <c r="A726" s="10"/>
      <c r="B726" s="45"/>
      <c r="C726" s="45"/>
      <c r="D726" s="45"/>
      <c r="E726" s="45"/>
      <c r="F726" s="45"/>
      <c r="G726" s="45"/>
      <c r="H726" s="45"/>
      <c r="I726" s="10"/>
    </row>
    <row r="727">
      <c r="A727" s="10"/>
      <c r="B727" s="45"/>
      <c r="C727" s="45"/>
      <c r="D727" s="45"/>
      <c r="E727" s="45"/>
      <c r="F727" s="45"/>
      <c r="G727" s="45"/>
      <c r="H727" s="45"/>
      <c r="I727" s="10"/>
    </row>
    <row r="728">
      <c r="A728" s="10"/>
      <c r="B728" s="45"/>
      <c r="C728" s="45"/>
      <c r="D728" s="45"/>
      <c r="E728" s="45"/>
      <c r="F728" s="45"/>
      <c r="G728" s="45"/>
      <c r="H728" s="45"/>
      <c r="I728" s="10"/>
    </row>
    <row r="729">
      <c r="A729" s="10"/>
      <c r="B729" s="45"/>
      <c r="C729" s="45"/>
      <c r="D729" s="45"/>
      <c r="E729" s="45"/>
      <c r="F729" s="45"/>
      <c r="G729" s="45"/>
      <c r="H729" s="45"/>
      <c r="I729" s="10"/>
    </row>
    <row r="730">
      <c r="A730" s="10"/>
      <c r="B730" s="45"/>
      <c r="C730" s="45"/>
      <c r="D730" s="45"/>
      <c r="E730" s="45"/>
      <c r="F730" s="45"/>
      <c r="G730" s="45"/>
      <c r="H730" s="45"/>
      <c r="I730" s="10"/>
    </row>
    <row r="731">
      <c r="A731" s="10"/>
      <c r="B731" s="45"/>
      <c r="C731" s="45"/>
      <c r="D731" s="45"/>
      <c r="E731" s="45"/>
      <c r="F731" s="45"/>
      <c r="G731" s="45"/>
      <c r="H731" s="45"/>
      <c r="I731" s="10"/>
    </row>
    <row r="732">
      <c r="A732" s="10"/>
      <c r="B732" s="45"/>
      <c r="C732" s="45"/>
      <c r="D732" s="45"/>
      <c r="E732" s="45"/>
      <c r="F732" s="45"/>
      <c r="G732" s="45"/>
      <c r="H732" s="45"/>
      <c r="I732" s="10"/>
    </row>
    <row r="733">
      <c r="A733" s="10"/>
      <c r="B733" s="45"/>
      <c r="C733" s="45"/>
      <c r="D733" s="45"/>
      <c r="E733" s="45"/>
      <c r="F733" s="45"/>
      <c r="G733" s="45"/>
      <c r="H733" s="45"/>
      <c r="I733" s="10"/>
    </row>
    <row r="734">
      <c r="A734" s="10"/>
      <c r="B734" s="45"/>
      <c r="C734" s="45"/>
      <c r="D734" s="45"/>
      <c r="E734" s="45"/>
      <c r="F734" s="45"/>
      <c r="G734" s="45"/>
      <c r="H734" s="45"/>
      <c r="I734" s="10"/>
    </row>
    <row r="735">
      <c r="A735" s="10"/>
      <c r="B735" s="45"/>
      <c r="C735" s="45"/>
      <c r="D735" s="45"/>
      <c r="E735" s="45"/>
      <c r="F735" s="45"/>
      <c r="G735" s="45"/>
      <c r="H735" s="45"/>
      <c r="I735" s="10"/>
    </row>
    <row r="736">
      <c r="A736" s="10"/>
      <c r="B736" s="45"/>
      <c r="C736" s="45"/>
      <c r="D736" s="45"/>
      <c r="E736" s="45"/>
      <c r="F736" s="45"/>
      <c r="G736" s="45"/>
      <c r="H736" s="45"/>
      <c r="I736" s="10"/>
    </row>
    <row r="737">
      <c r="A737" s="10"/>
      <c r="B737" s="45"/>
      <c r="C737" s="45"/>
      <c r="D737" s="45"/>
      <c r="E737" s="45"/>
      <c r="F737" s="45"/>
      <c r="G737" s="45"/>
      <c r="H737" s="45"/>
      <c r="I737" s="10"/>
    </row>
    <row r="738">
      <c r="A738" s="10"/>
      <c r="B738" s="45"/>
      <c r="C738" s="45"/>
      <c r="D738" s="45"/>
      <c r="E738" s="45"/>
      <c r="F738" s="45"/>
      <c r="G738" s="45"/>
      <c r="H738" s="45"/>
      <c r="I738" s="10"/>
    </row>
    <row r="739">
      <c r="A739" s="10"/>
      <c r="B739" s="45"/>
      <c r="C739" s="45"/>
      <c r="D739" s="45"/>
      <c r="E739" s="45"/>
      <c r="F739" s="45"/>
      <c r="G739" s="45"/>
      <c r="H739" s="45"/>
      <c r="I739" s="10"/>
    </row>
    <row r="740">
      <c r="A740" s="10"/>
      <c r="B740" s="45"/>
      <c r="C740" s="45"/>
      <c r="D740" s="45"/>
      <c r="E740" s="45"/>
      <c r="F740" s="45"/>
      <c r="G740" s="45"/>
      <c r="H740" s="45"/>
      <c r="I740" s="10"/>
    </row>
    <row r="741">
      <c r="A741" s="10"/>
      <c r="B741" s="45"/>
      <c r="C741" s="45"/>
      <c r="D741" s="45"/>
      <c r="E741" s="45"/>
      <c r="F741" s="45"/>
      <c r="G741" s="45"/>
      <c r="H741" s="45"/>
      <c r="I741" s="10"/>
    </row>
    <row r="742">
      <c r="A742" s="10"/>
      <c r="B742" s="45"/>
      <c r="C742" s="45"/>
      <c r="D742" s="45"/>
      <c r="E742" s="45"/>
      <c r="F742" s="45"/>
      <c r="G742" s="45"/>
      <c r="H742" s="45"/>
      <c r="I742" s="10"/>
    </row>
    <row r="743">
      <c r="A743" s="10"/>
      <c r="B743" s="45"/>
      <c r="C743" s="45"/>
      <c r="D743" s="45"/>
      <c r="E743" s="45"/>
      <c r="F743" s="45"/>
      <c r="G743" s="45"/>
      <c r="H743" s="45"/>
      <c r="I743" s="10"/>
    </row>
    <row r="744">
      <c r="A744" s="10"/>
      <c r="B744" s="45"/>
      <c r="C744" s="45"/>
      <c r="D744" s="45"/>
      <c r="E744" s="45"/>
      <c r="F744" s="45"/>
      <c r="G744" s="45"/>
      <c r="H744" s="45"/>
      <c r="I744" s="10"/>
    </row>
    <row r="745">
      <c r="A745" s="10"/>
      <c r="B745" s="45"/>
      <c r="C745" s="45"/>
      <c r="D745" s="45"/>
      <c r="E745" s="45"/>
      <c r="F745" s="45"/>
      <c r="G745" s="45"/>
      <c r="H745" s="45"/>
      <c r="I745" s="10"/>
    </row>
    <row r="746">
      <c r="A746" s="10"/>
      <c r="B746" s="45"/>
      <c r="C746" s="45"/>
      <c r="D746" s="45"/>
      <c r="E746" s="45"/>
      <c r="F746" s="45"/>
      <c r="G746" s="45"/>
      <c r="H746" s="45"/>
      <c r="I746" s="10"/>
    </row>
    <row r="747">
      <c r="A747" s="10"/>
      <c r="B747" s="45"/>
      <c r="C747" s="45"/>
      <c r="D747" s="45"/>
      <c r="E747" s="45"/>
      <c r="F747" s="45"/>
      <c r="G747" s="45"/>
      <c r="H747" s="45"/>
      <c r="I747" s="10"/>
    </row>
    <row r="748">
      <c r="A748" s="10"/>
      <c r="B748" s="45"/>
      <c r="C748" s="45"/>
      <c r="D748" s="45"/>
      <c r="E748" s="45"/>
      <c r="F748" s="45"/>
      <c r="G748" s="45"/>
      <c r="H748" s="45"/>
      <c r="I748" s="10"/>
    </row>
    <row r="749">
      <c r="A749" s="10"/>
      <c r="B749" s="45"/>
      <c r="C749" s="45"/>
      <c r="D749" s="45"/>
      <c r="E749" s="45"/>
      <c r="F749" s="45"/>
      <c r="G749" s="45"/>
      <c r="H749" s="45"/>
      <c r="I749" s="10"/>
    </row>
    <row r="750">
      <c r="A750" s="10"/>
      <c r="B750" s="45"/>
      <c r="C750" s="45"/>
      <c r="D750" s="45"/>
      <c r="E750" s="45"/>
      <c r="F750" s="45"/>
      <c r="G750" s="45"/>
      <c r="H750" s="45"/>
      <c r="I750" s="10"/>
    </row>
    <row r="751">
      <c r="A751" s="10"/>
      <c r="B751" s="45"/>
      <c r="C751" s="45"/>
      <c r="D751" s="45"/>
      <c r="E751" s="45"/>
      <c r="F751" s="45"/>
      <c r="G751" s="45"/>
      <c r="H751" s="45"/>
      <c r="I751" s="10"/>
    </row>
    <row r="752">
      <c r="A752" s="10"/>
      <c r="B752" s="45"/>
      <c r="C752" s="45"/>
      <c r="D752" s="45"/>
      <c r="E752" s="45"/>
      <c r="F752" s="45"/>
      <c r="G752" s="45"/>
      <c r="H752" s="45"/>
      <c r="I752" s="10"/>
    </row>
    <row r="753">
      <c r="A753" s="10"/>
      <c r="B753" s="45"/>
      <c r="C753" s="45"/>
      <c r="D753" s="45"/>
      <c r="E753" s="45"/>
      <c r="F753" s="45"/>
      <c r="G753" s="45"/>
      <c r="H753" s="45"/>
      <c r="I753" s="10"/>
    </row>
    <row r="754">
      <c r="A754" s="10"/>
      <c r="B754" s="45"/>
      <c r="C754" s="45"/>
      <c r="D754" s="45"/>
      <c r="E754" s="45"/>
      <c r="F754" s="45"/>
      <c r="G754" s="45"/>
      <c r="H754" s="45"/>
      <c r="I754" s="10"/>
    </row>
    <row r="755">
      <c r="A755" s="10"/>
      <c r="B755" s="45"/>
      <c r="C755" s="45"/>
      <c r="D755" s="45"/>
      <c r="E755" s="45"/>
      <c r="F755" s="45"/>
      <c r="G755" s="45"/>
      <c r="H755" s="45"/>
      <c r="I755" s="10"/>
    </row>
    <row r="756">
      <c r="A756" s="10"/>
      <c r="B756" s="45"/>
      <c r="C756" s="45"/>
      <c r="D756" s="45"/>
      <c r="E756" s="45"/>
      <c r="F756" s="45"/>
      <c r="G756" s="45"/>
      <c r="H756" s="45"/>
      <c r="I756" s="10"/>
    </row>
    <row r="757">
      <c r="A757" s="10"/>
      <c r="B757" s="45"/>
      <c r="C757" s="45"/>
      <c r="D757" s="45"/>
      <c r="E757" s="45"/>
      <c r="F757" s="45"/>
      <c r="G757" s="45"/>
      <c r="H757" s="45"/>
      <c r="I757" s="10"/>
    </row>
    <row r="758">
      <c r="A758" s="10"/>
      <c r="B758" s="45"/>
      <c r="C758" s="45"/>
      <c r="D758" s="45"/>
      <c r="E758" s="45"/>
      <c r="F758" s="45"/>
      <c r="G758" s="45"/>
      <c r="H758" s="45"/>
      <c r="I758" s="10"/>
    </row>
    <row r="759">
      <c r="A759" s="10"/>
      <c r="B759" s="45"/>
      <c r="C759" s="45"/>
      <c r="D759" s="45"/>
      <c r="E759" s="45"/>
      <c r="F759" s="45"/>
      <c r="G759" s="45"/>
      <c r="H759" s="45"/>
      <c r="I759" s="10"/>
    </row>
    <row r="760">
      <c r="A760" s="10"/>
      <c r="B760" s="45"/>
      <c r="C760" s="45"/>
      <c r="D760" s="45"/>
      <c r="E760" s="45"/>
      <c r="F760" s="45"/>
      <c r="G760" s="45"/>
      <c r="H760" s="45"/>
      <c r="I760" s="10"/>
    </row>
    <row r="761">
      <c r="A761" s="10"/>
      <c r="B761" s="45"/>
      <c r="C761" s="45"/>
      <c r="D761" s="45"/>
      <c r="E761" s="45"/>
      <c r="F761" s="45"/>
      <c r="G761" s="45"/>
      <c r="H761" s="45"/>
      <c r="I761" s="10"/>
    </row>
    <row r="762">
      <c r="A762" s="10"/>
      <c r="B762" s="45"/>
      <c r="C762" s="45"/>
      <c r="D762" s="45"/>
      <c r="E762" s="45"/>
      <c r="F762" s="45"/>
      <c r="G762" s="45"/>
      <c r="H762" s="45"/>
      <c r="I762" s="10"/>
    </row>
    <row r="763">
      <c r="A763" s="10"/>
      <c r="B763" s="45"/>
      <c r="C763" s="45"/>
      <c r="D763" s="45"/>
      <c r="E763" s="45"/>
      <c r="F763" s="45"/>
      <c r="G763" s="45"/>
      <c r="H763" s="45"/>
      <c r="I763" s="10"/>
    </row>
    <row r="764">
      <c r="A764" s="10"/>
      <c r="B764" s="45"/>
      <c r="C764" s="45"/>
      <c r="D764" s="45"/>
      <c r="E764" s="45"/>
      <c r="F764" s="45"/>
      <c r="G764" s="45"/>
      <c r="H764" s="45"/>
      <c r="I764" s="10"/>
    </row>
    <row r="765">
      <c r="A765" s="10"/>
      <c r="B765" s="45"/>
      <c r="C765" s="45"/>
      <c r="D765" s="45"/>
      <c r="E765" s="45"/>
      <c r="F765" s="45"/>
      <c r="G765" s="45"/>
      <c r="H765" s="45"/>
      <c r="I765" s="10"/>
    </row>
    <row r="766">
      <c r="A766" s="10"/>
      <c r="B766" s="45"/>
      <c r="C766" s="45"/>
      <c r="D766" s="45"/>
      <c r="E766" s="45"/>
      <c r="F766" s="45"/>
      <c r="G766" s="45"/>
      <c r="H766" s="45"/>
      <c r="I766" s="10"/>
    </row>
    <row r="767">
      <c r="A767" s="10"/>
      <c r="B767" s="45"/>
      <c r="C767" s="45"/>
      <c r="D767" s="45"/>
      <c r="E767" s="45"/>
      <c r="F767" s="45"/>
      <c r="G767" s="45"/>
      <c r="H767" s="45"/>
      <c r="I767" s="10"/>
    </row>
    <row r="768">
      <c r="A768" s="10"/>
      <c r="B768" s="45"/>
      <c r="C768" s="45"/>
      <c r="D768" s="45"/>
      <c r="E768" s="45"/>
      <c r="F768" s="45"/>
      <c r="G768" s="45"/>
      <c r="H768" s="45"/>
      <c r="I768" s="10"/>
    </row>
    <row r="769">
      <c r="A769" s="10"/>
      <c r="B769" s="45"/>
      <c r="C769" s="45"/>
      <c r="D769" s="45"/>
      <c r="E769" s="45"/>
      <c r="F769" s="45"/>
      <c r="G769" s="45"/>
      <c r="H769" s="45"/>
      <c r="I769" s="10"/>
    </row>
    <row r="770">
      <c r="A770" s="10"/>
      <c r="B770" s="45"/>
      <c r="C770" s="45"/>
      <c r="D770" s="45"/>
      <c r="E770" s="45"/>
      <c r="F770" s="45"/>
      <c r="G770" s="45"/>
      <c r="H770" s="45"/>
      <c r="I770" s="10"/>
    </row>
    <row r="771">
      <c r="A771" s="10"/>
      <c r="B771" s="45"/>
      <c r="C771" s="45"/>
      <c r="D771" s="45"/>
      <c r="E771" s="45"/>
      <c r="F771" s="45"/>
      <c r="G771" s="45"/>
      <c r="H771" s="45"/>
      <c r="I771" s="10"/>
    </row>
    <row r="772">
      <c r="A772" s="10"/>
      <c r="B772" s="45"/>
      <c r="C772" s="45"/>
      <c r="D772" s="45"/>
      <c r="E772" s="45"/>
      <c r="F772" s="45"/>
      <c r="G772" s="45"/>
      <c r="H772" s="45"/>
      <c r="I772" s="10"/>
    </row>
    <row r="773">
      <c r="A773" s="10"/>
      <c r="B773" s="45"/>
      <c r="C773" s="45"/>
      <c r="D773" s="45"/>
      <c r="E773" s="45"/>
      <c r="F773" s="45"/>
      <c r="G773" s="45"/>
      <c r="H773" s="45"/>
      <c r="I773" s="10"/>
    </row>
    <row r="774">
      <c r="A774" s="10"/>
      <c r="B774" s="45"/>
      <c r="C774" s="45"/>
      <c r="D774" s="45"/>
      <c r="E774" s="45"/>
      <c r="F774" s="45"/>
      <c r="G774" s="45"/>
      <c r="H774" s="45"/>
      <c r="I774" s="10"/>
    </row>
    <row r="775">
      <c r="A775" s="10"/>
      <c r="B775" s="45"/>
      <c r="C775" s="45"/>
      <c r="D775" s="45"/>
      <c r="E775" s="45"/>
      <c r="F775" s="45"/>
      <c r="G775" s="45"/>
      <c r="H775" s="45"/>
      <c r="I775" s="10"/>
    </row>
    <row r="776">
      <c r="A776" s="10"/>
      <c r="B776" s="45"/>
      <c r="C776" s="45"/>
      <c r="D776" s="45"/>
      <c r="E776" s="45"/>
      <c r="F776" s="45"/>
      <c r="G776" s="45"/>
      <c r="H776" s="45"/>
      <c r="I776" s="10"/>
    </row>
    <row r="777">
      <c r="A777" s="10"/>
      <c r="B777" s="45"/>
      <c r="C777" s="45"/>
      <c r="D777" s="45"/>
      <c r="E777" s="45"/>
      <c r="F777" s="45"/>
      <c r="G777" s="45"/>
      <c r="H777" s="45"/>
      <c r="I777" s="10"/>
    </row>
    <row r="778">
      <c r="A778" s="10"/>
      <c r="B778" s="45"/>
      <c r="C778" s="45"/>
      <c r="D778" s="45"/>
      <c r="E778" s="45"/>
      <c r="F778" s="45"/>
      <c r="G778" s="45"/>
      <c r="H778" s="45"/>
      <c r="I778" s="10"/>
    </row>
    <row r="779">
      <c r="A779" s="10"/>
      <c r="B779" s="45"/>
      <c r="C779" s="45"/>
      <c r="D779" s="45"/>
      <c r="E779" s="45"/>
      <c r="F779" s="45"/>
      <c r="G779" s="45"/>
      <c r="H779" s="45"/>
      <c r="I779" s="10"/>
    </row>
    <row r="780">
      <c r="A780" s="10"/>
      <c r="B780" s="45"/>
      <c r="C780" s="45"/>
      <c r="D780" s="45"/>
      <c r="E780" s="45"/>
      <c r="F780" s="45"/>
      <c r="G780" s="45"/>
      <c r="H780" s="45"/>
      <c r="I780" s="10"/>
    </row>
    <row r="781">
      <c r="A781" s="10"/>
      <c r="B781" s="45"/>
      <c r="C781" s="45"/>
      <c r="D781" s="45"/>
      <c r="E781" s="45"/>
      <c r="F781" s="45"/>
      <c r="G781" s="45"/>
      <c r="H781" s="45"/>
      <c r="I781" s="10"/>
    </row>
    <row r="782">
      <c r="A782" s="10"/>
      <c r="B782" s="45"/>
      <c r="C782" s="45"/>
      <c r="D782" s="45"/>
      <c r="E782" s="45"/>
      <c r="F782" s="45"/>
      <c r="G782" s="45"/>
      <c r="H782" s="45"/>
      <c r="I782" s="10"/>
    </row>
    <row r="783">
      <c r="A783" s="10"/>
      <c r="B783" s="45"/>
      <c r="C783" s="45"/>
      <c r="D783" s="45"/>
      <c r="E783" s="45"/>
      <c r="F783" s="45"/>
      <c r="G783" s="45"/>
      <c r="H783" s="45"/>
      <c r="I783" s="10"/>
    </row>
    <row r="784">
      <c r="A784" s="10"/>
      <c r="B784" s="45"/>
      <c r="C784" s="45"/>
      <c r="D784" s="45"/>
      <c r="E784" s="45"/>
      <c r="F784" s="45"/>
      <c r="G784" s="45"/>
      <c r="H784" s="45"/>
      <c r="I784" s="10"/>
    </row>
    <row r="785">
      <c r="A785" s="10"/>
      <c r="B785" s="45"/>
      <c r="C785" s="45"/>
      <c r="D785" s="45"/>
      <c r="E785" s="45"/>
      <c r="F785" s="45"/>
      <c r="G785" s="45"/>
      <c r="H785" s="45"/>
      <c r="I785" s="10"/>
    </row>
    <row r="786">
      <c r="A786" s="10"/>
      <c r="B786" s="45"/>
      <c r="C786" s="45"/>
      <c r="D786" s="45"/>
      <c r="E786" s="45"/>
      <c r="F786" s="45"/>
      <c r="G786" s="45"/>
      <c r="H786" s="45"/>
      <c r="I786" s="10"/>
    </row>
    <row r="787">
      <c r="A787" s="10"/>
      <c r="B787" s="45"/>
      <c r="C787" s="45"/>
      <c r="D787" s="45"/>
      <c r="E787" s="45"/>
      <c r="F787" s="45"/>
      <c r="G787" s="45"/>
      <c r="H787" s="45"/>
      <c r="I787" s="10"/>
    </row>
    <row r="788">
      <c r="A788" s="10"/>
      <c r="B788" s="45"/>
      <c r="C788" s="45"/>
      <c r="D788" s="45"/>
      <c r="E788" s="45"/>
      <c r="F788" s="45"/>
      <c r="G788" s="45"/>
      <c r="H788" s="45"/>
      <c r="I788" s="10"/>
    </row>
    <row r="789">
      <c r="A789" s="10"/>
      <c r="B789" s="45"/>
      <c r="C789" s="45"/>
      <c r="D789" s="45"/>
      <c r="E789" s="45"/>
      <c r="F789" s="45"/>
      <c r="G789" s="45"/>
      <c r="H789" s="45"/>
      <c r="I789" s="10"/>
    </row>
    <row r="790">
      <c r="A790" s="10"/>
      <c r="B790" s="45"/>
      <c r="C790" s="45"/>
      <c r="D790" s="45"/>
      <c r="E790" s="45"/>
      <c r="F790" s="45"/>
      <c r="G790" s="45"/>
      <c r="H790" s="45"/>
      <c r="I790" s="10"/>
    </row>
    <row r="791">
      <c r="A791" s="10"/>
      <c r="B791" s="45"/>
      <c r="C791" s="45"/>
      <c r="D791" s="45"/>
      <c r="E791" s="45"/>
      <c r="F791" s="45"/>
      <c r="G791" s="45"/>
      <c r="H791" s="45"/>
      <c r="I791" s="10"/>
    </row>
    <row r="792">
      <c r="A792" s="10"/>
      <c r="B792" s="45"/>
      <c r="C792" s="45"/>
      <c r="D792" s="45"/>
      <c r="E792" s="45"/>
      <c r="F792" s="45"/>
      <c r="G792" s="45"/>
      <c r="H792" s="45"/>
      <c r="I792" s="10"/>
    </row>
    <row r="793">
      <c r="A793" s="10"/>
      <c r="B793" s="45"/>
      <c r="C793" s="45"/>
      <c r="D793" s="45"/>
      <c r="E793" s="45"/>
      <c r="F793" s="45"/>
      <c r="G793" s="45"/>
      <c r="H793" s="45"/>
      <c r="I793" s="10"/>
    </row>
    <row r="794">
      <c r="A794" s="10"/>
      <c r="B794" s="45"/>
      <c r="C794" s="45"/>
      <c r="D794" s="45"/>
      <c r="E794" s="45"/>
      <c r="F794" s="45"/>
      <c r="G794" s="45"/>
      <c r="H794" s="45"/>
      <c r="I794" s="10"/>
    </row>
    <row r="795">
      <c r="A795" s="10"/>
      <c r="B795" s="45"/>
      <c r="C795" s="45"/>
      <c r="D795" s="45"/>
      <c r="E795" s="45"/>
      <c r="F795" s="45"/>
      <c r="G795" s="45"/>
      <c r="H795" s="45"/>
      <c r="I795" s="10"/>
    </row>
    <row r="796">
      <c r="A796" s="10"/>
      <c r="B796" s="45"/>
      <c r="C796" s="45"/>
      <c r="D796" s="45"/>
      <c r="E796" s="45"/>
      <c r="F796" s="45"/>
      <c r="G796" s="45"/>
      <c r="H796" s="45"/>
      <c r="I796" s="10"/>
    </row>
    <row r="797">
      <c r="A797" s="10"/>
      <c r="B797" s="45"/>
      <c r="C797" s="45"/>
      <c r="D797" s="45"/>
      <c r="E797" s="45"/>
      <c r="F797" s="45"/>
      <c r="G797" s="45"/>
      <c r="H797" s="45"/>
      <c r="I797" s="10"/>
    </row>
    <row r="798">
      <c r="A798" s="10"/>
      <c r="B798" s="45"/>
      <c r="C798" s="45"/>
      <c r="D798" s="45"/>
      <c r="E798" s="45"/>
      <c r="F798" s="45"/>
      <c r="G798" s="45"/>
      <c r="H798" s="45"/>
      <c r="I798" s="10"/>
    </row>
    <row r="799">
      <c r="A799" s="10"/>
      <c r="B799" s="45"/>
      <c r="C799" s="45"/>
      <c r="D799" s="45"/>
      <c r="E799" s="45"/>
      <c r="F799" s="45"/>
      <c r="G799" s="45"/>
      <c r="H799" s="45"/>
      <c r="I799" s="10"/>
    </row>
    <row r="800">
      <c r="A800" s="10"/>
      <c r="B800" s="45"/>
      <c r="C800" s="45"/>
      <c r="D800" s="45"/>
      <c r="E800" s="45"/>
      <c r="F800" s="45"/>
      <c r="G800" s="45"/>
      <c r="H800" s="45"/>
      <c r="I800" s="10"/>
    </row>
    <row r="801">
      <c r="A801" s="10"/>
      <c r="B801" s="45"/>
      <c r="C801" s="45"/>
      <c r="D801" s="45"/>
      <c r="E801" s="45"/>
      <c r="F801" s="45"/>
      <c r="G801" s="45"/>
      <c r="H801" s="45"/>
      <c r="I801" s="10"/>
    </row>
    <row r="802">
      <c r="A802" s="10"/>
      <c r="B802" s="45"/>
      <c r="C802" s="45"/>
      <c r="D802" s="45"/>
      <c r="E802" s="45"/>
      <c r="F802" s="45"/>
      <c r="G802" s="45"/>
      <c r="H802" s="45"/>
      <c r="I802" s="10"/>
    </row>
    <row r="803">
      <c r="A803" s="10"/>
      <c r="B803" s="45"/>
      <c r="C803" s="45"/>
      <c r="D803" s="45"/>
      <c r="E803" s="45"/>
      <c r="F803" s="45"/>
      <c r="G803" s="45"/>
      <c r="H803" s="45"/>
      <c r="I803" s="10"/>
    </row>
    <row r="804">
      <c r="A804" s="10"/>
      <c r="B804" s="45"/>
      <c r="C804" s="45"/>
      <c r="D804" s="45"/>
      <c r="E804" s="45"/>
      <c r="F804" s="45"/>
      <c r="G804" s="45"/>
      <c r="H804" s="45"/>
      <c r="I804" s="10"/>
    </row>
    <row r="805">
      <c r="A805" s="10"/>
      <c r="B805" s="45"/>
      <c r="C805" s="45"/>
      <c r="D805" s="45"/>
      <c r="E805" s="45"/>
      <c r="F805" s="45"/>
      <c r="G805" s="45"/>
      <c r="H805" s="45"/>
      <c r="I805" s="10"/>
    </row>
    <row r="806">
      <c r="A806" s="10"/>
      <c r="B806" s="45"/>
      <c r="C806" s="45"/>
      <c r="D806" s="45"/>
      <c r="E806" s="45"/>
      <c r="F806" s="45"/>
      <c r="G806" s="45"/>
      <c r="H806" s="45"/>
      <c r="I806" s="10"/>
    </row>
    <row r="807">
      <c r="A807" s="10"/>
      <c r="B807" s="45"/>
      <c r="C807" s="45"/>
      <c r="D807" s="45"/>
      <c r="E807" s="45"/>
      <c r="F807" s="45"/>
      <c r="G807" s="45"/>
      <c r="H807" s="45"/>
      <c r="I807" s="10"/>
    </row>
    <row r="808">
      <c r="A808" s="10"/>
      <c r="B808" s="45"/>
      <c r="C808" s="45"/>
      <c r="D808" s="45"/>
      <c r="E808" s="45"/>
      <c r="F808" s="45"/>
      <c r="G808" s="45"/>
      <c r="H808" s="45"/>
      <c r="I808" s="10"/>
    </row>
    <row r="809">
      <c r="A809" s="10"/>
      <c r="B809" s="45"/>
      <c r="C809" s="45"/>
      <c r="D809" s="45"/>
      <c r="E809" s="45"/>
      <c r="F809" s="45"/>
      <c r="G809" s="45"/>
      <c r="H809" s="45"/>
      <c r="I809" s="10"/>
    </row>
    <row r="810">
      <c r="A810" s="10"/>
      <c r="B810" s="45"/>
      <c r="C810" s="45"/>
      <c r="D810" s="45"/>
      <c r="E810" s="45"/>
      <c r="F810" s="45"/>
      <c r="G810" s="45"/>
      <c r="H810" s="45"/>
      <c r="I810" s="10"/>
    </row>
    <row r="811">
      <c r="A811" s="10"/>
      <c r="B811" s="45"/>
      <c r="C811" s="45"/>
      <c r="D811" s="45"/>
      <c r="E811" s="45"/>
      <c r="F811" s="45"/>
      <c r="G811" s="45"/>
      <c r="H811" s="45"/>
      <c r="I811" s="10"/>
    </row>
    <row r="812">
      <c r="A812" s="10"/>
      <c r="B812" s="45"/>
      <c r="C812" s="45"/>
      <c r="D812" s="45"/>
      <c r="E812" s="45"/>
      <c r="F812" s="45"/>
      <c r="G812" s="45"/>
      <c r="H812" s="45"/>
      <c r="I812" s="10"/>
    </row>
    <row r="813">
      <c r="A813" s="10"/>
      <c r="B813" s="45"/>
      <c r="C813" s="45"/>
      <c r="D813" s="45"/>
      <c r="E813" s="45"/>
      <c r="F813" s="45"/>
      <c r="G813" s="45"/>
      <c r="H813" s="45"/>
      <c r="I813" s="10"/>
    </row>
    <row r="814">
      <c r="A814" s="10"/>
      <c r="B814" s="45"/>
      <c r="C814" s="45"/>
      <c r="D814" s="45"/>
      <c r="E814" s="45"/>
      <c r="F814" s="45"/>
      <c r="G814" s="45"/>
      <c r="H814" s="45"/>
      <c r="I814" s="10"/>
    </row>
    <row r="815">
      <c r="A815" s="10"/>
      <c r="B815" s="45"/>
      <c r="C815" s="45"/>
      <c r="D815" s="45"/>
      <c r="E815" s="45"/>
      <c r="F815" s="45"/>
      <c r="G815" s="45"/>
      <c r="H815" s="45"/>
      <c r="I815" s="10"/>
    </row>
    <row r="816">
      <c r="A816" s="10"/>
      <c r="B816" s="45"/>
      <c r="C816" s="45"/>
      <c r="D816" s="45"/>
      <c r="E816" s="45"/>
      <c r="F816" s="45"/>
      <c r="G816" s="45"/>
      <c r="H816" s="45"/>
      <c r="I816" s="10"/>
    </row>
    <row r="817">
      <c r="A817" s="10"/>
      <c r="B817" s="45"/>
      <c r="C817" s="45"/>
      <c r="D817" s="45"/>
      <c r="E817" s="45"/>
      <c r="F817" s="45"/>
      <c r="G817" s="45"/>
      <c r="H817" s="45"/>
      <c r="I817" s="10"/>
    </row>
    <row r="818">
      <c r="A818" s="10"/>
      <c r="B818" s="45"/>
      <c r="C818" s="45"/>
      <c r="D818" s="45"/>
      <c r="E818" s="45"/>
      <c r="F818" s="45"/>
      <c r="G818" s="45"/>
      <c r="H818" s="45"/>
      <c r="I818" s="10"/>
    </row>
    <row r="819">
      <c r="A819" s="10"/>
      <c r="B819" s="45"/>
      <c r="C819" s="45"/>
      <c r="D819" s="45"/>
      <c r="E819" s="45"/>
      <c r="F819" s="45"/>
      <c r="G819" s="45"/>
      <c r="H819" s="45"/>
      <c r="I819" s="10"/>
    </row>
    <row r="820">
      <c r="A820" s="10"/>
      <c r="B820" s="45"/>
      <c r="C820" s="45"/>
      <c r="D820" s="45"/>
      <c r="E820" s="45"/>
      <c r="F820" s="45"/>
      <c r="G820" s="45"/>
      <c r="H820" s="45"/>
      <c r="I820" s="10"/>
    </row>
    <row r="821">
      <c r="A821" s="10"/>
      <c r="B821" s="45"/>
      <c r="C821" s="45"/>
      <c r="D821" s="45"/>
      <c r="E821" s="45"/>
      <c r="F821" s="45"/>
      <c r="G821" s="45"/>
      <c r="H821" s="45"/>
      <c r="I821" s="10"/>
    </row>
    <row r="822">
      <c r="A822" s="10"/>
      <c r="B822" s="45"/>
      <c r="C822" s="45"/>
      <c r="D822" s="45"/>
      <c r="E822" s="45"/>
      <c r="F822" s="45"/>
      <c r="G822" s="45"/>
      <c r="H822" s="45"/>
      <c r="I822" s="10"/>
    </row>
    <row r="823">
      <c r="A823" s="10"/>
      <c r="B823" s="45"/>
      <c r="C823" s="45"/>
      <c r="D823" s="45"/>
      <c r="E823" s="45"/>
      <c r="F823" s="45"/>
      <c r="G823" s="45"/>
      <c r="H823" s="45"/>
      <c r="I823" s="10"/>
    </row>
    <row r="824">
      <c r="A824" s="10"/>
      <c r="B824" s="45"/>
      <c r="C824" s="45"/>
      <c r="D824" s="45"/>
      <c r="E824" s="45"/>
      <c r="F824" s="45"/>
      <c r="G824" s="45"/>
      <c r="H824" s="45"/>
      <c r="I824" s="10"/>
    </row>
    <row r="825">
      <c r="A825" s="10"/>
      <c r="B825" s="45"/>
      <c r="C825" s="45"/>
      <c r="D825" s="45"/>
      <c r="E825" s="45"/>
      <c r="F825" s="45"/>
      <c r="G825" s="45"/>
      <c r="H825" s="45"/>
      <c r="I825" s="10"/>
    </row>
    <row r="826">
      <c r="A826" s="10"/>
      <c r="B826" s="45"/>
      <c r="C826" s="45"/>
      <c r="D826" s="45"/>
      <c r="E826" s="45"/>
      <c r="F826" s="45"/>
      <c r="G826" s="45"/>
      <c r="H826" s="45"/>
      <c r="I826" s="10"/>
    </row>
    <row r="827">
      <c r="A827" s="10"/>
      <c r="B827" s="45"/>
      <c r="C827" s="45"/>
      <c r="D827" s="45"/>
      <c r="E827" s="45"/>
      <c r="F827" s="45"/>
      <c r="G827" s="45"/>
      <c r="H827" s="45"/>
      <c r="I827" s="10"/>
    </row>
    <row r="828">
      <c r="A828" s="10"/>
      <c r="B828" s="45"/>
      <c r="C828" s="45"/>
      <c r="D828" s="45"/>
      <c r="E828" s="45"/>
      <c r="F828" s="45"/>
      <c r="G828" s="45"/>
      <c r="H828" s="45"/>
      <c r="I828" s="10"/>
    </row>
    <row r="829">
      <c r="A829" s="10"/>
      <c r="B829" s="45"/>
      <c r="C829" s="45"/>
      <c r="D829" s="45"/>
      <c r="E829" s="45"/>
      <c r="F829" s="45"/>
      <c r="G829" s="45"/>
      <c r="H829" s="45"/>
      <c r="I829" s="10"/>
    </row>
    <row r="830">
      <c r="A830" s="10"/>
      <c r="B830" s="45"/>
      <c r="C830" s="45"/>
      <c r="D830" s="45"/>
      <c r="E830" s="45"/>
      <c r="F830" s="45"/>
      <c r="G830" s="45"/>
      <c r="H830" s="45"/>
      <c r="I830" s="10"/>
    </row>
    <row r="831">
      <c r="A831" s="10"/>
      <c r="B831" s="45"/>
      <c r="C831" s="45"/>
      <c r="D831" s="45"/>
      <c r="E831" s="45"/>
      <c r="F831" s="45"/>
      <c r="G831" s="45"/>
      <c r="H831" s="45"/>
      <c r="I831" s="10"/>
    </row>
    <row r="832">
      <c r="A832" s="10"/>
      <c r="B832" s="45"/>
      <c r="C832" s="45"/>
      <c r="D832" s="45"/>
      <c r="E832" s="45"/>
      <c r="F832" s="45"/>
      <c r="G832" s="45"/>
      <c r="H832" s="45"/>
      <c r="I832" s="10"/>
    </row>
    <row r="833">
      <c r="A833" s="10"/>
      <c r="B833" s="45"/>
      <c r="C833" s="45"/>
      <c r="D833" s="45"/>
      <c r="E833" s="45"/>
      <c r="F833" s="45"/>
      <c r="G833" s="45"/>
      <c r="H833" s="45"/>
      <c r="I833" s="10"/>
    </row>
    <row r="834">
      <c r="A834" s="10"/>
      <c r="B834" s="45"/>
      <c r="C834" s="45"/>
      <c r="D834" s="45"/>
      <c r="E834" s="45"/>
      <c r="F834" s="45"/>
      <c r="G834" s="45"/>
      <c r="H834" s="45"/>
      <c r="I834" s="10"/>
    </row>
    <row r="835">
      <c r="A835" s="10"/>
      <c r="B835" s="45"/>
      <c r="C835" s="45"/>
      <c r="D835" s="45"/>
      <c r="E835" s="45"/>
      <c r="F835" s="45"/>
      <c r="G835" s="45"/>
      <c r="H835" s="45"/>
      <c r="I835" s="10"/>
    </row>
    <row r="836">
      <c r="A836" s="10"/>
      <c r="B836" s="45"/>
      <c r="C836" s="45"/>
      <c r="D836" s="45"/>
      <c r="E836" s="45"/>
      <c r="F836" s="45"/>
      <c r="G836" s="45"/>
      <c r="H836" s="45"/>
      <c r="I836" s="10"/>
    </row>
    <row r="837">
      <c r="A837" s="10"/>
      <c r="B837" s="45"/>
      <c r="C837" s="45"/>
      <c r="D837" s="45"/>
      <c r="E837" s="45"/>
      <c r="F837" s="45"/>
      <c r="G837" s="45"/>
      <c r="H837" s="45"/>
      <c r="I837" s="10"/>
    </row>
    <row r="838">
      <c r="A838" s="10"/>
      <c r="B838" s="45"/>
      <c r="C838" s="45"/>
      <c r="D838" s="45"/>
      <c r="E838" s="45"/>
      <c r="F838" s="45"/>
      <c r="G838" s="45"/>
      <c r="H838" s="45"/>
      <c r="I838" s="10"/>
    </row>
    <row r="839">
      <c r="A839" s="10"/>
      <c r="B839" s="45"/>
      <c r="C839" s="45"/>
      <c r="D839" s="45"/>
      <c r="E839" s="45"/>
      <c r="F839" s="45"/>
      <c r="G839" s="45"/>
      <c r="H839" s="45"/>
      <c r="I839" s="10"/>
    </row>
    <row r="840">
      <c r="A840" s="10"/>
      <c r="B840" s="45"/>
      <c r="C840" s="45"/>
      <c r="D840" s="45"/>
      <c r="E840" s="45"/>
      <c r="F840" s="45"/>
      <c r="G840" s="45"/>
      <c r="H840" s="45"/>
      <c r="I840" s="10"/>
    </row>
    <row r="841">
      <c r="A841" s="10"/>
      <c r="B841" s="45"/>
      <c r="C841" s="45"/>
      <c r="D841" s="45"/>
      <c r="E841" s="45"/>
      <c r="F841" s="45"/>
      <c r="G841" s="45"/>
      <c r="H841" s="45"/>
      <c r="I841" s="10"/>
    </row>
    <row r="842">
      <c r="A842" s="10"/>
      <c r="B842" s="45"/>
      <c r="C842" s="45"/>
      <c r="D842" s="45"/>
      <c r="E842" s="45"/>
      <c r="F842" s="45"/>
      <c r="G842" s="45"/>
      <c r="H842" s="45"/>
      <c r="I842" s="10"/>
    </row>
    <row r="843">
      <c r="A843" s="10"/>
      <c r="B843" s="45"/>
      <c r="C843" s="45"/>
      <c r="D843" s="45"/>
      <c r="E843" s="45"/>
      <c r="F843" s="45"/>
      <c r="G843" s="45"/>
      <c r="H843" s="45"/>
      <c r="I843" s="10"/>
    </row>
    <row r="844">
      <c r="A844" s="10"/>
      <c r="B844" s="45"/>
      <c r="C844" s="45"/>
      <c r="D844" s="45"/>
      <c r="E844" s="45"/>
      <c r="F844" s="45"/>
      <c r="G844" s="45"/>
      <c r="H844" s="45"/>
      <c r="I844" s="10"/>
    </row>
    <row r="845">
      <c r="A845" s="10"/>
      <c r="B845" s="45"/>
      <c r="C845" s="45"/>
      <c r="D845" s="45"/>
      <c r="E845" s="45"/>
      <c r="F845" s="45"/>
      <c r="G845" s="45"/>
      <c r="H845" s="45"/>
      <c r="I845" s="10"/>
    </row>
    <row r="846">
      <c r="A846" s="10"/>
      <c r="B846" s="45"/>
      <c r="C846" s="45"/>
      <c r="D846" s="45"/>
      <c r="E846" s="45"/>
      <c r="F846" s="45"/>
      <c r="G846" s="45"/>
      <c r="H846" s="45"/>
      <c r="I846" s="10"/>
    </row>
    <row r="847">
      <c r="A847" s="10"/>
      <c r="B847" s="45"/>
      <c r="C847" s="45"/>
      <c r="D847" s="45"/>
      <c r="E847" s="45"/>
      <c r="F847" s="45"/>
      <c r="G847" s="45"/>
      <c r="H847" s="45"/>
      <c r="I847" s="10"/>
    </row>
    <row r="848">
      <c r="A848" s="10"/>
      <c r="B848" s="45"/>
      <c r="C848" s="45"/>
      <c r="D848" s="45"/>
      <c r="E848" s="45"/>
      <c r="F848" s="45"/>
      <c r="G848" s="45"/>
      <c r="H848" s="45"/>
      <c r="I848" s="10"/>
    </row>
    <row r="849">
      <c r="A849" s="10"/>
      <c r="B849" s="45"/>
      <c r="C849" s="45"/>
      <c r="D849" s="45"/>
      <c r="E849" s="45"/>
      <c r="F849" s="45"/>
      <c r="G849" s="45"/>
      <c r="H849" s="45"/>
      <c r="I849" s="10"/>
    </row>
    <row r="850">
      <c r="A850" s="10"/>
      <c r="B850" s="45"/>
      <c r="C850" s="45"/>
      <c r="D850" s="45"/>
      <c r="E850" s="45"/>
      <c r="F850" s="45"/>
      <c r="G850" s="45"/>
      <c r="H850" s="45"/>
      <c r="I850" s="10"/>
    </row>
    <row r="851">
      <c r="A851" s="10"/>
      <c r="B851" s="45"/>
      <c r="C851" s="45"/>
      <c r="D851" s="45"/>
      <c r="E851" s="45"/>
      <c r="F851" s="45"/>
      <c r="G851" s="45"/>
      <c r="H851" s="45"/>
      <c r="I851" s="10"/>
    </row>
    <row r="852">
      <c r="A852" s="10"/>
      <c r="B852" s="45"/>
      <c r="C852" s="45"/>
      <c r="D852" s="45"/>
      <c r="E852" s="45"/>
      <c r="F852" s="45"/>
      <c r="G852" s="45"/>
      <c r="H852" s="45"/>
      <c r="I852" s="10"/>
    </row>
    <row r="853">
      <c r="A853" s="10"/>
      <c r="B853" s="45"/>
      <c r="C853" s="45"/>
      <c r="D853" s="45"/>
      <c r="E853" s="45"/>
      <c r="F853" s="45"/>
      <c r="G853" s="45"/>
      <c r="H853" s="45"/>
      <c r="I853" s="10"/>
    </row>
    <row r="854">
      <c r="A854" s="10"/>
      <c r="B854" s="45"/>
      <c r="C854" s="45"/>
      <c r="D854" s="45"/>
      <c r="E854" s="45"/>
      <c r="F854" s="45"/>
      <c r="G854" s="45"/>
      <c r="H854" s="45"/>
      <c r="I854" s="10"/>
    </row>
    <row r="855">
      <c r="A855" s="10"/>
      <c r="B855" s="45"/>
      <c r="C855" s="45"/>
      <c r="D855" s="45"/>
      <c r="E855" s="45"/>
      <c r="F855" s="45"/>
      <c r="G855" s="45"/>
      <c r="H855" s="45"/>
      <c r="I855" s="10"/>
    </row>
    <row r="856">
      <c r="A856" s="10"/>
      <c r="B856" s="45"/>
      <c r="C856" s="45"/>
      <c r="D856" s="45"/>
      <c r="E856" s="45"/>
      <c r="F856" s="45"/>
      <c r="G856" s="45"/>
      <c r="H856" s="45"/>
      <c r="I856" s="10"/>
    </row>
    <row r="857">
      <c r="A857" s="10"/>
      <c r="B857" s="45"/>
      <c r="C857" s="45"/>
      <c r="D857" s="45"/>
      <c r="E857" s="45"/>
      <c r="F857" s="45"/>
      <c r="G857" s="45"/>
      <c r="H857" s="45"/>
      <c r="I857" s="10"/>
    </row>
    <row r="858">
      <c r="A858" s="10"/>
      <c r="B858" s="45"/>
      <c r="C858" s="45"/>
      <c r="D858" s="45"/>
      <c r="E858" s="45"/>
      <c r="F858" s="45"/>
      <c r="G858" s="45"/>
      <c r="H858" s="45"/>
      <c r="I858" s="10"/>
    </row>
    <row r="859">
      <c r="A859" s="10"/>
      <c r="B859" s="45"/>
      <c r="C859" s="45"/>
      <c r="D859" s="45"/>
      <c r="E859" s="45"/>
      <c r="F859" s="45"/>
      <c r="G859" s="45"/>
      <c r="H859" s="45"/>
      <c r="I859" s="10"/>
    </row>
    <row r="860">
      <c r="A860" s="10"/>
      <c r="B860" s="45"/>
      <c r="C860" s="45"/>
      <c r="D860" s="45"/>
      <c r="E860" s="45"/>
      <c r="F860" s="45"/>
      <c r="G860" s="45"/>
      <c r="H860" s="45"/>
      <c r="I860" s="10"/>
    </row>
    <row r="861">
      <c r="A861" s="10"/>
      <c r="B861" s="45"/>
      <c r="C861" s="45"/>
      <c r="D861" s="45"/>
      <c r="E861" s="45"/>
      <c r="F861" s="45"/>
      <c r="G861" s="45"/>
      <c r="H861" s="45"/>
      <c r="I861" s="10"/>
    </row>
    <row r="862">
      <c r="A862" s="10"/>
      <c r="B862" s="45"/>
      <c r="C862" s="45"/>
      <c r="D862" s="45"/>
      <c r="E862" s="45"/>
      <c r="F862" s="45"/>
      <c r="G862" s="45"/>
      <c r="H862" s="45"/>
      <c r="I862" s="10"/>
    </row>
    <row r="863">
      <c r="A863" s="10"/>
      <c r="B863" s="45"/>
      <c r="C863" s="45"/>
      <c r="D863" s="45"/>
      <c r="E863" s="45"/>
      <c r="F863" s="45"/>
      <c r="G863" s="45"/>
      <c r="H863" s="45"/>
      <c r="I863" s="10"/>
    </row>
    <row r="864">
      <c r="A864" s="10"/>
      <c r="B864" s="45"/>
      <c r="C864" s="45"/>
      <c r="D864" s="45"/>
      <c r="E864" s="45"/>
      <c r="F864" s="45"/>
      <c r="G864" s="45"/>
      <c r="H864" s="45"/>
      <c r="I864" s="10"/>
    </row>
    <row r="865">
      <c r="A865" s="10"/>
      <c r="B865" s="45"/>
      <c r="C865" s="45"/>
      <c r="D865" s="45"/>
      <c r="E865" s="45"/>
      <c r="F865" s="45"/>
      <c r="G865" s="45"/>
      <c r="H865" s="45"/>
      <c r="I865" s="10"/>
    </row>
    <row r="866">
      <c r="A866" s="10"/>
      <c r="B866" s="45"/>
      <c r="C866" s="45"/>
      <c r="D866" s="45"/>
      <c r="E866" s="45"/>
      <c r="F866" s="45"/>
      <c r="G866" s="45"/>
      <c r="H866" s="45"/>
      <c r="I866" s="10"/>
    </row>
    <row r="867">
      <c r="A867" s="10"/>
      <c r="B867" s="45"/>
      <c r="C867" s="45"/>
      <c r="D867" s="45"/>
      <c r="E867" s="45"/>
      <c r="F867" s="45"/>
      <c r="G867" s="45"/>
      <c r="H867" s="45"/>
      <c r="I867" s="10"/>
    </row>
    <row r="868">
      <c r="A868" s="10"/>
      <c r="B868" s="45"/>
      <c r="C868" s="45"/>
      <c r="D868" s="45"/>
      <c r="E868" s="45"/>
      <c r="F868" s="45"/>
      <c r="G868" s="45"/>
      <c r="H868" s="45"/>
      <c r="I868" s="10"/>
    </row>
    <row r="869">
      <c r="A869" s="10"/>
      <c r="B869" s="45"/>
      <c r="C869" s="45"/>
      <c r="D869" s="45"/>
      <c r="E869" s="45"/>
      <c r="F869" s="45"/>
      <c r="G869" s="45"/>
      <c r="H869" s="45"/>
      <c r="I869" s="10"/>
    </row>
    <row r="870">
      <c r="A870" s="10"/>
      <c r="B870" s="45"/>
      <c r="C870" s="45"/>
      <c r="D870" s="45"/>
      <c r="E870" s="45"/>
      <c r="F870" s="45"/>
      <c r="G870" s="45"/>
      <c r="H870" s="45"/>
      <c r="I870" s="10"/>
    </row>
    <row r="871">
      <c r="A871" s="10"/>
      <c r="B871" s="45"/>
      <c r="C871" s="45"/>
      <c r="D871" s="45"/>
      <c r="E871" s="45"/>
      <c r="F871" s="45"/>
      <c r="G871" s="45"/>
      <c r="H871" s="45"/>
      <c r="I871" s="10"/>
    </row>
    <row r="872">
      <c r="A872" s="10"/>
      <c r="B872" s="45"/>
      <c r="C872" s="45"/>
      <c r="D872" s="45"/>
      <c r="E872" s="45"/>
      <c r="F872" s="45"/>
      <c r="G872" s="45"/>
      <c r="H872" s="45"/>
      <c r="I872" s="10"/>
    </row>
    <row r="873">
      <c r="A873" s="10"/>
      <c r="B873" s="45"/>
      <c r="C873" s="45"/>
      <c r="D873" s="45"/>
      <c r="E873" s="45"/>
      <c r="F873" s="45"/>
      <c r="G873" s="45"/>
      <c r="H873" s="45"/>
      <c r="I873" s="10"/>
    </row>
    <row r="874">
      <c r="A874" s="10"/>
      <c r="B874" s="45"/>
      <c r="C874" s="45"/>
      <c r="D874" s="45"/>
      <c r="E874" s="45"/>
      <c r="F874" s="45"/>
      <c r="G874" s="45"/>
      <c r="H874" s="45"/>
      <c r="I874" s="10"/>
    </row>
    <row r="875">
      <c r="A875" s="10"/>
      <c r="B875" s="45"/>
      <c r="C875" s="45"/>
      <c r="D875" s="45"/>
      <c r="E875" s="45"/>
      <c r="F875" s="45"/>
      <c r="G875" s="45"/>
      <c r="H875" s="45"/>
      <c r="I875" s="10"/>
    </row>
    <row r="876">
      <c r="A876" s="10"/>
      <c r="B876" s="45"/>
      <c r="C876" s="45"/>
      <c r="D876" s="45"/>
      <c r="E876" s="45"/>
      <c r="F876" s="45"/>
      <c r="G876" s="45"/>
      <c r="H876" s="45"/>
      <c r="I876" s="10"/>
    </row>
    <row r="877">
      <c r="A877" s="10"/>
      <c r="B877" s="45"/>
      <c r="C877" s="45"/>
      <c r="D877" s="45"/>
      <c r="E877" s="45"/>
      <c r="F877" s="45"/>
      <c r="G877" s="45"/>
      <c r="H877" s="45"/>
      <c r="I877" s="10"/>
    </row>
    <row r="878">
      <c r="A878" s="10"/>
      <c r="B878" s="45"/>
      <c r="C878" s="45"/>
      <c r="D878" s="45"/>
      <c r="E878" s="45"/>
      <c r="F878" s="45"/>
      <c r="G878" s="45"/>
      <c r="H878" s="45"/>
      <c r="I878" s="10"/>
    </row>
    <row r="879">
      <c r="A879" s="10"/>
      <c r="B879" s="45"/>
      <c r="C879" s="45"/>
      <c r="D879" s="45"/>
      <c r="E879" s="45"/>
      <c r="F879" s="45"/>
      <c r="G879" s="45"/>
      <c r="H879" s="45"/>
      <c r="I879" s="10"/>
    </row>
    <row r="880">
      <c r="A880" s="10"/>
      <c r="B880" s="45"/>
      <c r="C880" s="45"/>
      <c r="D880" s="45"/>
      <c r="E880" s="45"/>
      <c r="F880" s="45"/>
      <c r="G880" s="45"/>
      <c r="H880" s="45"/>
      <c r="I880" s="10"/>
    </row>
    <row r="881">
      <c r="A881" s="10"/>
      <c r="B881" s="45"/>
      <c r="C881" s="45"/>
      <c r="D881" s="45"/>
      <c r="E881" s="45"/>
      <c r="F881" s="45"/>
      <c r="G881" s="45"/>
      <c r="H881" s="45"/>
      <c r="I881" s="10"/>
    </row>
    <row r="882">
      <c r="A882" s="10"/>
      <c r="B882" s="45"/>
      <c r="C882" s="45"/>
      <c r="D882" s="45"/>
      <c r="E882" s="45"/>
      <c r="F882" s="45"/>
      <c r="G882" s="45"/>
      <c r="H882" s="45"/>
      <c r="I882" s="10"/>
    </row>
    <row r="883">
      <c r="A883" s="10"/>
      <c r="B883" s="45"/>
      <c r="C883" s="45"/>
      <c r="D883" s="45"/>
      <c r="E883" s="45"/>
      <c r="F883" s="45"/>
      <c r="G883" s="45"/>
      <c r="H883" s="45"/>
      <c r="I883" s="10"/>
    </row>
    <row r="884">
      <c r="A884" s="10"/>
      <c r="B884" s="45"/>
      <c r="C884" s="45"/>
      <c r="D884" s="45"/>
      <c r="E884" s="45"/>
      <c r="F884" s="45"/>
      <c r="G884" s="45"/>
      <c r="H884" s="45"/>
      <c r="I884" s="10"/>
    </row>
    <row r="885">
      <c r="A885" s="10"/>
      <c r="B885" s="45"/>
      <c r="C885" s="45"/>
      <c r="D885" s="45"/>
      <c r="E885" s="45"/>
      <c r="F885" s="45"/>
      <c r="G885" s="45"/>
      <c r="H885" s="45"/>
      <c r="I885" s="10"/>
    </row>
    <row r="886">
      <c r="A886" s="10"/>
      <c r="B886" s="45"/>
      <c r="C886" s="45"/>
      <c r="D886" s="45"/>
      <c r="E886" s="45"/>
      <c r="F886" s="45"/>
      <c r="G886" s="45"/>
      <c r="H886" s="45"/>
      <c r="I886" s="10"/>
    </row>
    <row r="887">
      <c r="A887" s="10"/>
      <c r="B887" s="45"/>
      <c r="C887" s="45"/>
      <c r="D887" s="45"/>
      <c r="E887" s="45"/>
      <c r="F887" s="45"/>
      <c r="G887" s="45"/>
      <c r="H887" s="45"/>
      <c r="I887" s="10"/>
    </row>
    <row r="888">
      <c r="A888" s="10"/>
      <c r="B888" s="45"/>
      <c r="C888" s="45"/>
      <c r="D888" s="45"/>
      <c r="E888" s="45"/>
      <c r="F888" s="45"/>
      <c r="G888" s="45"/>
      <c r="H888" s="45"/>
      <c r="I888" s="10"/>
    </row>
    <row r="889">
      <c r="A889" s="10"/>
      <c r="B889" s="45"/>
      <c r="C889" s="45"/>
      <c r="D889" s="45"/>
      <c r="E889" s="45"/>
      <c r="F889" s="45"/>
      <c r="G889" s="45"/>
      <c r="H889" s="45"/>
      <c r="I889" s="10"/>
    </row>
    <row r="890">
      <c r="A890" s="10"/>
      <c r="B890" s="45"/>
      <c r="C890" s="45"/>
      <c r="D890" s="45"/>
      <c r="E890" s="45"/>
      <c r="F890" s="45"/>
      <c r="G890" s="45"/>
      <c r="H890" s="45"/>
      <c r="I890" s="10"/>
    </row>
    <row r="891">
      <c r="A891" s="10"/>
      <c r="B891" s="45"/>
      <c r="C891" s="45"/>
      <c r="D891" s="45"/>
      <c r="E891" s="45"/>
      <c r="F891" s="45"/>
      <c r="G891" s="45"/>
      <c r="H891" s="45"/>
      <c r="I891" s="10"/>
    </row>
    <row r="892">
      <c r="A892" s="10"/>
      <c r="B892" s="45"/>
      <c r="C892" s="45"/>
      <c r="D892" s="45"/>
      <c r="E892" s="45"/>
      <c r="F892" s="45"/>
      <c r="G892" s="45"/>
      <c r="H892" s="45"/>
      <c r="I892" s="10"/>
    </row>
    <row r="893">
      <c r="A893" s="10"/>
      <c r="B893" s="45"/>
      <c r="C893" s="45"/>
      <c r="D893" s="45"/>
      <c r="E893" s="45"/>
      <c r="F893" s="45"/>
      <c r="G893" s="45"/>
      <c r="H893" s="45"/>
      <c r="I893" s="10"/>
    </row>
    <row r="894">
      <c r="A894" s="10"/>
      <c r="B894" s="45"/>
      <c r="C894" s="45"/>
      <c r="D894" s="45"/>
      <c r="E894" s="45"/>
      <c r="F894" s="45"/>
      <c r="G894" s="45"/>
      <c r="H894" s="45"/>
      <c r="I894" s="10"/>
    </row>
    <row r="895">
      <c r="A895" s="10"/>
      <c r="B895" s="45"/>
      <c r="C895" s="45"/>
      <c r="D895" s="45"/>
      <c r="E895" s="45"/>
      <c r="F895" s="45"/>
      <c r="G895" s="45"/>
      <c r="H895" s="45"/>
      <c r="I895" s="10"/>
    </row>
    <row r="896">
      <c r="A896" s="10"/>
      <c r="B896" s="45"/>
      <c r="C896" s="45"/>
      <c r="D896" s="45"/>
      <c r="E896" s="45"/>
      <c r="F896" s="45"/>
      <c r="G896" s="45"/>
      <c r="H896" s="45"/>
      <c r="I896" s="10"/>
    </row>
    <row r="897">
      <c r="A897" s="10"/>
      <c r="B897" s="45"/>
      <c r="C897" s="45"/>
      <c r="D897" s="45"/>
      <c r="E897" s="45"/>
      <c r="F897" s="45"/>
      <c r="G897" s="45"/>
      <c r="H897" s="45"/>
      <c r="I897" s="10"/>
    </row>
    <row r="898">
      <c r="A898" s="10"/>
      <c r="B898" s="45"/>
      <c r="C898" s="45"/>
      <c r="D898" s="45"/>
      <c r="E898" s="45"/>
      <c r="F898" s="45"/>
      <c r="G898" s="45"/>
      <c r="H898" s="45"/>
      <c r="I898" s="10"/>
    </row>
    <row r="899">
      <c r="A899" s="10"/>
      <c r="B899" s="45"/>
      <c r="C899" s="45"/>
      <c r="D899" s="45"/>
      <c r="E899" s="45"/>
      <c r="F899" s="45"/>
      <c r="G899" s="45"/>
      <c r="H899" s="45"/>
      <c r="I899" s="10"/>
    </row>
    <row r="900">
      <c r="A900" s="10"/>
      <c r="B900" s="45"/>
      <c r="C900" s="45"/>
      <c r="D900" s="45"/>
      <c r="E900" s="45"/>
      <c r="F900" s="45"/>
      <c r="G900" s="45"/>
      <c r="H900" s="45"/>
      <c r="I900" s="10"/>
    </row>
    <row r="901">
      <c r="A901" s="10"/>
      <c r="B901" s="45"/>
      <c r="C901" s="45"/>
      <c r="D901" s="45"/>
      <c r="E901" s="45"/>
      <c r="F901" s="45"/>
      <c r="G901" s="45"/>
      <c r="H901" s="45"/>
      <c r="I901" s="10"/>
    </row>
    <row r="902">
      <c r="A902" s="10"/>
      <c r="B902" s="45"/>
      <c r="C902" s="45"/>
      <c r="D902" s="45"/>
      <c r="E902" s="45"/>
      <c r="F902" s="45"/>
      <c r="G902" s="45"/>
      <c r="H902" s="45"/>
      <c r="I902" s="10"/>
    </row>
    <row r="903">
      <c r="A903" s="10"/>
      <c r="B903" s="45"/>
      <c r="C903" s="45"/>
      <c r="D903" s="45"/>
      <c r="E903" s="45"/>
      <c r="F903" s="45"/>
      <c r="G903" s="45"/>
      <c r="H903" s="45"/>
      <c r="I903" s="10"/>
    </row>
    <row r="904">
      <c r="A904" s="10"/>
      <c r="B904" s="45"/>
      <c r="C904" s="45"/>
      <c r="D904" s="45"/>
      <c r="E904" s="45"/>
      <c r="F904" s="45"/>
      <c r="G904" s="45"/>
      <c r="H904" s="45"/>
      <c r="I904" s="10"/>
    </row>
    <row r="905">
      <c r="A905" s="10"/>
      <c r="B905" s="45"/>
      <c r="C905" s="45"/>
      <c r="D905" s="45"/>
      <c r="E905" s="45"/>
      <c r="F905" s="45"/>
      <c r="G905" s="45"/>
      <c r="H905" s="45"/>
      <c r="I905" s="10"/>
    </row>
    <row r="906">
      <c r="A906" s="10"/>
      <c r="B906" s="45"/>
      <c r="C906" s="45"/>
      <c r="D906" s="45"/>
      <c r="E906" s="45"/>
      <c r="F906" s="45"/>
      <c r="G906" s="45"/>
      <c r="H906" s="45"/>
      <c r="I906" s="10"/>
    </row>
    <row r="907">
      <c r="A907" s="10"/>
      <c r="B907" s="45"/>
      <c r="C907" s="45"/>
      <c r="D907" s="45"/>
      <c r="E907" s="45"/>
      <c r="F907" s="45"/>
      <c r="G907" s="45"/>
      <c r="H907" s="45"/>
      <c r="I907" s="10"/>
    </row>
    <row r="908">
      <c r="A908" s="10"/>
      <c r="B908" s="45"/>
      <c r="C908" s="45"/>
      <c r="D908" s="45"/>
      <c r="E908" s="45"/>
      <c r="F908" s="45"/>
      <c r="G908" s="45"/>
      <c r="H908" s="45"/>
      <c r="I908" s="10"/>
    </row>
    <row r="909">
      <c r="A909" s="10"/>
      <c r="B909" s="45"/>
      <c r="C909" s="45"/>
      <c r="D909" s="45"/>
      <c r="E909" s="45"/>
      <c r="F909" s="45"/>
      <c r="G909" s="45"/>
      <c r="H909" s="45"/>
      <c r="I909" s="10"/>
    </row>
    <row r="910">
      <c r="A910" s="10"/>
      <c r="B910" s="45"/>
      <c r="C910" s="45"/>
      <c r="D910" s="45"/>
      <c r="E910" s="45"/>
      <c r="F910" s="45"/>
      <c r="G910" s="45"/>
      <c r="H910" s="45"/>
      <c r="I910" s="10"/>
    </row>
    <row r="911">
      <c r="A911" s="10"/>
      <c r="B911" s="45"/>
      <c r="C911" s="45"/>
      <c r="D911" s="45"/>
      <c r="E911" s="45"/>
      <c r="F911" s="45"/>
      <c r="G911" s="45"/>
      <c r="H911" s="45"/>
      <c r="I911" s="10"/>
    </row>
    <row r="912">
      <c r="A912" s="10"/>
      <c r="B912" s="45"/>
      <c r="C912" s="45"/>
      <c r="D912" s="45"/>
      <c r="E912" s="45"/>
      <c r="F912" s="45"/>
      <c r="G912" s="45"/>
      <c r="H912" s="45"/>
      <c r="I912" s="10"/>
    </row>
    <row r="913">
      <c r="A913" s="10"/>
      <c r="B913" s="45"/>
      <c r="C913" s="45"/>
      <c r="D913" s="45"/>
      <c r="E913" s="45"/>
      <c r="F913" s="45"/>
      <c r="G913" s="45"/>
      <c r="H913" s="45"/>
      <c r="I913" s="10"/>
    </row>
    <row r="914">
      <c r="A914" s="10"/>
      <c r="B914" s="45"/>
      <c r="C914" s="45"/>
      <c r="D914" s="45"/>
      <c r="E914" s="45"/>
      <c r="F914" s="45"/>
      <c r="G914" s="45"/>
      <c r="H914" s="45"/>
      <c r="I914" s="10"/>
    </row>
    <row r="915">
      <c r="A915" s="10"/>
      <c r="B915" s="45"/>
      <c r="C915" s="45"/>
      <c r="D915" s="45"/>
      <c r="E915" s="45"/>
      <c r="F915" s="45"/>
      <c r="G915" s="45"/>
      <c r="H915" s="45"/>
      <c r="I915" s="10"/>
    </row>
    <row r="916">
      <c r="A916" s="10"/>
      <c r="B916" s="45"/>
      <c r="C916" s="45"/>
      <c r="D916" s="45"/>
      <c r="E916" s="45"/>
      <c r="F916" s="45"/>
      <c r="G916" s="45"/>
      <c r="H916" s="45"/>
      <c r="I916" s="10"/>
    </row>
    <row r="917">
      <c r="A917" s="10"/>
      <c r="B917" s="45"/>
      <c r="C917" s="45"/>
      <c r="D917" s="45"/>
      <c r="E917" s="45"/>
      <c r="F917" s="45"/>
      <c r="G917" s="45"/>
      <c r="H917" s="45"/>
      <c r="I917" s="10"/>
    </row>
    <row r="918">
      <c r="A918" s="10"/>
      <c r="B918" s="45"/>
      <c r="C918" s="45"/>
      <c r="D918" s="45"/>
      <c r="E918" s="45"/>
      <c r="F918" s="45"/>
      <c r="G918" s="45"/>
      <c r="H918" s="45"/>
      <c r="I918" s="10"/>
    </row>
    <row r="919">
      <c r="A919" s="10"/>
      <c r="B919" s="45"/>
      <c r="C919" s="45"/>
      <c r="D919" s="45"/>
      <c r="E919" s="45"/>
      <c r="F919" s="45"/>
      <c r="G919" s="45"/>
      <c r="H919" s="45"/>
      <c r="I919" s="10"/>
    </row>
    <row r="920">
      <c r="A920" s="10"/>
      <c r="B920" s="45"/>
      <c r="C920" s="45"/>
      <c r="D920" s="45"/>
      <c r="E920" s="45"/>
      <c r="F920" s="45"/>
      <c r="G920" s="45"/>
      <c r="H920" s="45"/>
      <c r="I920" s="10"/>
    </row>
    <row r="921">
      <c r="A921" s="10"/>
      <c r="B921" s="45"/>
      <c r="C921" s="45"/>
      <c r="D921" s="45"/>
      <c r="E921" s="45"/>
      <c r="F921" s="45"/>
      <c r="G921" s="45"/>
      <c r="H921" s="45"/>
      <c r="I921" s="10"/>
    </row>
    <row r="922">
      <c r="A922" s="10"/>
      <c r="B922" s="45"/>
      <c r="C922" s="45"/>
      <c r="D922" s="45"/>
      <c r="E922" s="45"/>
      <c r="F922" s="45"/>
      <c r="G922" s="45"/>
      <c r="H922" s="45"/>
      <c r="I922" s="10"/>
    </row>
    <row r="923">
      <c r="A923" s="10"/>
      <c r="B923" s="45"/>
      <c r="C923" s="45"/>
      <c r="D923" s="45"/>
      <c r="E923" s="45"/>
      <c r="F923" s="45"/>
      <c r="G923" s="45"/>
      <c r="H923" s="45"/>
      <c r="I923" s="10"/>
    </row>
    <row r="924">
      <c r="A924" s="10"/>
      <c r="B924" s="45"/>
      <c r="C924" s="45"/>
      <c r="D924" s="45"/>
      <c r="E924" s="45"/>
      <c r="F924" s="45"/>
      <c r="G924" s="45"/>
      <c r="H924" s="45"/>
      <c r="I924" s="10"/>
    </row>
    <row r="925">
      <c r="A925" s="10"/>
      <c r="B925" s="45"/>
      <c r="C925" s="45"/>
      <c r="D925" s="45"/>
      <c r="E925" s="45"/>
      <c r="F925" s="45"/>
      <c r="G925" s="45"/>
      <c r="H925" s="45"/>
      <c r="I925" s="10"/>
    </row>
    <row r="926">
      <c r="A926" s="10"/>
      <c r="B926" s="45"/>
      <c r="C926" s="45"/>
      <c r="D926" s="45"/>
      <c r="E926" s="45"/>
      <c r="F926" s="45"/>
      <c r="G926" s="45"/>
      <c r="H926" s="45"/>
      <c r="I926" s="10"/>
    </row>
    <row r="927">
      <c r="A927" s="10"/>
      <c r="B927" s="45"/>
      <c r="C927" s="45"/>
      <c r="D927" s="45"/>
      <c r="E927" s="45"/>
      <c r="F927" s="45"/>
      <c r="G927" s="45"/>
      <c r="H927" s="45"/>
      <c r="I927" s="10"/>
    </row>
    <row r="928">
      <c r="A928" s="10"/>
      <c r="B928" s="45"/>
      <c r="C928" s="45"/>
      <c r="D928" s="45"/>
      <c r="E928" s="45"/>
      <c r="F928" s="45"/>
      <c r="G928" s="45"/>
      <c r="H928" s="45"/>
      <c r="I928" s="10"/>
    </row>
    <row r="929">
      <c r="A929" s="10"/>
      <c r="B929" s="45"/>
      <c r="C929" s="45"/>
      <c r="D929" s="45"/>
      <c r="E929" s="45"/>
      <c r="F929" s="45"/>
      <c r="G929" s="45"/>
      <c r="H929" s="45"/>
      <c r="I929" s="10"/>
    </row>
    <row r="930">
      <c r="A930" s="10"/>
      <c r="B930" s="45"/>
      <c r="C930" s="45"/>
      <c r="D930" s="45"/>
      <c r="E930" s="45"/>
      <c r="F930" s="45"/>
      <c r="G930" s="45"/>
      <c r="H930" s="45"/>
      <c r="I930" s="10"/>
    </row>
    <row r="931">
      <c r="A931" s="10"/>
      <c r="B931" s="45"/>
      <c r="C931" s="45"/>
      <c r="D931" s="45"/>
      <c r="E931" s="45"/>
      <c r="F931" s="45"/>
      <c r="G931" s="45"/>
      <c r="H931" s="45"/>
      <c r="I931" s="10"/>
    </row>
    <row r="932">
      <c r="A932" s="10"/>
      <c r="B932" s="45"/>
      <c r="C932" s="45"/>
      <c r="D932" s="45"/>
      <c r="E932" s="45"/>
      <c r="F932" s="45"/>
      <c r="G932" s="45"/>
      <c r="H932" s="45"/>
      <c r="I932" s="10"/>
    </row>
    <row r="933">
      <c r="A933" s="10"/>
      <c r="B933" s="45"/>
      <c r="C933" s="45"/>
      <c r="D933" s="45"/>
      <c r="E933" s="45"/>
      <c r="F933" s="45"/>
      <c r="G933" s="45"/>
      <c r="H933" s="45"/>
      <c r="I933" s="10"/>
    </row>
    <row r="934">
      <c r="A934" s="10"/>
      <c r="B934" s="45"/>
      <c r="C934" s="45"/>
      <c r="D934" s="45"/>
      <c r="E934" s="45"/>
      <c r="F934" s="45"/>
      <c r="G934" s="45"/>
      <c r="H934" s="45"/>
      <c r="I934" s="10"/>
    </row>
    <row r="935">
      <c r="A935" s="10"/>
      <c r="B935" s="45"/>
      <c r="C935" s="45"/>
      <c r="D935" s="45"/>
      <c r="E935" s="45"/>
      <c r="F935" s="45"/>
      <c r="G935" s="45"/>
      <c r="H935" s="45"/>
      <c r="I935" s="10"/>
    </row>
    <row r="936">
      <c r="A936" s="10"/>
      <c r="B936" s="45"/>
      <c r="C936" s="45"/>
      <c r="D936" s="45"/>
      <c r="E936" s="45"/>
      <c r="F936" s="45"/>
      <c r="G936" s="45"/>
      <c r="H936" s="45"/>
      <c r="I936" s="10"/>
    </row>
    <row r="937">
      <c r="A937" s="10"/>
      <c r="B937" s="45"/>
      <c r="C937" s="45"/>
      <c r="D937" s="45"/>
      <c r="E937" s="45"/>
      <c r="F937" s="45"/>
      <c r="G937" s="45"/>
      <c r="H937" s="45"/>
      <c r="I937" s="10"/>
    </row>
    <row r="938">
      <c r="A938" s="10"/>
      <c r="B938" s="45"/>
      <c r="C938" s="45"/>
      <c r="D938" s="45"/>
      <c r="E938" s="45"/>
      <c r="F938" s="45"/>
      <c r="G938" s="45"/>
      <c r="H938" s="45"/>
      <c r="I938" s="10"/>
    </row>
    <row r="939">
      <c r="A939" s="10"/>
      <c r="B939" s="45"/>
      <c r="C939" s="45"/>
      <c r="D939" s="45"/>
      <c r="E939" s="45"/>
      <c r="F939" s="45"/>
      <c r="G939" s="45"/>
      <c r="H939" s="45"/>
      <c r="I939" s="10"/>
    </row>
    <row r="940">
      <c r="A940" s="10"/>
      <c r="B940" s="45"/>
      <c r="C940" s="45"/>
      <c r="D940" s="45"/>
      <c r="E940" s="45"/>
      <c r="F940" s="45"/>
      <c r="G940" s="45"/>
      <c r="H940" s="45"/>
      <c r="I940" s="10"/>
    </row>
    <row r="941">
      <c r="A941" s="10"/>
      <c r="B941" s="45"/>
      <c r="C941" s="45"/>
      <c r="D941" s="45"/>
      <c r="E941" s="45"/>
      <c r="F941" s="45"/>
      <c r="G941" s="45"/>
      <c r="H941" s="45"/>
      <c r="I941" s="10"/>
    </row>
    <row r="942">
      <c r="A942" s="10"/>
      <c r="B942" s="45"/>
      <c r="C942" s="45"/>
      <c r="D942" s="45"/>
      <c r="E942" s="45"/>
      <c r="F942" s="45"/>
      <c r="G942" s="45"/>
      <c r="H942" s="45"/>
      <c r="I942" s="10"/>
    </row>
    <row r="943">
      <c r="A943" s="10"/>
      <c r="B943" s="45"/>
      <c r="C943" s="45"/>
      <c r="D943" s="45"/>
      <c r="E943" s="45"/>
      <c r="F943" s="45"/>
      <c r="G943" s="45"/>
      <c r="H943" s="45"/>
      <c r="I943" s="10"/>
    </row>
    <row r="944">
      <c r="A944" s="10"/>
      <c r="B944" s="45"/>
      <c r="C944" s="45"/>
      <c r="D944" s="45"/>
      <c r="E944" s="45"/>
      <c r="F944" s="45"/>
      <c r="G944" s="45"/>
      <c r="H944" s="45"/>
      <c r="I944" s="10"/>
    </row>
    <row r="945">
      <c r="A945" s="10"/>
      <c r="B945" s="45"/>
      <c r="C945" s="45"/>
      <c r="D945" s="45"/>
      <c r="E945" s="45"/>
      <c r="F945" s="45"/>
      <c r="G945" s="45"/>
      <c r="H945" s="45"/>
      <c r="I945" s="10"/>
    </row>
    <row r="946">
      <c r="A946" s="10"/>
      <c r="B946" s="45"/>
      <c r="C946" s="45"/>
      <c r="D946" s="45"/>
      <c r="E946" s="45"/>
      <c r="F946" s="45"/>
      <c r="G946" s="45"/>
      <c r="H946" s="45"/>
      <c r="I946" s="10"/>
    </row>
    <row r="947">
      <c r="A947" s="10"/>
      <c r="B947" s="45"/>
      <c r="C947" s="45"/>
      <c r="D947" s="45"/>
      <c r="E947" s="45"/>
      <c r="F947" s="45"/>
      <c r="G947" s="45"/>
      <c r="H947" s="45"/>
      <c r="I947" s="10"/>
    </row>
    <row r="948">
      <c r="A948" s="10"/>
      <c r="B948" s="45"/>
      <c r="C948" s="45"/>
      <c r="D948" s="45"/>
      <c r="E948" s="45"/>
      <c r="F948" s="45"/>
      <c r="G948" s="45"/>
      <c r="H948" s="45"/>
      <c r="I948" s="10"/>
    </row>
    <row r="949">
      <c r="A949" s="10"/>
      <c r="B949" s="45"/>
      <c r="C949" s="45"/>
      <c r="D949" s="45"/>
      <c r="E949" s="45"/>
      <c r="F949" s="45"/>
      <c r="G949" s="45"/>
      <c r="H949" s="45"/>
      <c r="I949" s="10"/>
    </row>
    <row r="950">
      <c r="A950" s="10"/>
      <c r="B950" s="45"/>
      <c r="C950" s="45"/>
      <c r="D950" s="45"/>
      <c r="E950" s="45"/>
      <c r="F950" s="45"/>
      <c r="G950" s="45"/>
      <c r="H950" s="45"/>
      <c r="I950" s="10"/>
    </row>
    <row r="951">
      <c r="A951" s="10"/>
      <c r="B951" s="45"/>
      <c r="C951" s="45"/>
      <c r="D951" s="45"/>
      <c r="E951" s="45"/>
      <c r="F951" s="45"/>
      <c r="G951" s="45"/>
      <c r="H951" s="45"/>
      <c r="I951" s="10"/>
    </row>
    <row r="952">
      <c r="A952" s="10"/>
      <c r="B952" s="45"/>
      <c r="C952" s="45"/>
      <c r="D952" s="45"/>
      <c r="E952" s="45"/>
      <c r="F952" s="45"/>
      <c r="G952" s="45"/>
      <c r="H952" s="45"/>
      <c r="I952" s="10"/>
    </row>
    <row r="953">
      <c r="A953" s="10"/>
      <c r="B953" s="45"/>
      <c r="C953" s="45"/>
      <c r="D953" s="45"/>
      <c r="E953" s="45"/>
      <c r="F953" s="45"/>
      <c r="G953" s="45"/>
      <c r="H953" s="45"/>
      <c r="I953" s="10"/>
    </row>
    <row r="954">
      <c r="A954" s="10"/>
      <c r="B954" s="45"/>
      <c r="C954" s="45"/>
      <c r="D954" s="45"/>
      <c r="E954" s="45"/>
      <c r="F954" s="45"/>
      <c r="G954" s="45"/>
      <c r="H954" s="45"/>
      <c r="I954" s="10"/>
    </row>
    <row r="955">
      <c r="A955" s="10"/>
      <c r="B955" s="45"/>
      <c r="C955" s="45"/>
      <c r="D955" s="45"/>
      <c r="E955" s="45"/>
      <c r="F955" s="45"/>
      <c r="G955" s="45"/>
      <c r="H955" s="45"/>
      <c r="I955" s="10"/>
    </row>
    <row r="956">
      <c r="A956" s="10"/>
      <c r="B956" s="45"/>
      <c r="C956" s="45"/>
      <c r="D956" s="45"/>
      <c r="E956" s="45"/>
      <c r="F956" s="45"/>
      <c r="G956" s="45"/>
      <c r="H956" s="45"/>
      <c r="I956" s="10"/>
    </row>
    <row r="957">
      <c r="A957" s="10"/>
      <c r="B957" s="45"/>
      <c r="C957" s="45"/>
      <c r="D957" s="45"/>
      <c r="E957" s="45"/>
      <c r="F957" s="45"/>
      <c r="G957" s="45"/>
      <c r="H957" s="45"/>
      <c r="I957" s="10"/>
    </row>
    <row r="958">
      <c r="A958" s="10"/>
      <c r="B958" s="45"/>
      <c r="C958" s="45"/>
      <c r="D958" s="45"/>
      <c r="E958" s="45"/>
      <c r="F958" s="45"/>
      <c r="G958" s="45"/>
      <c r="H958" s="45"/>
      <c r="I958" s="10"/>
    </row>
    <row r="959">
      <c r="A959" s="10"/>
      <c r="B959" s="45"/>
      <c r="C959" s="45"/>
      <c r="D959" s="45"/>
      <c r="E959" s="45"/>
      <c r="F959" s="45"/>
      <c r="G959" s="45"/>
      <c r="H959" s="45"/>
      <c r="I959" s="10"/>
    </row>
    <row r="960">
      <c r="A960" s="10"/>
      <c r="B960" s="45"/>
      <c r="C960" s="45"/>
      <c r="D960" s="45"/>
      <c r="E960" s="45"/>
      <c r="F960" s="45"/>
      <c r="G960" s="45"/>
      <c r="H960" s="45"/>
      <c r="I960" s="10"/>
    </row>
    <row r="961">
      <c r="A961" s="10"/>
      <c r="B961" s="45"/>
      <c r="C961" s="45"/>
      <c r="D961" s="45"/>
      <c r="E961" s="45"/>
      <c r="F961" s="45"/>
      <c r="G961" s="45"/>
      <c r="H961" s="45"/>
      <c r="I961" s="10"/>
    </row>
    <row r="962">
      <c r="A962" s="10"/>
      <c r="B962" s="45"/>
      <c r="C962" s="45"/>
      <c r="D962" s="45"/>
      <c r="E962" s="45"/>
      <c r="F962" s="45"/>
      <c r="G962" s="45"/>
      <c r="H962" s="45"/>
      <c r="I962" s="10"/>
    </row>
    <row r="963">
      <c r="A963" s="10"/>
      <c r="B963" s="45"/>
      <c r="C963" s="45"/>
      <c r="D963" s="45"/>
      <c r="E963" s="45"/>
      <c r="F963" s="45"/>
      <c r="G963" s="45"/>
      <c r="H963" s="45"/>
      <c r="I963" s="10"/>
    </row>
    <row r="964">
      <c r="A964" s="10"/>
      <c r="B964" s="45"/>
      <c r="C964" s="45"/>
      <c r="D964" s="45"/>
      <c r="E964" s="45"/>
      <c r="F964" s="45"/>
      <c r="G964" s="45"/>
      <c r="H964" s="45"/>
      <c r="I964" s="10"/>
    </row>
    <row r="965">
      <c r="A965" s="10"/>
      <c r="B965" s="45"/>
      <c r="C965" s="45"/>
      <c r="D965" s="45"/>
      <c r="E965" s="45"/>
      <c r="F965" s="45"/>
      <c r="G965" s="45"/>
      <c r="H965" s="45"/>
      <c r="I965" s="10"/>
    </row>
    <row r="966">
      <c r="A966" s="10"/>
      <c r="B966" s="45"/>
      <c r="C966" s="45"/>
      <c r="D966" s="45"/>
      <c r="E966" s="45"/>
      <c r="F966" s="45"/>
      <c r="G966" s="45"/>
      <c r="H966" s="45"/>
      <c r="I966" s="10"/>
    </row>
    <row r="967">
      <c r="A967" s="10"/>
      <c r="B967" s="45"/>
      <c r="C967" s="45"/>
      <c r="D967" s="45"/>
      <c r="E967" s="45"/>
      <c r="F967" s="45"/>
      <c r="G967" s="45"/>
      <c r="H967" s="45"/>
      <c r="I967" s="10"/>
    </row>
    <row r="968">
      <c r="A968" s="10"/>
      <c r="B968" s="45"/>
      <c r="C968" s="45"/>
      <c r="D968" s="45"/>
      <c r="E968" s="45"/>
      <c r="F968" s="45"/>
      <c r="G968" s="45"/>
      <c r="H968" s="45"/>
      <c r="I968" s="10"/>
    </row>
    <row r="969">
      <c r="A969" s="10"/>
      <c r="B969" s="45"/>
      <c r="C969" s="45"/>
      <c r="D969" s="45"/>
      <c r="E969" s="45"/>
      <c r="F969" s="45"/>
      <c r="G969" s="45"/>
      <c r="H969" s="45"/>
      <c r="I969" s="10"/>
    </row>
    <row r="970">
      <c r="A970" s="10"/>
      <c r="B970" s="45"/>
      <c r="C970" s="45"/>
      <c r="D970" s="45"/>
      <c r="E970" s="45"/>
      <c r="F970" s="45"/>
      <c r="G970" s="45"/>
      <c r="H970" s="45"/>
      <c r="I970" s="10"/>
    </row>
    <row r="971">
      <c r="A971" s="10"/>
      <c r="B971" s="45"/>
      <c r="C971" s="45"/>
      <c r="D971" s="45"/>
      <c r="E971" s="45"/>
      <c r="F971" s="45"/>
      <c r="G971" s="45"/>
      <c r="H971" s="45"/>
      <c r="I971" s="10"/>
    </row>
    <row r="972">
      <c r="A972" s="10"/>
      <c r="B972" s="45"/>
      <c r="C972" s="45"/>
      <c r="D972" s="45"/>
      <c r="E972" s="45"/>
      <c r="F972" s="45"/>
      <c r="G972" s="45"/>
      <c r="H972" s="45"/>
      <c r="I972" s="10"/>
    </row>
    <row r="973">
      <c r="A973" s="10"/>
      <c r="B973" s="45"/>
      <c r="C973" s="45"/>
      <c r="D973" s="45"/>
      <c r="E973" s="45"/>
      <c r="F973" s="45"/>
      <c r="G973" s="45"/>
      <c r="H973" s="45"/>
      <c r="I973" s="10"/>
    </row>
    <row r="974">
      <c r="A974" s="10"/>
      <c r="B974" s="45"/>
      <c r="C974" s="45"/>
      <c r="D974" s="45"/>
      <c r="E974" s="45"/>
      <c r="F974" s="45"/>
      <c r="G974" s="45"/>
      <c r="H974" s="45"/>
      <c r="I974" s="10"/>
    </row>
    <row r="975">
      <c r="A975" s="10"/>
      <c r="B975" s="45"/>
      <c r="C975" s="45"/>
      <c r="D975" s="45"/>
      <c r="E975" s="45"/>
      <c r="F975" s="45"/>
      <c r="G975" s="45"/>
      <c r="H975" s="45"/>
      <c r="I975" s="10"/>
    </row>
    <row r="976">
      <c r="A976" s="10"/>
      <c r="B976" s="45"/>
      <c r="C976" s="45"/>
      <c r="D976" s="45"/>
      <c r="E976" s="45"/>
      <c r="F976" s="45"/>
      <c r="G976" s="45"/>
      <c r="H976" s="45"/>
      <c r="I976" s="10"/>
    </row>
    <row r="977">
      <c r="A977" s="10"/>
      <c r="B977" s="45"/>
      <c r="C977" s="45"/>
      <c r="D977" s="45"/>
      <c r="E977" s="45"/>
      <c r="F977" s="45"/>
      <c r="G977" s="45"/>
      <c r="H977" s="45"/>
      <c r="I977" s="10"/>
    </row>
    <row r="978">
      <c r="A978" s="10"/>
      <c r="B978" s="45"/>
      <c r="C978" s="45"/>
      <c r="D978" s="45"/>
      <c r="E978" s="45"/>
      <c r="F978" s="45"/>
      <c r="G978" s="45"/>
      <c r="H978" s="45"/>
      <c r="I978" s="10"/>
    </row>
    <row r="979">
      <c r="A979" s="10"/>
      <c r="B979" s="45"/>
      <c r="C979" s="45"/>
      <c r="D979" s="45"/>
      <c r="E979" s="45"/>
      <c r="F979" s="45"/>
      <c r="G979" s="45"/>
      <c r="H979" s="45"/>
      <c r="I979" s="10"/>
    </row>
    <row r="980">
      <c r="A980" s="10"/>
      <c r="B980" s="45"/>
      <c r="C980" s="45"/>
      <c r="D980" s="45"/>
      <c r="E980" s="45"/>
      <c r="F980" s="45"/>
      <c r="G980" s="45"/>
      <c r="H980" s="45"/>
      <c r="I980" s="10"/>
    </row>
    <row r="981">
      <c r="A981" s="10"/>
      <c r="B981" s="45"/>
      <c r="C981" s="45"/>
      <c r="D981" s="45"/>
      <c r="E981" s="45"/>
      <c r="F981" s="45"/>
      <c r="G981" s="45"/>
      <c r="H981" s="45"/>
      <c r="I981" s="10"/>
    </row>
    <row r="982">
      <c r="A982" s="10"/>
      <c r="B982" s="45"/>
      <c r="C982" s="45"/>
      <c r="D982" s="45"/>
      <c r="E982" s="45"/>
      <c r="F982" s="45"/>
      <c r="G982" s="45"/>
      <c r="H982" s="45"/>
      <c r="I982" s="10"/>
    </row>
    <row r="983">
      <c r="A983" s="10"/>
      <c r="B983" s="45"/>
      <c r="C983" s="45"/>
      <c r="D983" s="45"/>
      <c r="E983" s="45"/>
      <c r="F983" s="45"/>
      <c r="G983" s="45"/>
      <c r="H983" s="45"/>
      <c r="I983" s="10"/>
    </row>
    <row r="984">
      <c r="A984" s="10"/>
      <c r="B984" s="45"/>
      <c r="C984" s="45"/>
      <c r="D984" s="45"/>
      <c r="E984" s="45"/>
      <c r="F984" s="45"/>
      <c r="G984" s="45"/>
      <c r="H984" s="45"/>
      <c r="I984" s="10"/>
    </row>
    <row r="985">
      <c r="A985" s="10"/>
      <c r="B985" s="45"/>
      <c r="C985" s="45"/>
      <c r="D985" s="45"/>
      <c r="E985" s="45"/>
      <c r="F985" s="45"/>
      <c r="G985" s="45"/>
      <c r="H985" s="45"/>
      <c r="I985" s="10"/>
    </row>
    <row r="986">
      <c r="A986" s="10"/>
      <c r="B986" s="45"/>
      <c r="C986" s="45"/>
      <c r="D986" s="45"/>
      <c r="E986" s="45"/>
      <c r="F986" s="45"/>
      <c r="G986" s="45"/>
      <c r="H986" s="45"/>
      <c r="I986" s="10"/>
    </row>
    <row r="987">
      <c r="A987" s="10"/>
      <c r="B987" s="45"/>
      <c r="C987" s="45"/>
      <c r="D987" s="45"/>
      <c r="E987" s="45"/>
      <c r="F987" s="45"/>
      <c r="G987" s="45"/>
      <c r="H987" s="45"/>
      <c r="I987" s="10"/>
    </row>
    <row r="988">
      <c r="A988" s="10"/>
      <c r="B988" s="45"/>
      <c r="C988" s="45"/>
      <c r="D988" s="45"/>
      <c r="E988" s="45"/>
      <c r="F988" s="45"/>
      <c r="G988" s="45"/>
      <c r="H988" s="45"/>
      <c r="I988" s="10"/>
    </row>
    <row r="989">
      <c r="A989" s="10"/>
      <c r="B989" s="45"/>
      <c r="C989" s="45"/>
      <c r="D989" s="45"/>
      <c r="E989" s="45"/>
      <c r="F989" s="45"/>
      <c r="G989" s="45"/>
      <c r="H989" s="45"/>
      <c r="I989" s="10"/>
    </row>
    <row r="990">
      <c r="A990" s="10"/>
      <c r="B990" s="45"/>
      <c r="C990" s="45"/>
      <c r="D990" s="45"/>
      <c r="E990" s="45"/>
      <c r="F990" s="45"/>
      <c r="G990" s="45"/>
      <c r="H990" s="45"/>
      <c r="I990" s="10"/>
    </row>
    <row r="991">
      <c r="A991" s="10"/>
      <c r="B991" s="45"/>
      <c r="C991" s="45"/>
      <c r="D991" s="45"/>
      <c r="E991" s="45"/>
      <c r="F991" s="45"/>
      <c r="G991" s="45"/>
      <c r="H991" s="45"/>
      <c r="I991" s="10"/>
    </row>
    <row r="992">
      <c r="A992" s="10"/>
      <c r="B992" s="45"/>
      <c r="C992" s="45"/>
      <c r="D992" s="45"/>
      <c r="E992" s="45"/>
      <c r="F992" s="45"/>
      <c r="G992" s="45"/>
      <c r="H992" s="45"/>
      <c r="I992" s="10"/>
    </row>
    <row r="993">
      <c r="A993" s="10"/>
      <c r="B993" s="45"/>
      <c r="C993" s="45"/>
      <c r="D993" s="45"/>
      <c r="E993" s="45"/>
      <c r="F993" s="45"/>
      <c r="G993" s="45"/>
      <c r="H993" s="45"/>
      <c r="I993" s="10"/>
    </row>
    <row r="994">
      <c r="A994" s="10"/>
      <c r="B994" s="45"/>
      <c r="C994" s="45"/>
      <c r="D994" s="45"/>
      <c r="E994" s="45"/>
      <c r="F994" s="45"/>
      <c r="G994" s="45"/>
      <c r="H994" s="45"/>
      <c r="I994" s="10"/>
    </row>
    <row r="995">
      <c r="A995" s="10"/>
      <c r="B995" s="45"/>
      <c r="C995" s="45"/>
      <c r="D995" s="45"/>
      <c r="E995" s="45"/>
      <c r="F995" s="45"/>
      <c r="G995" s="45"/>
      <c r="H995" s="45"/>
      <c r="I995" s="10"/>
    </row>
    <row r="996">
      <c r="A996" s="10"/>
      <c r="B996" s="45"/>
      <c r="C996" s="45"/>
      <c r="D996" s="45"/>
      <c r="E996" s="45"/>
      <c r="F996" s="45"/>
      <c r="G996" s="45"/>
      <c r="H996" s="45"/>
      <c r="I996" s="10"/>
    </row>
    <row r="997">
      <c r="A997" s="10"/>
      <c r="B997" s="45"/>
      <c r="C997" s="45"/>
      <c r="D997" s="45"/>
      <c r="E997" s="45"/>
      <c r="F997" s="45"/>
      <c r="G997" s="45"/>
      <c r="H997" s="45"/>
      <c r="I997" s="10"/>
    </row>
    <row r="998">
      <c r="A998" s="10"/>
      <c r="B998" s="45"/>
      <c r="C998" s="45"/>
      <c r="D998" s="45"/>
      <c r="E998" s="45"/>
      <c r="F998" s="45"/>
      <c r="G998" s="45"/>
      <c r="H998" s="45"/>
      <c r="I998" s="10"/>
    </row>
    <row r="999">
      <c r="A999" s="10"/>
      <c r="B999" s="45"/>
      <c r="C999" s="45"/>
      <c r="D999" s="45"/>
      <c r="E999" s="45"/>
      <c r="F999" s="45"/>
      <c r="G999" s="45"/>
      <c r="H999" s="45"/>
      <c r="I999" s="10"/>
    </row>
    <row r="1000">
      <c r="A1000" s="10"/>
      <c r="B1000" s="45"/>
      <c r="C1000" s="45"/>
      <c r="D1000" s="45"/>
      <c r="E1000" s="45"/>
      <c r="F1000" s="45"/>
      <c r="G1000" s="45"/>
      <c r="H1000" s="45"/>
      <c r="I1000" s="10"/>
    </row>
    <row r="1001">
      <c r="A1001" s="10"/>
      <c r="B1001" s="45"/>
      <c r="C1001" s="45"/>
      <c r="D1001" s="45"/>
      <c r="E1001" s="45"/>
      <c r="F1001" s="45"/>
      <c r="G1001" s="45"/>
      <c r="H1001" s="45"/>
      <c r="I1001" s="10"/>
    </row>
    <row r="1002">
      <c r="A1002" s="10"/>
      <c r="B1002" s="45"/>
      <c r="C1002" s="45"/>
      <c r="D1002" s="45"/>
      <c r="E1002" s="45"/>
      <c r="F1002" s="45"/>
      <c r="G1002" s="45"/>
      <c r="H1002" s="45"/>
      <c r="I1002" s="10"/>
    </row>
    <row r="1003">
      <c r="A1003" s="10"/>
      <c r="B1003" s="45"/>
      <c r="C1003" s="45"/>
      <c r="D1003" s="45"/>
      <c r="E1003" s="45"/>
      <c r="F1003" s="45"/>
      <c r="G1003" s="45"/>
      <c r="H1003" s="45"/>
      <c r="I1003" s="10"/>
    </row>
    <row r="1004">
      <c r="A1004" s="10"/>
      <c r="B1004" s="45"/>
      <c r="C1004" s="45"/>
      <c r="D1004" s="45"/>
      <c r="E1004" s="45"/>
      <c r="F1004" s="45"/>
      <c r="G1004" s="45"/>
      <c r="H1004" s="45"/>
      <c r="I1004" s="10"/>
    </row>
    <row r="1005">
      <c r="A1005" s="10"/>
      <c r="B1005" s="45"/>
      <c r="C1005" s="45"/>
      <c r="D1005" s="45"/>
      <c r="E1005" s="45"/>
      <c r="F1005" s="45"/>
      <c r="G1005" s="45"/>
      <c r="H1005" s="45"/>
      <c r="I1005" s="10"/>
    </row>
    <row r="1006">
      <c r="A1006" s="10"/>
      <c r="B1006" s="45"/>
      <c r="C1006" s="45"/>
      <c r="D1006" s="45"/>
      <c r="E1006" s="45"/>
      <c r="F1006" s="45"/>
      <c r="G1006" s="45"/>
      <c r="H1006" s="45"/>
      <c r="I1006" s="10"/>
    </row>
    <row r="1007">
      <c r="A1007" s="10"/>
      <c r="B1007" s="45"/>
      <c r="C1007" s="45"/>
      <c r="D1007" s="45"/>
      <c r="E1007" s="45"/>
      <c r="F1007" s="45"/>
      <c r="G1007" s="45"/>
      <c r="H1007" s="45"/>
      <c r="I1007" s="10"/>
    </row>
    <row r="1008">
      <c r="A1008" s="10"/>
      <c r="B1008" s="45"/>
      <c r="C1008" s="45"/>
      <c r="D1008" s="45"/>
      <c r="E1008" s="45"/>
      <c r="F1008" s="45"/>
      <c r="G1008" s="45"/>
      <c r="H1008" s="45"/>
      <c r="I1008" s="10"/>
    </row>
    <row r="1009">
      <c r="A1009" s="10"/>
      <c r="B1009" s="45"/>
      <c r="C1009" s="45"/>
      <c r="D1009" s="45"/>
      <c r="E1009" s="45"/>
      <c r="F1009" s="45"/>
      <c r="G1009" s="45"/>
      <c r="H1009" s="45"/>
      <c r="I1009" s="10"/>
    </row>
    <row r="1010">
      <c r="A1010" s="10"/>
      <c r="B1010" s="45"/>
      <c r="C1010" s="45"/>
      <c r="D1010" s="45"/>
      <c r="E1010" s="45"/>
      <c r="F1010" s="45"/>
      <c r="G1010" s="45"/>
      <c r="H1010" s="45"/>
      <c r="I1010" s="10"/>
    </row>
    <row r="1011">
      <c r="A1011" s="10"/>
      <c r="B1011" s="45"/>
      <c r="C1011" s="45"/>
      <c r="D1011" s="45"/>
      <c r="E1011" s="45"/>
      <c r="F1011" s="45"/>
      <c r="G1011" s="45"/>
      <c r="H1011" s="45"/>
      <c r="I1011" s="10"/>
    </row>
    <row r="1012">
      <c r="A1012" s="10"/>
      <c r="B1012" s="45"/>
      <c r="C1012" s="45"/>
      <c r="D1012" s="45"/>
      <c r="E1012" s="45"/>
      <c r="F1012" s="45"/>
      <c r="G1012" s="45"/>
      <c r="H1012" s="45"/>
      <c r="I1012" s="10"/>
    </row>
    <row r="1013">
      <c r="A1013" s="10"/>
      <c r="B1013" s="45"/>
      <c r="C1013" s="45"/>
      <c r="D1013" s="45"/>
      <c r="E1013" s="45"/>
      <c r="F1013" s="45"/>
      <c r="G1013" s="45"/>
      <c r="H1013" s="45"/>
      <c r="I1013" s="10"/>
    </row>
    <row r="1014">
      <c r="A1014" s="10"/>
      <c r="B1014" s="45"/>
      <c r="C1014" s="45"/>
      <c r="D1014" s="45"/>
      <c r="E1014" s="45"/>
      <c r="F1014" s="45"/>
      <c r="G1014" s="45"/>
      <c r="H1014" s="45"/>
      <c r="I1014" s="10"/>
    </row>
    <row r="1015">
      <c r="A1015" s="10"/>
      <c r="B1015" s="45"/>
      <c r="C1015" s="45"/>
      <c r="D1015" s="45"/>
      <c r="E1015" s="45"/>
      <c r="F1015" s="45"/>
      <c r="G1015" s="45"/>
      <c r="H1015" s="45"/>
      <c r="I1015" s="10"/>
    </row>
    <row r="1016">
      <c r="A1016" s="10"/>
      <c r="B1016" s="45"/>
      <c r="C1016" s="45"/>
      <c r="D1016" s="45"/>
      <c r="E1016" s="45"/>
      <c r="F1016" s="45"/>
      <c r="G1016" s="45"/>
      <c r="H1016" s="45"/>
      <c r="I1016" s="10"/>
    </row>
    <row r="1017">
      <c r="A1017" s="10"/>
      <c r="B1017" s="45"/>
      <c r="C1017" s="45"/>
      <c r="D1017" s="45"/>
      <c r="E1017" s="45"/>
      <c r="F1017" s="45"/>
      <c r="G1017" s="45"/>
      <c r="H1017" s="45"/>
      <c r="I1017" s="10"/>
    </row>
    <row r="1018">
      <c r="A1018" s="10"/>
      <c r="B1018" s="45"/>
      <c r="C1018" s="45"/>
      <c r="D1018" s="45"/>
      <c r="E1018" s="45"/>
      <c r="F1018" s="45"/>
      <c r="G1018" s="45"/>
      <c r="H1018" s="45"/>
      <c r="I1018" s="10"/>
    </row>
    <row r="1019">
      <c r="A1019" s="10"/>
      <c r="B1019" s="45"/>
      <c r="C1019" s="45"/>
      <c r="D1019" s="45"/>
      <c r="E1019" s="45"/>
      <c r="F1019" s="45"/>
      <c r="G1019" s="45"/>
      <c r="H1019" s="45"/>
      <c r="I1019" s="10"/>
    </row>
    <row r="1020">
      <c r="A1020" s="10"/>
      <c r="B1020" s="45"/>
      <c r="C1020" s="45"/>
      <c r="D1020" s="45"/>
      <c r="E1020" s="45"/>
      <c r="F1020" s="45"/>
      <c r="G1020" s="45"/>
      <c r="H1020" s="45"/>
      <c r="I1020" s="10"/>
    </row>
    <row r="1021">
      <c r="A1021" s="10"/>
      <c r="B1021" s="45"/>
      <c r="C1021" s="45"/>
      <c r="D1021" s="45"/>
      <c r="E1021" s="45"/>
      <c r="F1021" s="45"/>
      <c r="G1021" s="45"/>
      <c r="H1021" s="45"/>
      <c r="I1021" s="10"/>
    </row>
    <row r="1022">
      <c r="A1022" s="10"/>
      <c r="B1022" s="45"/>
      <c r="C1022" s="45"/>
      <c r="D1022" s="45"/>
      <c r="E1022" s="45"/>
      <c r="F1022" s="45"/>
      <c r="G1022" s="45"/>
      <c r="H1022" s="45"/>
      <c r="I1022" s="10"/>
    </row>
    <row r="1023">
      <c r="A1023" s="10"/>
      <c r="B1023" s="45"/>
      <c r="C1023" s="45"/>
      <c r="D1023" s="45"/>
      <c r="E1023" s="45"/>
      <c r="F1023" s="45"/>
      <c r="G1023" s="45"/>
      <c r="H1023" s="45"/>
      <c r="I1023" s="10"/>
    </row>
    <row r="1024">
      <c r="A1024" s="10"/>
      <c r="B1024" s="45"/>
      <c r="C1024" s="45"/>
      <c r="D1024" s="45"/>
      <c r="E1024" s="45"/>
      <c r="F1024" s="45"/>
      <c r="G1024" s="45"/>
      <c r="H1024" s="45"/>
      <c r="I1024" s="10"/>
    </row>
    <row r="1025">
      <c r="A1025" s="10"/>
      <c r="B1025" s="45"/>
      <c r="C1025" s="45"/>
      <c r="D1025" s="45"/>
      <c r="E1025" s="45"/>
      <c r="F1025" s="45"/>
      <c r="G1025" s="45"/>
      <c r="H1025" s="45"/>
      <c r="I1025" s="10"/>
    </row>
    <row r="1026">
      <c r="A1026" s="10"/>
      <c r="B1026" s="45"/>
      <c r="C1026" s="45"/>
      <c r="D1026" s="45"/>
      <c r="E1026" s="45"/>
      <c r="F1026" s="45"/>
      <c r="G1026" s="45"/>
      <c r="H1026" s="45"/>
      <c r="I1026" s="10"/>
    </row>
    <row r="1027">
      <c r="A1027" s="10"/>
      <c r="B1027" s="45"/>
      <c r="C1027" s="45"/>
      <c r="D1027" s="45"/>
      <c r="E1027" s="45"/>
      <c r="F1027" s="45"/>
      <c r="G1027" s="45"/>
      <c r="H1027" s="45"/>
      <c r="I1027" s="10"/>
    </row>
    <row r="1028">
      <c r="A1028" s="10"/>
      <c r="B1028" s="45"/>
      <c r="C1028" s="45"/>
      <c r="D1028" s="45"/>
      <c r="E1028" s="45"/>
      <c r="F1028" s="45"/>
      <c r="G1028" s="45"/>
      <c r="H1028" s="45"/>
      <c r="I1028" s="10"/>
    </row>
    <row r="1029">
      <c r="A1029" s="10"/>
      <c r="B1029" s="45"/>
      <c r="C1029" s="45"/>
      <c r="D1029" s="45"/>
      <c r="E1029" s="45"/>
      <c r="F1029" s="45"/>
      <c r="G1029" s="45"/>
      <c r="H1029" s="45"/>
      <c r="I1029" s="10"/>
    </row>
    <row r="1030">
      <c r="A1030" s="10"/>
      <c r="B1030" s="45"/>
      <c r="C1030" s="45"/>
      <c r="D1030" s="45"/>
      <c r="E1030" s="45"/>
      <c r="F1030" s="45"/>
      <c r="G1030" s="45"/>
      <c r="H1030" s="45"/>
      <c r="I1030" s="10"/>
    </row>
    <row r="1031">
      <c r="A1031" s="10"/>
      <c r="B1031" s="45"/>
      <c r="C1031" s="45"/>
      <c r="D1031" s="45"/>
      <c r="E1031" s="45"/>
      <c r="F1031" s="45"/>
      <c r="G1031" s="45"/>
      <c r="H1031" s="45"/>
      <c r="I1031" s="10"/>
    </row>
    <row r="1032">
      <c r="A1032" s="10"/>
      <c r="B1032" s="45"/>
      <c r="C1032" s="45"/>
      <c r="D1032" s="45"/>
      <c r="E1032" s="45"/>
      <c r="F1032" s="45"/>
      <c r="G1032" s="45"/>
      <c r="H1032" s="45"/>
      <c r="I1032" s="10"/>
    </row>
    <row r="1033">
      <c r="A1033" s="10"/>
      <c r="B1033" s="45"/>
      <c r="C1033" s="45"/>
      <c r="D1033" s="45"/>
      <c r="E1033" s="45"/>
      <c r="F1033" s="45"/>
      <c r="G1033" s="45"/>
      <c r="H1033" s="45"/>
      <c r="I1033" s="10"/>
    </row>
    <row r="1034">
      <c r="A1034" s="10"/>
      <c r="B1034" s="45"/>
      <c r="C1034" s="45"/>
      <c r="D1034" s="45"/>
      <c r="E1034" s="45"/>
      <c r="F1034" s="45"/>
      <c r="G1034" s="45"/>
      <c r="H1034" s="45"/>
      <c r="I1034" s="10"/>
    </row>
    <row r="1035">
      <c r="A1035" s="10"/>
      <c r="B1035" s="45"/>
      <c r="C1035" s="45"/>
      <c r="D1035" s="45"/>
      <c r="E1035" s="45"/>
      <c r="F1035" s="45"/>
      <c r="G1035" s="45"/>
      <c r="H1035" s="45"/>
      <c r="I1035" s="10"/>
    </row>
    <row r="1036">
      <c r="A1036" s="10"/>
      <c r="B1036" s="45"/>
      <c r="C1036" s="45"/>
      <c r="D1036" s="45"/>
      <c r="E1036" s="45"/>
      <c r="F1036" s="45"/>
      <c r="G1036" s="45"/>
      <c r="H1036" s="45"/>
      <c r="I1036" s="10"/>
    </row>
    <row r="1037">
      <c r="A1037" s="10"/>
      <c r="B1037" s="45"/>
      <c r="C1037" s="45"/>
      <c r="D1037" s="45"/>
      <c r="E1037" s="45"/>
      <c r="F1037" s="45"/>
      <c r="G1037" s="45"/>
      <c r="H1037" s="45"/>
      <c r="I1037" s="10"/>
    </row>
    <row r="1038">
      <c r="A1038" s="10"/>
      <c r="B1038" s="45"/>
      <c r="C1038" s="45"/>
      <c r="D1038" s="45"/>
      <c r="E1038" s="45"/>
      <c r="F1038" s="45"/>
      <c r="G1038" s="45"/>
      <c r="H1038" s="45"/>
      <c r="I1038" s="10"/>
    </row>
    <row r="1039">
      <c r="A1039" s="10"/>
      <c r="B1039" s="45"/>
      <c r="C1039" s="45"/>
      <c r="D1039" s="45"/>
      <c r="E1039" s="45"/>
      <c r="F1039" s="45"/>
      <c r="G1039" s="45"/>
      <c r="H1039" s="45"/>
      <c r="I1039" s="10"/>
    </row>
    <row r="1040">
      <c r="A1040" s="10"/>
      <c r="B1040" s="45"/>
      <c r="C1040" s="45"/>
      <c r="D1040" s="45"/>
      <c r="E1040" s="45"/>
      <c r="F1040" s="45"/>
      <c r="G1040" s="45"/>
      <c r="H1040" s="45"/>
      <c r="I1040" s="10"/>
    </row>
    <row r="1041">
      <c r="A1041" s="10"/>
      <c r="B1041" s="45"/>
      <c r="C1041" s="45"/>
      <c r="D1041" s="45"/>
      <c r="E1041" s="45"/>
      <c r="F1041" s="45"/>
      <c r="G1041" s="45"/>
      <c r="H1041" s="45"/>
      <c r="I1041" s="10"/>
    </row>
    <row r="1042">
      <c r="A1042" s="10"/>
      <c r="B1042" s="45"/>
      <c r="C1042" s="45"/>
      <c r="D1042" s="45"/>
      <c r="E1042" s="45"/>
      <c r="F1042" s="45"/>
      <c r="G1042" s="45"/>
      <c r="H1042" s="45"/>
      <c r="I1042" s="10"/>
    </row>
    <row r="1043">
      <c r="A1043" s="10"/>
      <c r="B1043" s="45"/>
      <c r="C1043" s="45"/>
      <c r="D1043" s="45"/>
      <c r="E1043" s="45"/>
      <c r="F1043" s="45"/>
      <c r="G1043" s="45"/>
      <c r="H1043" s="45"/>
      <c r="I1043" s="10"/>
    </row>
    <row r="1044">
      <c r="A1044" s="10"/>
      <c r="B1044" s="45"/>
      <c r="C1044" s="45"/>
      <c r="D1044" s="45"/>
      <c r="E1044" s="45"/>
      <c r="F1044" s="45"/>
      <c r="G1044" s="45"/>
      <c r="H1044" s="45"/>
      <c r="I1044" s="10"/>
    </row>
    <row r="1045">
      <c r="A1045" s="10"/>
      <c r="B1045" s="45"/>
      <c r="C1045" s="45"/>
      <c r="D1045" s="45"/>
      <c r="E1045" s="45"/>
      <c r="F1045" s="45"/>
      <c r="G1045" s="45"/>
      <c r="H1045" s="45"/>
      <c r="I1045" s="10"/>
    </row>
    <row r="1046">
      <c r="A1046" s="10"/>
      <c r="B1046" s="45"/>
      <c r="C1046" s="45"/>
      <c r="D1046" s="45"/>
      <c r="E1046" s="45"/>
      <c r="F1046" s="45"/>
      <c r="G1046" s="45"/>
      <c r="H1046" s="45"/>
      <c r="I1046" s="10"/>
    </row>
    <row r="1047">
      <c r="A1047" s="10"/>
      <c r="B1047" s="45"/>
      <c r="C1047" s="45"/>
      <c r="D1047" s="45"/>
      <c r="E1047" s="45"/>
      <c r="F1047" s="45"/>
      <c r="G1047" s="45"/>
      <c r="H1047" s="45"/>
      <c r="I1047" s="10"/>
    </row>
    <row r="1048">
      <c r="A1048" s="10"/>
      <c r="B1048" s="45"/>
      <c r="C1048" s="45"/>
      <c r="D1048" s="45"/>
      <c r="E1048" s="45"/>
      <c r="F1048" s="45"/>
      <c r="G1048" s="45"/>
      <c r="H1048" s="45"/>
      <c r="I1048" s="10"/>
    </row>
    <row r="1049">
      <c r="A1049" s="10"/>
      <c r="B1049" s="45"/>
      <c r="C1049" s="45"/>
      <c r="D1049" s="45"/>
      <c r="E1049" s="45"/>
      <c r="F1049" s="45"/>
      <c r="G1049" s="45"/>
      <c r="H1049" s="45"/>
      <c r="I1049" s="10"/>
    </row>
    <row r="1050">
      <c r="A1050" s="10"/>
      <c r="B1050" s="45"/>
      <c r="C1050" s="45"/>
      <c r="D1050" s="45"/>
      <c r="E1050" s="45"/>
      <c r="F1050" s="45"/>
      <c r="G1050" s="45"/>
      <c r="H1050" s="45"/>
      <c r="I1050" s="10"/>
    </row>
    <row r="1051">
      <c r="A1051" s="10"/>
      <c r="B1051" s="45"/>
      <c r="C1051" s="45"/>
      <c r="D1051" s="45"/>
      <c r="E1051" s="45"/>
      <c r="F1051" s="45"/>
      <c r="G1051" s="45"/>
      <c r="H1051" s="45"/>
      <c r="I1051" s="10"/>
    </row>
    <row r="1052">
      <c r="A1052" s="10"/>
      <c r="B1052" s="45"/>
      <c r="C1052" s="45"/>
      <c r="D1052" s="45"/>
      <c r="E1052" s="45"/>
      <c r="F1052" s="45"/>
      <c r="G1052" s="45"/>
      <c r="H1052" s="45"/>
      <c r="I1052" s="10"/>
    </row>
    <row r="1053">
      <c r="A1053" s="10"/>
      <c r="B1053" s="45"/>
      <c r="C1053" s="45"/>
      <c r="D1053" s="45"/>
      <c r="E1053" s="45"/>
      <c r="F1053" s="45"/>
      <c r="G1053" s="45"/>
      <c r="H1053" s="45"/>
      <c r="I1053" s="10"/>
    </row>
  </sheetData>
  <mergeCells count="5">
    <mergeCell ref="I2:P2"/>
    <mergeCell ref="I25:P25"/>
    <mergeCell ref="I34:P34"/>
    <mergeCell ref="I57:P57"/>
    <mergeCell ref="I80:P8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75"/>
    <col customWidth="1" min="2" max="2" width="16.25"/>
    <col customWidth="1" min="3" max="3" width="11.63"/>
    <col customWidth="1" min="4" max="4" width="10.25"/>
    <col customWidth="1" min="5" max="5" width="10.75"/>
    <col customWidth="1" min="6" max="7" width="10.5"/>
    <col customWidth="1" min="8" max="8" width="19.88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1" t="s">
        <v>8</v>
      </c>
      <c r="J1" s="11" t="s">
        <v>1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</row>
    <row r="2">
      <c r="A2" s="4" t="s">
        <v>9</v>
      </c>
      <c r="B2" s="13"/>
      <c r="C2" s="13"/>
      <c r="D2" s="13"/>
      <c r="E2" s="13"/>
      <c r="F2" s="13"/>
      <c r="G2" s="13"/>
      <c r="H2" s="13"/>
      <c r="I2" s="5" t="s">
        <v>9</v>
      </c>
    </row>
    <row r="3">
      <c r="A3" s="6" t="s">
        <v>10</v>
      </c>
      <c r="B3" s="14" t="s">
        <v>74</v>
      </c>
      <c r="C3" s="14" t="s">
        <v>75</v>
      </c>
      <c r="D3" s="14" t="s">
        <v>76</v>
      </c>
      <c r="E3" s="14" t="s">
        <v>77</v>
      </c>
      <c r="F3" s="14" t="s">
        <v>78</v>
      </c>
      <c r="G3" s="14" t="s">
        <v>192</v>
      </c>
      <c r="H3" s="14" t="s">
        <v>193</v>
      </c>
      <c r="I3" s="17" t="str">
        <f t="shared" ref="I3:I24" si="1">A3</f>
        <v>CM1→MW1</v>
      </c>
      <c r="J3" s="18" t="str">
        <f>IFERROR(__xludf.DUMMYFUNCTION("TEXT(VALUE(REGEXEXTRACT(B3,""^[+-]?[0-9]*\.?[0-9]+""))*100,""0.00"")&amp;"" +/- ""&amp;TEXT(VALUE(REGEXEXTRACT(B3,""[0-9]*\.?[0-9]+$""))*100,""0.00"")"),"73.93 +/- 2.07")</f>
        <v>73.93 +/- 2.07</v>
      </c>
      <c r="K3" s="18" t="str">
        <f>IFERROR(__xludf.DUMMYFUNCTION("TEXT(VALUE(REGEXEXTRACT(C3,""^[+-]?[0-9]*\.?[0-9]+""))*100,""0.00"")&amp;"" +/- ""&amp;TEXT(VALUE(REGEXEXTRACT(C3,""[0-9]*\.?[0-9]+$""))*100,""0.00"")"),"19.20 +/- 10.61")</f>
        <v>19.20 +/- 10.61</v>
      </c>
      <c r="L3" s="18" t="str">
        <f>IFERROR(__xludf.DUMMYFUNCTION("TEXT(VALUE(REGEXEXTRACT(D3,""^[+-]?[0-9]*\.?[0-9]+""))*100,""0.00"")&amp;"" +/- ""&amp;TEXT(VALUE(REGEXEXTRACT(D3,""[0-9]*\.?[0-9]+$""))*100,""0.00"")"),"13.22 +/- 12.16")</f>
        <v>13.22 +/- 12.16</v>
      </c>
      <c r="M3" s="18" t="str">
        <f>IFERROR(__xludf.DUMMYFUNCTION("TEXT(VALUE(REGEXEXTRACT(E3,""^[+-]?[0-9]*\.?[0-9]+""))*100,""0.00"")&amp;"" +/- ""&amp;TEXT(VALUE(REGEXEXTRACT(E3,""[0-9]*\.?[0-9]+$""))*100,""0.00"")"),"66.09 +/- 4.53")</f>
        <v>66.09 +/- 4.53</v>
      </c>
      <c r="N3" s="19" t="str">
        <f>IFERROR(__xludf.DUMMYFUNCTION("TEXT(VALUE(REGEXEXTRACT(F3,""^[+-]?[0-9]*\.?[0-9]+""))*100,""0.00"")&amp;"" +/- ""&amp;TEXT(VALUE(REGEXEXTRACT(F3,""[0-9]*\.?[0-9]+$""))*100,""0.00"")"),"75.68 +/- 1.27")</f>
        <v>75.68 +/- 1.27</v>
      </c>
      <c r="O3" s="18" t="str">
        <f>IFERROR(__xludf.DUMMYFUNCTION("TEXT(VALUE(REGEXEXTRACT(G3,""^[+-]?[0-9]*\.?[0-9]+""))*100,""0.00"")&amp;"" +/- ""&amp;TEXT(VALUE(REGEXEXTRACT(G3,""[0-9]*\.?[0-9]+$""))*100,""0.00"")"),"75.43 +/- 1.85")</f>
        <v>75.43 +/- 1.85</v>
      </c>
      <c r="P3" s="18" t="str">
        <f>IFERROR(__xludf.DUMMYFUNCTION("TEXT(VALUE(REGEXEXTRACT(H3,""^[+-]?[0-9]*\.?[0-9]+""))*100,""0.00"")&amp;"" +/- ""&amp;TEXT(VALUE(REGEXEXTRACT(H3,""[0-9]*\.?[0-9]+$""))*100,""0.00"")"),"53.52 +/- 3.65")</f>
        <v>53.52 +/- 3.65</v>
      </c>
    </row>
    <row r="4">
      <c r="A4" s="6" t="s">
        <v>18</v>
      </c>
      <c r="B4" s="14" t="s">
        <v>224</v>
      </c>
      <c r="C4" s="14" t="s">
        <v>225</v>
      </c>
      <c r="D4" s="14" t="s">
        <v>226</v>
      </c>
      <c r="E4" s="14" t="s">
        <v>227</v>
      </c>
      <c r="F4" s="14" t="s">
        <v>228</v>
      </c>
      <c r="G4" s="14" t="s">
        <v>229</v>
      </c>
      <c r="H4" s="14" t="s">
        <v>230</v>
      </c>
      <c r="I4" s="17" t="str">
        <f t="shared" si="1"/>
        <v>CM1→PC1</v>
      </c>
      <c r="J4" s="18" t="str">
        <f>IFERROR(__xludf.DUMMYFUNCTION("TEXT(VALUE(REGEXEXTRACT(B4,""^[+-]?[0-9]*\.?[0-9]+""))*100,""0.00"")&amp;"" +/- ""&amp;TEXT(VALUE(REGEXEXTRACT(B4,""[0-9]*\.?[0-9]+$""))*100,""0.00"")"),"60.17 +/- 2.49")</f>
        <v>60.17 +/- 2.49</v>
      </c>
      <c r="K4" s="18" t="str">
        <f>IFERROR(__xludf.DUMMYFUNCTION("TEXT(VALUE(REGEXEXTRACT(C4,""^[+-]?[0-9]*\.?[0-9]+""))*100,""0.00"")&amp;"" +/- ""&amp;TEXT(VALUE(REGEXEXTRACT(C4,""[0-9]*\.?[0-9]+$""))*100,""0.00"")"),"22.53 +/- 4.75")</f>
        <v>22.53 +/- 4.75</v>
      </c>
      <c r="L4" s="18" t="str">
        <f>IFERROR(__xludf.DUMMYFUNCTION("TEXT(VALUE(REGEXEXTRACT(D4,""^[+-]?[0-9]*\.?[0-9]+""))*100,""0.00"")&amp;"" +/- ""&amp;TEXT(VALUE(REGEXEXTRACT(D4,""[0-9]*\.?[0-9]+$""))*100,""0.00"")"),"24.38 +/- 6.17")</f>
        <v>24.38 +/- 6.17</v>
      </c>
      <c r="M4" s="18" t="str">
        <f>IFERROR(__xludf.DUMMYFUNCTION("TEXT(VALUE(REGEXEXTRACT(E4,""^[+-]?[0-9]*\.?[0-9]+""))*100,""0.00"")&amp;"" +/- ""&amp;TEXT(VALUE(REGEXEXTRACT(E4,""[0-9]*\.?[0-9]+$""))*100,""0.00"")"),"38.19 +/- 5.42")</f>
        <v>38.19 +/- 5.42</v>
      </c>
      <c r="N4" s="18" t="str">
        <f>IFERROR(__xludf.DUMMYFUNCTION("TEXT(VALUE(REGEXEXTRACT(F4,""^[+-]?[0-9]*\.?[0-9]+""))*100,""0.00"")&amp;"" +/- ""&amp;TEXT(VALUE(REGEXEXTRACT(F4,""[0-9]*\.?[0-9]+$""))*100,""0.00"")"),"58.86 +/- 2.62")</f>
        <v>58.86 +/- 2.62</v>
      </c>
      <c r="O4" s="18" t="str">
        <f>IFERROR(__xludf.DUMMYFUNCTION("TEXT(VALUE(REGEXEXTRACT(G4,""^[+-]?[0-9]*\.?[0-9]+""))*100,""0.00"")&amp;"" +/- ""&amp;TEXT(VALUE(REGEXEXTRACT(G4,""[0-9]*\.?[0-9]+$""))*100,""0.00"")"),"58.98 +/- 3.40")</f>
        <v>58.98 +/- 3.40</v>
      </c>
      <c r="P4" s="19" t="str">
        <f>IFERROR(__xludf.DUMMYFUNCTION("TEXT(VALUE(REGEXEXTRACT(H4,""^[+-]?[0-9]*\.?[0-9]+""))*100,""0.00"")&amp;"" +/- ""&amp;TEXT(VALUE(REGEXEXTRACT(H4,""[0-9]*\.?[0-9]+$""))*100,""0.00"")"),"66.54 +/- 2.80")</f>
        <v>66.54 +/- 2.80</v>
      </c>
    </row>
    <row r="5">
      <c r="A5" s="6" t="s">
        <v>26</v>
      </c>
      <c r="B5" s="14" t="s">
        <v>253</v>
      </c>
      <c r="C5" s="14" t="s">
        <v>254</v>
      </c>
      <c r="D5" s="14" t="s">
        <v>255</v>
      </c>
      <c r="E5" s="14" t="s">
        <v>256</v>
      </c>
      <c r="F5" s="14" t="s">
        <v>257</v>
      </c>
      <c r="G5" s="14" t="s">
        <v>258</v>
      </c>
      <c r="H5" s="14" t="s">
        <v>259</v>
      </c>
      <c r="I5" s="17" t="str">
        <f t="shared" si="1"/>
        <v>CM1→PC3</v>
      </c>
      <c r="J5" s="19" t="str">
        <f>IFERROR(__xludf.DUMMYFUNCTION("TEXT(VALUE(REGEXEXTRACT(B5,""^[+-]?[0-9]*\.?[0-9]+""))*100,""0.00"")&amp;"" +/- ""&amp;TEXT(VALUE(REGEXEXTRACT(B5,""[0-9]*\.?[0-9]+$""))*100,""0.00"")"),"64.11 +/- 1.79")</f>
        <v>64.11 +/- 1.79</v>
      </c>
      <c r="K5" s="18" t="str">
        <f>IFERROR(__xludf.DUMMYFUNCTION("TEXT(VALUE(REGEXEXTRACT(C5,""^[+-]?[0-9]*\.?[0-9]+""))*100,""0.00"")&amp;"" +/- ""&amp;TEXT(VALUE(REGEXEXTRACT(C5,""[0-9]*\.?[0-9]+$""))*100,""0.00"")"),"2.32 +/- 3.91")</f>
        <v>2.32 +/- 3.91</v>
      </c>
      <c r="L5" s="18" t="str">
        <f>IFERROR(__xludf.DUMMYFUNCTION("TEXT(VALUE(REGEXEXTRACT(D5,""^[+-]?[0-9]*\.?[0-9]+""))*100,""0.00"")&amp;"" +/- ""&amp;TEXT(VALUE(REGEXEXTRACT(D5,""[0-9]*\.?[0-9]+$""))*100,""0.00"")"),"13.49 +/- 5.47")</f>
        <v>13.49 +/- 5.47</v>
      </c>
      <c r="M5" s="18" t="str">
        <f>IFERROR(__xludf.DUMMYFUNCTION("TEXT(VALUE(REGEXEXTRACT(E5,""^[+-]?[0-9]*\.?[0-9]+""))*100,""0.00"")&amp;"" +/- ""&amp;TEXT(VALUE(REGEXEXTRACT(E5,""[0-9]*\.?[0-9]+$""))*100,""0.00"")"),"39.38 +/- 5.39")</f>
        <v>39.38 +/- 5.39</v>
      </c>
      <c r="N5" s="18" t="str">
        <f>IFERROR(__xludf.DUMMYFUNCTION("TEXT(VALUE(REGEXEXTRACT(F5,""^[+-]?[0-9]*\.?[0-9]+""))*100,""0.00"")&amp;"" +/- ""&amp;TEXT(VALUE(REGEXEXTRACT(F5,""[0-9]*\.?[0-9]+$""))*100,""0.00"")"),"60.46 +/- 2.27")</f>
        <v>60.46 +/- 2.27</v>
      </c>
      <c r="O5" s="18" t="str">
        <f>IFERROR(__xludf.DUMMYFUNCTION("TEXT(VALUE(REGEXEXTRACT(G5,""^[+-]?[0-9]*\.?[0-9]+""))*100,""0.00"")&amp;"" +/- ""&amp;TEXT(VALUE(REGEXEXTRACT(G5,""[0-9]*\.?[0-9]+$""))*100,""0.00"")"),"60.43 +/- 3.03")</f>
        <v>60.43 +/- 3.03</v>
      </c>
      <c r="P5" s="18" t="str">
        <f>IFERROR(__xludf.DUMMYFUNCTION("TEXT(VALUE(REGEXEXTRACT(H5,""^[+-]?[0-9]*\.?[0-9]+""))*100,""0.00"")&amp;"" +/- ""&amp;TEXT(VALUE(REGEXEXTRACT(H5,""[0-9]*\.?[0-9]+$""))*100,""0.00"")"),"56.87 +/- 2.24")</f>
        <v>56.87 +/- 2.24</v>
      </c>
    </row>
    <row r="6">
      <c r="A6" s="6" t="s">
        <v>34</v>
      </c>
      <c r="B6" s="14" t="s">
        <v>260</v>
      </c>
      <c r="C6" s="14" t="s">
        <v>261</v>
      </c>
      <c r="D6" s="14" t="s">
        <v>262</v>
      </c>
      <c r="E6" s="14" t="s">
        <v>263</v>
      </c>
      <c r="F6" s="14" t="s">
        <v>264</v>
      </c>
      <c r="G6" s="14" t="s">
        <v>265</v>
      </c>
      <c r="H6" s="14" t="s">
        <v>266</v>
      </c>
      <c r="I6" s="17" t="str">
        <f t="shared" si="1"/>
        <v>CM1→PC4</v>
      </c>
      <c r="J6" s="19" t="str">
        <f>IFERROR(__xludf.DUMMYFUNCTION("TEXT(VALUE(REGEXEXTRACT(B6,""^[+-]?[0-9]*\.?[0-9]+""))*100,""0.00"")&amp;"" +/- ""&amp;TEXT(VALUE(REGEXEXTRACT(B6,""[0-9]*\.?[0-9]+$""))*100,""0.00"")"),"57.49 +/- 1.29")</f>
        <v>57.49 +/- 1.29</v>
      </c>
      <c r="K6" s="18" t="str">
        <f>IFERROR(__xludf.DUMMYFUNCTION("TEXT(VALUE(REGEXEXTRACT(C6,""^[+-]?[0-9]*\.?[0-9]+""))*100,""0.00"")&amp;"" +/- ""&amp;TEXT(VALUE(REGEXEXTRACT(C6,""[0-9]*\.?[0-9]+$""))*100,""0.00"")"),"1.46 +/- 3.37")</f>
        <v>1.46 +/- 3.37</v>
      </c>
      <c r="L6" s="18" t="str">
        <f>IFERROR(__xludf.DUMMYFUNCTION("TEXT(VALUE(REGEXEXTRACT(D6,""^[+-]?[0-9]*\.?[0-9]+""))*100,""0.00"")&amp;"" +/- ""&amp;TEXT(VALUE(REGEXEXTRACT(D6,""[0-9]*\.?[0-9]+$""))*100,""0.00"")"),"9.92 +/- 4.30")</f>
        <v>9.92 +/- 4.30</v>
      </c>
      <c r="M6" s="18" t="str">
        <f>IFERROR(__xludf.DUMMYFUNCTION("TEXT(VALUE(REGEXEXTRACT(E6,""^[+-]?[0-9]*\.?[0-9]+""))*100,""0.00"")&amp;"" +/- ""&amp;TEXT(VALUE(REGEXEXTRACT(E6,""[0-9]*\.?[0-9]+$""))*100,""0.00"")"),"42.56 +/- 2.83")</f>
        <v>42.56 +/- 2.83</v>
      </c>
      <c r="N6" s="18" t="str">
        <f>IFERROR(__xludf.DUMMYFUNCTION("TEXT(VALUE(REGEXEXTRACT(F6,""^[+-]?[0-9]*\.?[0-9]+""))*100,""0.00"")&amp;"" +/- ""&amp;TEXT(VALUE(REGEXEXTRACT(F6,""[0-9]*\.?[0-9]+$""))*100,""0.00"")"),"56.25 +/- 1.80")</f>
        <v>56.25 +/- 1.80</v>
      </c>
      <c r="O6" s="18" t="str">
        <f>IFERROR(__xludf.DUMMYFUNCTION("TEXT(VALUE(REGEXEXTRACT(G6,""^[+-]?[0-9]*\.?[0-9]+""))*100,""0.00"")&amp;"" +/- ""&amp;TEXT(VALUE(REGEXEXTRACT(G6,""[0-9]*\.?[0-9]+$""))*100,""0.00"")"),"56.68 +/- 1.92")</f>
        <v>56.68 +/- 1.92</v>
      </c>
      <c r="P6" s="18" t="str">
        <f>IFERROR(__xludf.DUMMYFUNCTION("TEXT(VALUE(REGEXEXTRACT(H6,""^[+-]?[0-9]*\.?[0-9]+""))*100,""0.00"")&amp;"" +/- ""&amp;TEXT(VALUE(REGEXEXTRACT(H6,""[0-9]*\.?[0-9]+$""))*100,""0.00"")"),"48.01 +/- 2.36")</f>
        <v>48.01 +/- 2.36</v>
      </c>
    </row>
    <row r="7">
      <c r="A7" s="6" t="s">
        <v>42</v>
      </c>
      <c r="B7" s="14" t="s">
        <v>274</v>
      </c>
      <c r="C7" s="14" t="s">
        <v>275</v>
      </c>
      <c r="D7" s="14" t="s">
        <v>276</v>
      </c>
      <c r="E7" s="14" t="s">
        <v>277</v>
      </c>
      <c r="F7" s="14" t="s">
        <v>278</v>
      </c>
      <c r="G7" s="14" t="s">
        <v>279</v>
      </c>
      <c r="H7" s="14" t="s">
        <v>281</v>
      </c>
      <c r="I7" s="17" t="str">
        <f t="shared" si="1"/>
        <v>MW1→CM1</v>
      </c>
      <c r="J7" s="18" t="str">
        <f>IFERROR(__xludf.DUMMYFUNCTION("TEXT(VALUE(REGEXEXTRACT(B7,""^[+-]?[0-9]*\.?[0-9]+""))*100,""0.00"")&amp;"" +/- ""&amp;TEXT(VALUE(REGEXEXTRACT(B7,""[0-9]*\.?[0-9]+$""))*100,""0.00"")"),"43.59 +/- 5.21")</f>
        <v>43.59 +/- 5.21</v>
      </c>
      <c r="K7" s="18" t="str">
        <f>IFERROR(__xludf.DUMMYFUNCTION("TEXT(VALUE(REGEXEXTRACT(C7,""^[+-]?[0-9]*\.?[0-9]+""))*100,""0.00"")&amp;"" +/- ""&amp;TEXT(VALUE(REGEXEXTRACT(C7,""[0-9]*\.?[0-9]+$""))*100,""0.00"")"),"29.54 +/- 3.27")</f>
        <v>29.54 +/- 3.27</v>
      </c>
      <c r="L7" s="18" t="str">
        <f>IFERROR(__xludf.DUMMYFUNCTION("TEXT(VALUE(REGEXEXTRACT(D7,""^[+-]?[0-9]*\.?[0-9]+""))*100,""0.00"")&amp;"" +/- ""&amp;TEXT(VALUE(REGEXEXTRACT(D7,""[0-9]*\.?[0-9]+$""))*100,""0.00"")"),"1.54 +/- 4.71")</f>
        <v>1.54 +/- 4.71</v>
      </c>
      <c r="M7" s="18" t="str">
        <f>IFERROR(__xludf.DUMMYFUNCTION("TEXT(VALUE(REGEXEXTRACT(E7,""^[+-]?[0-9]*\.?[0-9]+""))*100,""0.00"")&amp;"" +/- ""&amp;TEXT(VALUE(REGEXEXTRACT(E7,""[0-9]*\.?[0-9]+$""))*100,""0.00"")"),"24.52 +/- 7.34")</f>
        <v>24.52 +/- 7.34</v>
      </c>
      <c r="N7" s="18" t="str">
        <f>IFERROR(__xludf.DUMMYFUNCTION("TEXT(VALUE(REGEXEXTRACT(F7,""^[+-]?[0-9]*\.?[0-9]+""))*100,""0.00"")&amp;"" +/- ""&amp;TEXT(VALUE(REGEXEXTRACT(F7,""[0-9]*\.?[0-9]+$""))*100,""0.00"")"),"49.41 +/- 3.28")</f>
        <v>49.41 +/- 3.28</v>
      </c>
      <c r="O7" s="18" t="str">
        <f>IFERROR(__xludf.DUMMYFUNCTION("TEXT(VALUE(REGEXEXTRACT(G7,""^[+-]?[0-9]*\.?[0-9]+""))*100,""0.00"")&amp;"" +/- ""&amp;TEXT(VALUE(REGEXEXTRACT(G7,""[0-9]*\.?[0-9]+$""))*100,""0.00"")"),"44.08 +/- 4.82")</f>
        <v>44.08 +/- 4.82</v>
      </c>
      <c r="P7" s="19" t="str">
        <f>IFERROR(__xludf.DUMMYFUNCTION("TEXT(VALUE(REGEXEXTRACT(H7,""^[+-]?[0-9]*\.?[0-9]+""))*100,""0.00"")&amp;"" +/- ""&amp;TEXT(VALUE(REGEXEXTRACT(H7,""[0-9]*\.?[0-9]+$""))*100,""0.00"")"),"52.52 +/- 2.40")</f>
        <v>52.52 +/- 2.40</v>
      </c>
    </row>
    <row r="8">
      <c r="A8" s="6" t="s">
        <v>50</v>
      </c>
      <c r="B8" s="14" t="s">
        <v>282</v>
      </c>
      <c r="C8" s="14" t="s">
        <v>283</v>
      </c>
      <c r="D8" s="14" t="s">
        <v>284</v>
      </c>
      <c r="E8" s="14" t="s">
        <v>285</v>
      </c>
      <c r="F8" s="14" t="s">
        <v>286</v>
      </c>
      <c r="G8" s="14" t="s">
        <v>287</v>
      </c>
      <c r="H8" s="14" t="s">
        <v>288</v>
      </c>
      <c r="I8" s="17" t="str">
        <f t="shared" si="1"/>
        <v>MW1→PC1</v>
      </c>
      <c r="J8" s="18" t="str">
        <f>IFERROR(__xludf.DUMMYFUNCTION("TEXT(VALUE(REGEXEXTRACT(B8,""^[+-]?[0-9]*\.?[0-9]+""))*100,""0.00"")&amp;"" +/- ""&amp;TEXT(VALUE(REGEXEXTRACT(B8,""[0-9]*\.?[0-9]+$""))*100,""0.00"")"),"43.61 +/- 3.67")</f>
        <v>43.61 +/- 3.67</v>
      </c>
      <c r="K8" s="18" t="str">
        <f>IFERROR(__xludf.DUMMYFUNCTION("TEXT(VALUE(REGEXEXTRACT(C8,""^[+-]?[0-9]*\.?[0-9]+""))*100,""0.00"")&amp;"" +/- ""&amp;TEXT(VALUE(REGEXEXTRACT(C8,""[0-9]*\.?[0-9]+$""))*100,""0.00"")"),"34.56 +/- 2.63")</f>
        <v>34.56 +/- 2.63</v>
      </c>
      <c r="L8" s="18" t="str">
        <f>IFERROR(__xludf.DUMMYFUNCTION("TEXT(VALUE(REGEXEXTRACT(D8,""^[+-]?[0-9]*\.?[0-9]+""))*100,""0.00"")&amp;"" +/- ""&amp;TEXT(VALUE(REGEXEXTRACT(D8,""[0-9]*\.?[0-9]+$""))*100,""0.00"")"),"9.35 +/- 7.72")</f>
        <v>9.35 +/- 7.72</v>
      </c>
      <c r="M8" s="18" t="str">
        <f>IFERROR(__xludf.DUMMYFUNCTION("TEXT(VALUE(REGEXEXTRACT(E8,""^[+-]?[0-9]*\.?[0-9]+""))*100,""0.00"")&amp;"" +/- ""&amp;TEXT(VALUE(REGEXEXTRACT(E8,""[0-9]*\.?[0-9]+$""))*100,""0.00"")"),"27.56 +/- 4.19")</f>
        <v>27.56 +/- 4.19</v>
      </c>
      <c r="N8" s="18" t="str">
        <f>IFERROR(__xludf.DUMMYFUNCTION("TEXT(VALUE(REGEXEXTRACT(F8,""^[+-]?[0-9]*\.?[0-9]+""))*100,""0.00"")&amp;"" +/- ""&amp;TEXT(VALUE(REGEXEXTRACT(F8,""[0-9]*\.?[0-9]+$""))*100,""0.00"")"),"39.28 +/- 4.44")</f>
        <v>39.28 +/- 4.44</v>
      </c>
      <c r="O8" s="18" t="str">
        <f>IFERROR(__xludf.DUMMYFUNCTION("TEXT(VALUE(REGEXEXTRACT(G8,""^[+-]?[0-9]*\.?[0-9]+""))*100,""0.00"")&amp;"" +/- ""&amp;TEXT(VALUE(REGEXEXTRACT(G8,""[0-9]*\.?[0-9]+$""))*100,""0.00"")"),"40.05 +/- 4.38")</f>
        <v>40.05 +/- 4.38</v>
      </c>
      <c r="P8" s="19" t="str">
        <f>IFERROR(__xludf.DUMMYFUNCTION("TEXT(VALUE(REGEXEXTRACT(H8,""^[+-]?[0-9]*\.?[0-9]+""))*100,""0.00"")&amp;"" +/- ""&amp;TEXT(VALUE(REGEXEXTRACT(H8,""[0-9]*\.?[0-9]+$""))*100,""0.00"")"),"55.22 +/- 2.78")</f>
        <v>55.22 +/- 2.78</v>
      </c>
    </row>
    <row r="9">
      <c r="A9" s="6" t="s">
        <v>58</v>
      </c>
      <c r="B9" s="14" t="s">
        <v>289</v>
      </c>
      <c r="C9" s="14" t="s">
        <v>290</v>
      </c>
      <c r="D9" s="14" t="s">
        <v>291</v>
      </c>
      <c r="E9" s="14" t="s">
        <v>292</v>
      </c>
      <c r="F9" s="14" t="s">
        <v>293</v>
      </c>
      <c r="G9" s="14" t="s">
        <v>294</v>
      </c>
      <c r="H9" s="14" t="s">
        <v>295</v>
      </c>
      <c r="I9" s="17" t="str">
        <f t="shared" si="1"/>
        <v>MW1→PC3</v>
      </c>
      <c r="J9" s="18" t="str">
        <f>IFERROR(__xludf.DUMMYFUNCTION("TEXT(VALUE(REGEXEXTRACT(B9,""^[+-]?[0-9]*\.?[0-9]+""))*100,""0.00"")&amp;"" +/- ""&amp;TEXT(VALUE(REGEXEXTRACT(B9,""[0-9]*\.?[0-9]+$""))*100,""0.00"")"),"45.37 +/- 4.67")</f>
        <v>45.37 +/- 4.67</v>
      </c>
      <c r="K9" s="18" t="str">
        <f>IFERROR(__xludf.DUMMYFUNCTION("TEXT(VALUE(REGEXEXTRACT(C9,""^[+-]?[0-9]*\.?[0-9]+""))*100,""0.00"")&amp;"" +/- ""&amp;TEXT(VALUE(REGEXEXTRACT(C9,""[0-9]*\.?[0-9]+$""))*100,""0.00"")"),"16.15 +/- 1.84")</f>
        <v>16.15 +/- 1.84</v>
      </c>
      <c r="L9" s="18" t="str">
        <f>IFERROR(__xludf.DUMMYFUNCTION("TEXT(VALUE(REGEXEXTRACT(D9,""^[+-]?[0-9]*\.?[0-9]+""))*100,""0.00"")&amp;"" +/- ""&amp;TEXT(VALUE(REGEXEXTRACT(D9,""[0-9]*\.?[0-9]+$""))*100,""0.00"")"),"1.45 +/- 3.30")</f>
        <v>1.45 +/- 3.30</v>
      </c>
      <c r="M9" s="18" t="str">
        <f>IFERROR(__xludf.DUMMYFUNCTION("TEXT(VALUE(REGEXEXTRACT(E9,""^[+-]?[0-9]*\.?[0-9]+""))*100,""0.00"")&amp;"" +/- ""&amp;TEXT(VALUE(REGEXEXTRACT(E9,""[0-9]*\.?[0-9]+$""))*100,""0.00"")"),"23.07 +/- 2.60")</f>
        <v>23.07 +/- 2.60</v>
      </c>
      <c r="N9" s="18" t="str">
        <f>IFERROR(__xludf.DUMMYFUNCTION("TEXT(VALUE(REGEXEXTRACT(F9,""^[+-]?[0-9]*\.?[0-9]+""))*100,""0.00"")&amp;"" +/- ""&amp;TEXT(VALUE(REGEXEXTRACT(F9,""[0-9]*\.?[0-9]+$""))*100,""0.00"")"),"35.14 +/- 5.25")</f>
        <v>35.14 +/- 5.25</v>
      </c>
      <c r="O9" s="18" t="str">
        <f>IFERROR(__xludf.DUMMYFUNCTION("TEXT(VALUE(REGEXEXTRACT(G9,""^[+-]?[0-9]*\.?[0-9]+""))*100,""0.00"")&amp;"" +/- ""&amp;TEXT(VALUE(REGEXEXTRACT(G9,""[0-9]*\.?[0-9]+$""))*100,""0.00"")"),"34.56 +/- 3.32")</f>
        <v>34.56 +/- 3.32</v>
      </c>
      <c r="P9" s="19" t="str">
        <f>IFERROR(__xludf.DUMMYFUNCTION("TEXT(VALUE(REGEXEXTRACT(H9,""^[+-]?[0-9]*\.?[0-9]+""))*100,""0.00"")&amp;"" +/- ""&amp;TEXT(VALUE(REGEXEXTRACT(H9,""[0-9]*\.?[0-9]+$""))*100,""0.00"")"),"50.17 +/- 2.57")</f>
        <v>50.17 +/- 2.57</v>
      </c>
    </row>
    <row r="10">
      <c r="A10" s="6" t="s">
        <v>66</v>
      </c>
      <c r="B10" s="14" t="s">
        <v>296</v>
      </c>
      <c r="C10" s="14" t="s">
        <v>297</v>
      </c>
      <c r="D10" s="14" t="s">
        <v>298</v>
      </c>
      <c r="E10" s="14" t="s">
        <v>299</v>
      </c>
      <c r="F10" s="14" t="s">
        <v>300</v>
      </c>
      <c r="G10" s="14" t="s">
        <v>301</v>
      </c>
      <c r="H10" s="14" t="s">
        <v>302</v>
      </c>
      <c r="I10" s="17" t="str">
        <f t="shared" si="1"/>
        <v>MW1→PC4</v>
      </c>
      <c r="J10" s="18" t="str">
        <f>IFERROR(__xludf.DUMMYFUNCTION("TEXT(VALUE(REGEXEXTRACT(B10,""^[+-]?[0-9]*\.?[0-9]+""))*100,""0.00"")&amp;"" +/- ""&amp;TEXT(VALUE(REGEXEXTRACT(B10,""[0-9]*\.?[0-9]+$""))*100,""0.00"")"),"51.42 +/- 3.22")</f>
        <v>51.42 +/- 3.22</v>
      </c>
      <c r="K10" s="18" t="str">
        <f>IFERROR(__xludf.DUMMYFUNCTION("TEXT(VALUE(REGEXEXTRACT(C10,""^[+-]?[0-9]*\.?[0-9]+""))*100,""0.00"")&amp;"" +/- ""&amp;TEXT(VALUE(REGEXEXTRACT(C10,""[0-9]*\.?[0-9]+$""))*100,""0.00"")"),"15.82 +/- 2.10")</f>
        <v>15.82 +/- 2.10</v>
      </c>
      <c r="L10" s="18" t="str">
        <f>IFERROR(__xludf.DUMMYFUNCTION("TEXT(VALUE(REGEXEXTRACT(D10,""^[+-]?[0-9]*\.?[0-9]+""))*100,""0.00"")&amp;"" +/- ""&amp;TEXT(VALUE(REGEXEXTRACT(D10,""[0-9]*\.?[0-9]+$""))*100,""0.00"")"),"3.26 +/- 3.79")</f>
        <v>3.26 +/- 3.79</v>
      </c>
      <c r="M10" s="18" t="str">
        <f>IFERROR(__xludf.DUMMYFUNCTION("TEXT(VALUE(REGEXEXTRACT(E10,""^[+-]?[0-9]*\.?[0-9]+""))*100,""0.00"")&amp;"" +/- ""&amp;TEXT(VALUE(REGEXEXTRACT(E10,""[0-9]*\.?[0-9]+$""))*100,""0.00"")"),"34.45 +/- 3.61")</f>
        <v>34.45 +/- 3.61</v>
      </c>
      <c r="N10" s="19" t="str">
        <f>IFERROR(__xludf.DUMMYFUNCTION("TEXT(VALUE(REGEXEXTRACT(F10,""^[+-]?[0-9]*\.?[0-9]+""))*100,""0.00"")&amp;"" +/- ""&amp;TEXT(VALUE(REGEXEXTRACT(F10,""[0-9]*\.?[0-9]+$""))*100,""0.00"")"),"54.94 +/- 2.95")</f>
        <v>54.94 +/- 2.95</v>
      </c>
      <c r="O10" s="18" t="str">
        <f>IFERROR(__xludf.DUMMYFUNCTION("TEXT(VALUE(REGEXEXTRACT(G10,""^[+-]?[0-9]*\.?[0-9]+""))*100,""0.00"")&amp;"" +/- ""&amp;TEXT(VALUE(REGEXEXTRACT(G10,""[0-9]*\.?[0-9]+$""))*100,""0.00"")"),"51.35 +/- 3.98")</f>
        <v>51.35 +/- 3.98</v>
      </c>
      <c r="P10" s="18" t="str">
        <f>IFERROR(__xludf.DUMMYFUNCTION("TEXT(VALUE(REGEXEXTRACT(H10,""^[+-]?[0-9]*\.?[0-9]+""))*100,""0.00"")&amp;"" +/- ""&amp;TEXT(VALUE(REGEXEXTRACT(H10,""[0-9]*\.?[0-9]+$""))*100,""0.00"")"),"44.92 +/- 1.76")</f>
        <v>44.92 +/- 1.76</v>
      </c>
    </row>
    <row r="11">
      <c r="A11" s="6" t="s">
        <v>79</v>
      </c>
      <c r="B11" s="14" t="s">
        <v>303</v>
      </c>
      <c r="C11" s="14" t="s">
        <v>304</v>
      </c>
      <c r="D11" s="14" t="s">
        <v>305</v>
      </c>
      <c r="E11" s="14" t="s">
        <v>306</v>
      </c>
      <c r="F11" s="14" t="s">
        <v>307</v>
      </c>
      <c r="G11" s="14" t="s">
        <v>308</v>
      </c>
      <c r="H11" s="14" t="s">
        <v>309</v>
      </c>
      <c r="I11" s="17" t="str">
        <f t="shared" si="1"/>
        <v>PC1→CM1</v>
      </c>
      <c r="J11" s="18" t="str">
        <f>IFERROR(__xludf.DUMMYFUNCTION("TEXT(VALUE(REGEXEXTRACT(B11,""^[+-]?[0-9]*\.?[0-9]+""))*100,""0.00"")&amp;"" +/- ""&amp;TEXT(VALUE(REGEXEXTRACT(B11,""[0-9]*\.?[0-9]+$""))*100,""0.00"")"),"46.83 +/- 2.13")</f>
        <v>46.83 +/- 2.13</v>
      </c>
      <c r="K11" s="18" t="str">
        <f>IFERROR(__xludf.DUMMYFUNCTION("TEXT(VALUE(REGEXEXTRACT(C11,""^[+-]?[0-9]*\.?[0-9]+""))*100,""0.00"")&amp;"" +/- ""&amp;TEXT(VALUE(REGEXEXTRACT(C11,""[0-9]*\.?[0-9]+$""))*100,""0.00"")"),"16.24 +/- 2.19")</f>
        <v>16.24 +/- 2.19</v>
      </c>
      <c r="L11" s="18" t="str">
        <f>IFERROR(__xludf.DUMMYFUNCTION("TEXT(VALUE(REGEXEXTRACT(D11,""^[+-]?[0-9]*\.?[0-9]+""))*100,""0.00"")&amp;"" +/- ""&amp;TEXT(VALUE(REGEXEXTRACT(D11,""[0-9]*\.?[0-9]+$""))*100,""0.00"")"),"24.78 +/- 3.81")</f>
        <v>24.78 +/- 3.81</v>
      </c>
      <c r="M11" s="18" t="str">
        <f>IFERROR(__xludf.DUMMYFUNCTION("TEXT(VALUE(REGEXEXTRACT(E11,""^[+-]?[0-9]*\.?[0-9]+""))*100,""0.00"")&amp;"" +/- ""&amp;TEXT(VALUE(REGEXEXTRACT(E11,""[0-9]*\.?[0-9]+$""))*100,""0.00"")"),"33.01 +/- 2.30")</f>
        <v>33.01 +/- 2.30</v>
      </c>
      <c r="N11" s="19" t="str">
        <f>IFERROR(__xludf.DUMMYFUNCTION("TEXT(VALUE(REGEXEXTRACT(F11,""^[+-]?[0-9]*\.?[0-9]+""))*100,""0.00"")&amp;"" +/- ""&amp;TEXT(VALUE(REGEXEXTRACT(F11,""[0-9]*\.?[0-9]+$""))*100,""0.00"")"),"47.99 +/- 2.51")</f>
        <v>47.99 +/- 2.51</v>
      </c>
      <c r="O11" s="18" t="str">
        <f>IFERROR(__xludf.DUMMYFUNCTION("TEXT(VALUE(REGEXEXTRACT(G11,""^[+-]?[0-9]*\.?[0-9]+""))*100,""0.00"")&amp;"" +/- ""&amp;TEXT(VALUE(REGEXEXTRACT(G11,""[0-9]*\.?[0-9]+$""))*100,""0.00"")"),"45.63 +/- 2.88")</f>
        <v>45.63 +/- 2.88</v>
      </c>
      <c r="P11" s="18" t="str">
        <f>IFERROR(__xludf.DUMMYFUNCTION("TEXT(VALUE(REGEXEXTRACT(H11,""^[+-]?[0-9]*\.?[0-9]+""))*100,""0.00"")&amp;"" +/- ""&amp;TEXT(VALUE(REGEXEXTRACT(H11,""[0-9]*\.?[0-9]+$""))*100,""0.00"")"),"42.96 +/- 1.80")</f>
        <v>42.96 +/- 1.80</v>
      </c>
    </row>
    <row r="12">
      <c r="A12" s="6" t="s">
        <v>94</v>
      </c>
      <c r="B12" s="14" t="s">
        <v>317</v>
      </c>
      <c r="C12" s="14" t="s">
        <v>318</v>
      </c>
      <c r="D12" s="14" t="s">
        <v>319</v>
      </c>
      <c r="E12" s="14" t="s">
        <v>320</v>
      </c>
      <c r="F12" s="14" t="s">
        <v>321</v>
      </c>
      <c r="G12" s="14" t="s">
        <v>322</v>
      </c>
      <c r="H12" s="14" t="s">
        <v>323</v>
      </c>
      <c r="I12" s="17" t="str">
        <f t="shared" si="1"/>
        <v>PC1→MW1</v>
      </c>
      <c r="J12" s="19" t="str">
        <f>IFERROR(__xludf.DUMMYFUNCTION("TEXT(VALUE(REGEXEXTRACT(B12,""^[+-]?[0-9]*\.?[0-9]+""))*100,""0.00"")&amp;"" +/- ""&amp;TEXT(VALUE(REGEXEXTRACT(B12,""[0-9]*\.?[0-9]+$""))*100,""0.00"")"),"68.81 +/- 3.14")</f>
        <v>68.81 +/- 3.14</v>
      </c>
      <c r="K12" s="18" t="str">
        <f>IFERROR(__xludf.DUMMYFUNCTION("TEXT(VALUE(REGEXEXTRACT(C12,""^[+-]?[0-9]*\.?[0-9]+""))*100,""0.00"")&amp;"" +/- ""&amp;TEXT(VALUE(REGEXEXTRACT(C12,""[0-9]*\.?[0-9]+$""))*100,""0.00"")"),"17.91 +/- 6.07")</f>
        <v>17.91 +/- 6.07</v>
      </c>
      <c r="L12" s="18" t="str">
        <f>IFERROR(__xludf.DUMMYFUNCTION("TEXT(VALUE(REGEXEXTRACT(D12,""^[+-]?[0-9]*\.?[0-9]+""))*100,""0.00"")&amp;"" +/- ""&amp;TEXT(VALUE(REGEXEXTRACT(D12,""[0-9]*\.?[0-9]+$""))*100,""0.00"")"),"14.13 +/- 9.53")</f>
        <v>14.13 +/- 9.53</v>
      </c>
      <c r="M12" s="18" t="str">
        <f>IFERROR(__xludf.DUMMYFUNCTION("TEXT(VALUE(REGEXEXTRACT(E12,""^[+-]?[0-9]*\.?[0-9]+""))*100,""0.00"")&amp;"" +/- ""&amp;TEXT(VALUE(REGEXEXTRACT(E12,""[0-9]*\.?[0-9]+$""))*100,""0.00"")"),"59.19 +/- 6.20")</f>
        <v>59.19 +/- 6.20</v>
      </c>
      <c r="N12" s="18" t="str">
        <f>IFERROR(__xludf.DUMMYFUNCTION("TEXT(VALUE(REGEXEXTRACT(F12,""^[+-]?[0-9]*\.?[0-9]+""))*100,""0.00"")&amp;"" +/- ""&amp;TEXT(VALUE(REGEXEXTRACT(F12,""[0-9]*\.?[0-9]+$""))*100,""0.00"")"),"65.18 +/- 4.01")</f>
        <v>65.18 +/- 4.01</v>
      </c>
      <c r="O12" s="18" t="str">
        <f>IFERROR(__xludf.DUMMYFUNCTION("TEXT(VALUE(REGEXEXTRACT(G12,""^[+-]?[0-9]*\.?[0-9]+""))*100,""0.00"")&amp;"" +/- ""&amp;TEXT(VALUE(REGEXEXTRACT(G12,""[0-9]*\.?[0-9]+$""))*100,""0.00"")"),"66.98 +/- 3.35")</f>
        <v>66.98 +/- 3.35</v>
      </c>
      <c r="P12" s="18" t="str">
        <f>IFERROR(__xludf.DUMMYFUNCTION("TEXT(VALUE(REGEXEXTRACT(H12,""^[+-]?[0-9]*\.?[0-9]+""))*100,""0.00"")&amp;"" +/- ""&amp;TEXT(VALUE(REGEXEXTRACT(H12,""[0-9]*\.?[0-9]+$""))*100,""0.00"")"),"51.09 +/- 1.95")</f>
        <v>51.09 +/- 1.95</v>
      </c>
    </row>
    <row r="13">
      <c r="A13" s="6" t="s">
        <v>109</v>
      </c>
      <c r="B13" s="14" t="s">
        <v>331</v>
      </c>
      <c r="C13" s="14" t="s">
        <v>332</v>
      </c>
      <c r="D13" s="14" t="s">
        <v>333</v>
      </c>
      <c r="E13" s="14" t="s">
        <v>334</v>
      </c>
      <c r="F13" s="14" t="s">
        <v>335</v>
      </c>
      <c r="G13" s="14" t="s">
        <v>336</v>
      </c>
      <c r="H13" s="14" t="s">
        <v>337</v>
      </c>
      <c r="I13" s="17" t="str">
        <f t="shared" si="1"/>
        <v>PC1→PC3</v>
      </c>
      <c r="J13" s="19" t="str">
        <f>IFERROR(__xludf.DUMMYFUNCTION("TEXT(VALUE(REGEXEXTRACT(B13,""^[+-]?[0-9]*\.?[0-9]+""))*100,""0.00"")&amp;"" +/- ""&amp;TEXT(VALUE(REGEXEXTRACT(B13,""[0-9]*\.?[0-9]+$""))*100,""0.00"")"),"58.40 +/- 3.04")</f>
        <v>58.40 +/- 3.04</v>
      </c>
      <c r="K13" s="18" t="str">
        <f>IFERROR(__xludf.DUMMYFUNCTION("TEXT(VALUE(REGEXEXTRACT(C13,""^[+-]?[0-9]*\.?[0-9]+""))*100,""0.00"")&amp;"" +/- ""&amp;TEXT(VALUE(REGEXEXTRACT(C13,""[0-9]*\.?[0-9]+$""))*100,""0.00"")"),"9.35 +/- 5.04")</f>
        <v>9.35 +/- 5.04</v>
      </c>
      <c r="L13" s="18" t="str">
        <f>IFERROR(__xludf.DUMMYFUNCTION("TEXT(VALUE(REGEXEXTRACT(D13,""^[+-]?[0-9]*\.?[0-9]+""))*100,""0.00"")&amp;"" +/- ""&amp;TEXT(VALUE(REGEXEXTRACT(D13,""[0-9]*\.?[0-9]+$""))*100,""0.00"")"),"18.86 +/- 3.27")</f>
        <v>18.86 +/- 3.27</v>
      </c>
      <c r="M13" s="18" t="str">
        <f>IFERROR(__xludf.DUMMYFUNCTION("TEXT(VALUE(REGEXEXTRACT(E13,""^[+-]?[0-9]*\.?[0-9]+""))*100,""0.00"")&amp;"" +/- ""&amp;TEXT(VALUE(REGEXEXTRACT(E13,""[0-9]*\.?[0-9]+$""))*100,""0.00"")"),"26.41 +/- 2.86")</f>
        <v>26.41 +/- 2.86</v>
      </c>
      <c r="N13" s="18" t="str">
        <f>IFERROR(__xludf.DUMMYFUNCTION("TEXT(VALUE(REGEXEXTRACT(F13,""^[+-]?[0-9]*\.?[0-9]+""))*100,""0.00"")&amp;"" +/- ""&amp;TEXT(VALUE(REGEXEXTRACT(F13,""[0-9]*\.?[0-9]+$""))*100,""0.00"")"),"56.85 +/- 1.88")</f>
        <v>56.85 +/- 1.88</v>
      </c>
      <c r="O13" s="18" t="str">
        <f>IFERROR(__xludf.DUMMYFUNCTION("TEXT(VALUE(REGEXEXTRACT(G13,""^[+-]?[0-9]*\.?[0-9]+""))*100,""0.00"")&amp;"" +/- ""&amp;TEXT(VALUE(REGEXEXTRACT(G13,""[0-9]*\.?[0-9]+$""))*100,""0.00"")"),"55.31 +/- 1.93")</f>
        <v>55.31 +/- 1.93</v>
      </c>
      <c r="P13" s="18" t="str">
        <f>IFERROR(__xludf.DUMMYFUNCTION("TEXT(VALUE(REGEXEXTRACT(H13,""^[+-]?[0-9]*\.?[0-9]+""))*100,""0.00"")&amp;"" +/- ""&amp;TEXT(VALUE(REGEXEXTRACT(H13,""[0-9]*\.?[0-9]+$""))*100,""0.00"")"),"55.87 +/- 3.19")</f>
        <v>55.87 +/- 3.19</v>
      </c>
    </row>
    <row r="14">
      <c r="A14" s="6" t="s">
        <v>124</v>
      </c>
      <c r="B14" s="14" t="s">
        <v>345</v>
      </c>
      <c r="C14" s="14" t="s">
        <v>346</v>
      </c>
      <c r="D14" s="14" t="s">
        <v>347</v>
      </c>
      <c r="E14" s="14" t="s">
        <v>348</v>
      </c>
      <c r="F14" s="14" t="s">
        <v>349</v>
      </c>
      <c r="G14" s="14" t="s">
        <v>350</v>
      </c>
      <c r="H14" s="14" t="s">
        <v>351</v>
      </c>
      <c r="I14" s="17" t="str">
        <f t="shared" si="1"/>
        <v>PC1→PC4</v>
      </c>
      <c r="J14" s="18" t="str">
        <f>IFERROR(__xludf.DUMMYFUNCTION("TEXT(VALUE(REGEXEXTRACT(B14,""^[+-]?[0-9]*\.?[0-9]+""))*100,""0.00"")&amp;"" +/- ""&amp;TEXT(VALUE(REGEXEXTRACT(B14,""[0-9]*\.?[0-9]+$""))*100,""0.00"")"),"60.20 +/- 1.33")</f>
        <v>60.20 +/- 1.33</v>
      </c>
      <c r="K14" s="18" t="str">
        <f>IFERROR(__xludf.DUMMYFUNCTION("TEXT(VALUE(REGEXEXTRACT(C14,""^[+-]?[0-9]*\.?[0-9]+""))*100,""0.00"")&amp;"" +/- ""&amp;TEXT(VALUE(REGEXEXTRACT(C14,""[0-9]*\.?[0-9]+$""))*100,""0.00"")"),"16.47 +/- 2.69")</f>
        <v>16.47 +/- 2.69</v>
      </c>
      <c r="L14" s="18" t="str">
        <f>IFERROR(__xludf.DUMMYFUNCTION("TEXT(VALUE(REGEXEXTRACT(D14,""^[+-]?[0-9]*\.?[0-9]+""))*100,""0.00"")&amp;"" +/- ""&amp;TEXT(VALUE(REGEXEXTRACT(D14,""[0-9]*\.?[0-9]+$""))*100,""0.00"")"),"12.67 +/- 3.60")</f>
        <v>12.67 +/- 3.60</v>
      </c>
      <c r="M14" s="18" t="str">
        <f>IFERROR(__xludf.DUMMYFUNCTION("TEXT(VALUE(REGEXEXTRACT(E14,""^[+-]?[0-9]*\.?[0-9]+""))*100,""0.00"")&amp;"" +/- ""&amp;TEXT(VALUE(REGEXEXTRACT(E14,""[0-9]*\.?[0-9]+$""))*100,""0.00"")"),"44.46 +/- 1.77")</f>
        <v>44.46 +/- 1.77</v>
      </c>
      <c r="N14" s="19" t="str">
        <f>IFERROR(__xludf.DUMMYFUNCTION("TEXT(VALUE(REGEXEXTRACT(F14,""^[+-]?[0-9]*\.?[0-9]+""))*100,""0.00"")&amp;"" +/- ""&amp;TEXT(VALUE(REGEXEXTRACT(F14,""[0-9]*\.?[0-9]+$""))*100,""0.00"")"),"67.11 +/- 0.76")</f>
        <v>67.11 +/- 0.76</v>
      </c>
      <c r="O14" s="18" t="str">
        <f>IFERROR(__xludf.DUMMYFUNCTION("TEXT(VALUE(REGEXEXTRACT(G14,""^[+-]?[0-9]*\.?[0-9]+""))*100,""0.00"")&amp;"" +/- ""&amp;TEXT(VALUE(REGEXEXTRACT(G14,""[0-9]*\.?[0-9]+$""))*100,""0.00"")"),"65.44 +/- 1.04")</f>
        <v>65.44 +/- 1.04</v>
      </c>
      <c r="P14" s="18" t="str">
        <f>IFERROR(__xludf.DUMMYFUNCTION("TEXT(VALUE(REGEXEXTRACT(H14,""^[+-]?[0-9]*\.?[0-9]+""))*100,""0.00"")&amp;"" +/- ""&amp;TEXT(VALUE(REGEXEXTRACT(H14,""[0-9]*\.?[0-9]+$""))*100,""0.00"")"),"48.55 +/- 2.18")</f>
        <v>48.55 +/- 2.18</v>
      </c>
    </row>
    <row r="15">
      <c r="A15" s="6" t="s">
        <v>139</v>
      </c>
      <c r="B15" s="14" t="s">
        <v>359</v>
      </c>
      <c r="C15" s="14" t="s">
        <v>360</v>
      </c>
      <c r="D15" s="14" t="s">
        <v>361</v>
      </c>
      <c r="E15" s="14" t="s">
        <v>362</v>
      </c>
      <c r="F15" s="14" t="s">
        <v>363</v>
      </c>
      <c r="G15" s="14" t="s">
        <v>364</v>
      </c>
      <c r="H15" s="14" t="s">
        <v>365</v>
      </c>
      <c r="I15" s="17" t="str">
        <f t="shared" si="1"/>
        <v>PC3→CM1</v>
      </c>
      <c r="J15" s="18" t="str">
        <f>IFERROR(__xludf.DUMMYFUNCTION("TEXT(VALUE(REGEXEXTRACT(B15,""^[+-]?[0-9]*\.?[0-9]+""))*100,""0.00"")&amp;"" +/- ""&amp;TEXT(VALUE(REGEXEXTRACT(B15,""[0-9]*\.?[0-9]+$""))*100,""0.00"")"),"49.23 +/- 2.62")</f>
        <v>49.23 +/- 2.62</v>
      </c>
      <c r="K15" s="18" t="str">
        <f>IFERROR(__xludf.DUMMYFUNCTION("TEXT(VALUE(REGEXEXTRACT(C15,""^[+-]?[0-9]*\.?[0-9]+""))*100,""0.00"")&amp;"" +/- ""&amp;TEXT(VALUE(REGEXEXTRACT(C15,""[0-9]*\.?[0-9]+$""))*100,""0.00"")"),"14.82 +/- 6.99")</f>
        <v>14.82 +/- 6.99</v>
      </c>
      <c r="L15" s="18" t="str">
        <f>IFERROR(__xludf.DUMMYFUNCTION("TEXT(VALUE(REGEXEXTRACT(D15,""^[+-]?[0-9]*\.?[0-9]+""))*100,""0.00"")&amp;"" +/- ""&amp;TEXT(VALUE(REGEXEXTRACT(D15,""[0-9]*\.?[0-9]+$""))*100,""0.00"")"),"22.35 +/- 7.63")</f>
        <v>22.35 +/- 7.63</v>
      </c>
      <c r="M15" s="18" t="str">
        <f>IFERROR(__xludf.DUMMYFUNCTION("TEXT(VALUE(REGEXEXTRACT(E15,""^[+-]?[0-9]*\.?[0-9]+""))*100,""0.00"")&amp;"" +/- ""&amp;TEXT(VALUE(REGEXEXTRACT(E15,""[0-9]*\.?[0-9]+$""))*100,""0.00"")"),"30.44 +/- 5.13")</f>
        <v>30.44 +/- 5.13</v>
      </c>
      <c r="N15" s="18" t="str">
        <f>IFERROR(__xludf.DUMMYFUNCTION("TEXT(VALUE(REGEXEXTRACT(F15,""^[+-]?[0-9]*\.?[0-9]+""))*100,""0.00"")&amp;"" +/- ""&amp;TEXT(VALUE(REGEXEXTRACT(F15,""[0-9]*\.?[0-9]+$""))*100,""0.00"")"),"49.72 +/- 3.98")</f>
        <v>49.72 +/- 3.98</v>
      </c>
      <c r="O15" s="18" t="str">
        <f>IFERROR(__xludf.DUMMYFUNCTION("TEXT(VALUE(REGEXEXTRACT(G15,""^[+-]?[0-9]*\.?[0-9]+""))*100,""0.00"")&amp;"" +/- ""&amp;TEXT(VALUE(REGEXEXTRACT(G15,""[0-9]*\.?[0-9]+$""))*100,""0.00"")"),"48.34 +/- 4.87")</f>
        <v>48.34 +/- 4.87</v>
      </c>
      <c r="P15" s="19" t="str">
        <f>IFERROR(__xludf.DUMMYFUNCTION("TEXT(VALUE(REGEXEXTRACT(H15,""^[+-]?[0-9]*\.?[0-9]+""))*100,""0.00"")&amp;"" +/- ""&amp;TEXT(VALUE(REGEXEXTRACT(H15,""[0-9]*\.?[0-9]+$""))*100,""0.00"")"),"50.39 +/- 2.36")</f>
        <v>50.39 +/- 2.36</v>
      </c>
    </row>
    <row r="16">
      <c r="A16" s="6" t="s">
        <v>154</v>
      </c>
      <c r="B16" s="14" t="s">
        <v>372</v>
      </c>
      <c r="C16" s="14" t="s">
        <v>373</v>
      </c>
      <c r="D16" s="14" t="s">
        <v>375</v>
      </c>
      <c r="E16" s="14" t="s">
        <v>377</v>
      </c>
      <c r="F16" s="14" t="s">
        <v>383</v>
      </c>
      <c r="G16" s="14" t="s">
        <v>384</v>
      </c>
      <c r="H16" s="14" t="s">
        <v>385</v>
      </c>
      <c r="I16" s="17" t="str">
        <f t="shared" si="1"/>
        <v>PC3→MW1</v>
      </c>
      <c r="J16" s="18" t="str">
        <f>IFERROR(__xludf.DUMMYFUNCTION("TEXT(VALUE(REGEXEXTRACT(B16,""^[+-]?[0-9]*\.?[0-9]+""))*100,""0.00"")&amp;"" +/- ""&amp;TEXT(VALUE(REGEXEXTRACT(B16,""[0-9]*\.?[0-9]+$""))*100,""0.00"")"),"65.89 +/- 3.05")</f>
        <v>65.89 +/- 3.05</v>
      </c>
      <c r="K16" s="18" t="str">
        <f>IFERROR(__xludf.DUMMYFUNCTION("TEXT(VALUE(REGEXEXTRACT(C16,""^[+-]?[0-9]*\.?[0-9]+""))*100,""0.00"")&amp;"" +/- ""&amp;TEXT(VALUE(REGEXEXTRACT(C16,""[0-9]*\.?[0-9]+$""))*100,""0.00"")"),"19.74 +/- 0.09")</f>
        <v>19.74 +/- 0.09</v>
      </c>
      <c r="L16" s="18" t="str">
        <f>IFERROR(__xludf.DUMMYFUNCTION("TEXT(VALUE(REGEXEXTRACT(D16,""^[+-]?[0-9]*\.?[0-9]+""))*100,""0.00"")&amp;"" +/- ""&amp;TEXT(VALUE(REGEXEXTRACT(D16,""[0-9]*\.?[0-9]+$""))*100,""0.00"")"),"15.86 +/- 12.24")</f>
        <v>15.86 +/- 12.24</v>
      </c>
      <c r="M16" s="18" t="str">
        <f>IFERROR(__xludf.DUMMYFUNCTION("TEXT(VALUE(REGEXEXTRACT(E16,""^[+-]?[0-9]*\.?[0-9]+""))*100,""0.00"")&amp;"" +/- ""&amp;TEXT(VALUE(REGEXEXTRACT(E16,""[0-9]*\.?[0-9]+$""))*100,""0.00"")"),"53.54 +/- 5.95")</f>
        <v>53.54 +/- 5.95</v>
      </c>
      <c r="N16" s="19" t="str">
        <f>IFERROR(__xludf.DUMMYFUNCTION("TEXT(VALUE(REGEXEXTRACT(F16,""^[+-]?[0-9]*\.?[0-9]+""))*100,""0.00"")&amp;"" +/- ""&amp;TEXT(VALUE(REGEXEXTRACT(F16,""[0-9]*\.?[0-9]+$""))*100,""0.00"")"),"66.68 +/- 3.61")</f>
        <v>66.68 +/- 3.61</v>
      </c>
      <c r="O16" s="18" t="str">
        <f>IFERROR(__xludf.DUMMYFUNCTION("TEXT(VALUE(REGEXEXTRACT(G16,""^[+-]?[0-9]*\.?[0-9]+""))*100,""0.00"")&amp;"" +/- ""&amp;TEXT(VALUE(REGEXEXTRACT(G16,""[0-9]*\.?[0-9]+$""))*100,""0.00"")"),"65.67 +/- 2.58")</f>
        <v>65.67 +/- 2.58</v>
      </c>
      <c r="P16" s="18" t="str">
        <f>IFERROR(__xludf.DUMMYFUNCTION("TEXT(VALUE(REGEXEXTRACT(H16,""^[+-]?[0-9]*\.?[0-9]+""))*100,""0.00"")&amp;"" +/- ""&amp;TEXT(VALUE(REGEXEXTRACT(H16,""[0-9]*\.?[0-9]+$""))*100,""0.00"")"),"43.60 +/- 2.50")</f>
        <v>43.60 +/- 2.50</v>
      </c>
    </row>
    <row r="17">
      <c r="A17" s="6" t="s">
        <v>169</v>
      </c>
      <c r="B17" s="14" t="s">
        <v>401</v>
      </c>
      <c r="C17" s="14" t="s">
        <v>402</v>
      </c>
      <c r="D17" s="14" t="s">
        <v>403</v>
      </c>
      <c r="E17" s="14" t="s">
        <v>404</v>
      </c>
      <c r="F17" s="14" t="s">
        <v>405</v>
      </c>
      <c r="G17" s="14" t="s">
        <v>407</v>
      </c>
      <c r="H17" s="14" t="s">
        <v>409</v>
      </c>
      <c r="I17" s="17" t="str">
        <f t="shared" si="1"/>
        <v>PC3→PC1</v>
      </c>
      <c r="J17" s="18" t="str">
        <f>IFERROR(__xludf.DUMMYFUNCTION("TEXT(VALUE(REGEXEXTRACT(B17,""^[+-]?[0-9]*\.?[0-9]+""))*100,""0.00"")&amp;"" +/- ""&amp;TEXT(VALUE(REGEXEXTRACT(B17,""[0-9]*\.?[0-9]+$""))*100,""0.00"")"),"61.38 +/- 2.16")</f>
        <v>61.38 +/- 2.16</v>
      </c>
      <c r="K17" s="18" t="str">
        <f>IFERROR(__xludf.DUMMYFUNCTION("TEXT(VALUE(REGEXEXTRACT(C17,""^[+-]?[0-9]*\.?[0-9]+""))*100,""0.00"")&amp;"" +/- ""&amp;TEXT(VALUE(REGEXEXTRACT(C17,""[0-9]*\.?[0-9]+$""))*100,""0.00"")"),"20.23 +/- 5.42")</f>
        <v>20.23 +/- 5.42</v>
      </c>
      <c r="L17" s="18" t="str">
        <f>IFERROR(__xludf.DUMMYFUNCTION("TEXT(VALUE(REGEXEXTRACT(D17,""^[+-]?[0-9]*\.?[0-9]+""))*100,""0.00"")&amp;"" +/- ""&amp;TEXT(VALUE(REGEXEXTRACT(D17,""[0-9]*\.?[0-9]+$""))*100,""0.00"")"),"20.43 +/- 5.99")</f>
        <v>20.43 +/- 5.99</v>
      </c>
      <c r="M17" s="18" t="str">
        <f>IFERROR(__xludf.DUMMYFUNCTION("TEXT(VALUE(REGEXEXTRACT(E17,""^[+-]?[0-9]*\.?[0-9]+""))*100,""0.00"")&amp;"" +/- ""&amp;TEXT(VALUE(REGEXEXTRACT(E17,""[0-9]*\.?[0-9]+$""))*100,""0.00"")"),"48.02 +/- 2.71")</f>
        <v>48.02 +/- 2.71</v>
      </c>
      <c r="N17" s="18" t="str">
        <f>IFERROR(__xludf.DUMMYFUNCTION("TEXT(VALUE(REGEXEXTRACT(F17,""^[+-]?[0-9]*\.?[0-9]+""))*100,""0.00"")&amp;"" +/- ""&amp;TEXT(VALUE(REGEXEXTRACT(F17,""[0-9]*\.?[0-9]+$""))*100,""0.00"")"),"65.18 +/- 2.36")</f>
        <v>65.18 +/- 2.36</v>
      </c>
      <c r="O17" s="18" t="str">
        <f>IFERROR(__xludf.DUMMYFUNCTION("TEXT(VALUE(REGEXEXTRACT(G17,""^[+-]?[0-9]*\.?[0-9]+""))*100,""0.00"")&amp;"" +/- ""&amp;TEXT(VALUE(REGEXEXTRACT(G17,""[0-9]*\.?[0-9]+$""))*100,""0.00"")"),"63.55 +/- 2.58")</f>
        <v>63.55 +/- 2.58</v>
      </c>
      <c r="P17" s="19" t="str">
        <f>IFERROR(__xludf.DUMMYFUNCTION("TEXT(VALUE(REGEXEXTRACT(H17,""^[+-]?[0-9]*\.?[0-9]+""))*100,""0.00"")&amp;"" +/- ""&amp;TEXT(VALUE(REGEXEXTRACT(H17,""[0-9]*\.?[0-9]+$""))*100,""0.00"")"),"67.36 +/- 1.95")</f>
        <v>67.36 +/- 1.95</v>
      </c>
    </row>
    <row r="18">
      <c r="A18" s="6" t="s">
        <v>184</v>
      </c>
      <c r="B18" s="14" t="s">
        <v>423</v>
      </c>
      <c r="C18" s="14" t="s">
        <v>425</v>
      </c>
      <c r="D18" s="14" t="s">
        <v>426</v>
      </c>
      <c r="E18" s="14" t="s">
        <v>427</v>
      </c>
      <c r="F18" s="14" t="s">
        <v>428</v>
      </c>
      <c r="G18" s="14" t="s">
        <v>429</v>
      </c>
      <c r="H18" s="14" t="s">
        <v>430</v>
      </c>
      <c r="I18" s="17" t="str">
        <f t="shared" si="1"/>
        <v>PC3→PC4</v>
      </c>
      <c r="J18" s="18" t="str">
        <f>IFERROR(__xludf.DUMMYFUNCTION("TEXT(VALUE(REGEXEXTRACT(B18,""^[+-]?[0-9]*\.?[0-9]+""))*100,""0.00"")&amp;"" +/- ""&amp;TEXT(VALUE(REGEXEXTRACT(B18,""[0-9]*\.?[0-9]+$""))*100,""0.00"")"),"60.48 +/- 1.06")</f>
        <v>60.48 +/- 1.06</v>
      </c>
      <c r="K18" s="18" t="str">
        <f>IFERROR(__xludf.DUMMYFUNCTION("TEXT(VALUE(REGEXEXTRACT(C18,""^[+-]?[0-9]*\.?[0-9]+""))*100,""0.00"")&amp;"" +/- ""&amp;TEXT(VALUE(REGEXEXTRACT(C18,""[0-9]*\.?[0-9]+$""))*100,""0.00"")"),"15.33 +/- 3.24")</f>
        <v>15.33 +/- 3.24</v>
      </c>
      <c r="L18" s="18" t="str">
        <f>IFERROR(__xludf.DUMMYFUNCTION("TEXT(VALUE(REGEXEXTRACT(D18,""^[+-]?[0-9]*\.?[0-9]+""))*100,""0.00"")&amp;"" +/- ""&amp;TEXT(VALUE(REGEXEXTRACT(D18,""[0-9]*\.?[0-9]+$""))*100,""0.00"")"),"19.37 +/- 2.91")</f>
        <v>19.37 +/- 2.91</v>
      </c>
      <c r="M18" s="18" t="str">
        <f>IFERROR(__xludf.DUMMYFUNCTION("TEXT(VALUE(REGEXEXTRACT(E18,""^[+-]?[0-9]*\.?[0-9]+""))*100,""0.00"")&amp;"" +/- ""&amp;TEXT(VALUE(REGEXEXTRACT(E18,""[0-9]*\.?[0-9]+$""))*100,""0.00"")"),"42.56 +/- 2.89")</f>
        <v>42.56 +/- 2.89</v>
      </c>
      <c r="N18" s="19" t="str">
        <f>IFERROR(__xludf.DUMMYFUNCTION("TEXT(VALUE(REGEXEXTRACT(F18,""^[+-]?[0-9]*\.?[0-9]+""))*100,""0.00"")&amp;"" +/- ""&amp;TEXT(VALUE(REGEXEXTRACT(F18,""[0-9]*\.?[0-9]+$""))*100,""0.00"")"),"65.32 +/- 0.96")</f>
        <v>65.32 +/- 0.96</v>
      </c>
      <c r="O18" s="18" t="str">
        <f>IFERROR(__xludf.DUMMYFUNCTION("TEXT(VALUE(REGEXEXTRACT(G18,""^[+-]?[0-9]*\.?[0-9]+""))*100,""0.00"")&amp;"" +/- ""&amp;TEXT(VALUE(REGEXEXTRACT(G18,""[0-9]*\.?[0-9]+$""))*100,""0.00"")"),"64.59 +/- 1.01")</f>
        <v>64.59 +/- 1.01</v>
      </c>
      <c r="P18" s="18" t="str">
        <f>IFERROR(__xludf.DUMMYFUNCTION("TEXT(VALUE(REGEXEXTRACT(H18,""^[+-]?[0-9]*\.?[0-9]+""))*100,""0.00"")&amp;"" +/- ""&amp;TEXT(VALUE(REGEXEXTRACT(H18,""[0-9]*\.?[0-9]+$""))*100,""0.00"")"),"52.90 +/- 2.14")</f>
        <v>52.90 +/- 2.14</v>
      </c>
    </row>
    <row r="19">
      <c r="A19" s="6" t="s">
        <v>194</v>
      </c>
      <c r="B19" s="14" t="s">
        <v>438</v>
      </c>
      <c r="C19" s="14" t="s">
        <v>439</v>
      </c>
      <c r="D19" s="14" t="s">
        <v>440</v>
      </c>
      <c r="E19" s="14" t="s">
        <v>441</v>
      </c>
      <c r="F19" s="14" t="s">
        <v>442</v>
      </c>
      <c r="G19" s="14" t="s">
        <v>443</v>
      </c>
      <c r="H19" s="14" t="s">
        <v>444</v>
      </c>
      <c r="I19" s="17" t="str">
        <f t="shared" si="1"/>
        <v>PC4→CM1</v>
      </c>
      <c r="J19" s="18" t="str">
        <f>IFERROR(__xludf.DUMMYFUNCTION("TEXT(VALUE(REGEXEXTRACT(B19,""^[+-]?[0-9]*\.?[0-9]+""))*100,""0.00"")&amp;"" +/- ""&amp;TEXT(VALUE(REGEXEXTRACT(B19,""[0-9]*\.?[0-9]+$""))*100,""0.00"")"),"41.35 +/- 3.13")</f>
        <v>41.35 +/- 3.13</v>
      </c>
      <c r="K19" s="18" t="str">
        <f>IFERROR(__xludf.DUMMYFUNCTION("TEXT(VALUE(REGEXEXTRACT(C19,""^[+-]?[0-9]*\.?[0-9]+""))*100,""0.00"")&amp;"" +/- ""&amp;TEXT(VALUE(REGEXEXTRACT(C19,""[0-9]*\.?[0-9]+$""))*100,""0.00"")"),"9.64 +/- 7.46")</f>
        <v>9.64 +/- 7.46</v>
      </c>
      <c r="L19" s="18" t="str">
        <f>IFERROR(__xludf.DUMMYFUNCTION("TEXT(VALUE(REGEXEXTRACT(D19,""^[+-]?[0-9]*\.?[0-9]+""))*100,""0.00"")&amp;"" +/- ""&amp;TEXT(VALUE(REGEXEXTRACT(D19,""[0-9]*\.?[0-9]+$""))*100,""0.00"")"),"2.05 +/- 5.32")</f>
        <v>2.05 +/- 5.32</v>
      </c>
      <c r="M19" s="18" t="str">
        <f>IFERROR(__xludf.DUMMYFUNCTION("TEXT(VALUE(REGEXEXTRACT(E19,""^[+-]?[0-9]*\.?[0-9]+""))*100,""0.00"")&amp;"" +/- ""&amp;TEXT(VALUE(REGEXEXTRACT(E19,""[0-9]*\.?[0-9]+$""))*100,""0.00"")"),"25.23 +/- 4.09")</f>
        <v>25.23 +/- 4.09</v>
      </c>
      <c r="N19" s="18" t="str">
        <f>IFERROR(__xludf.DUMMYFUNCTION("TEXT(VALUE(REGEXEXTRACT(F19,""^[+-]?[0-9]*\.?[0-9]+""))*100,""0.00"")&amp;"" +/- ""&amp;TEXT(VALUE(REGEXEXTRACT(F19,""[0-9]*\.?[0-9]+$""))*100,""0.00"")"),"39.88 +/- 2.70")</f>
        <v>39.88 +/- 2.70</v>
      </c>
      <c r="O19" s="18" t="str">
        <f>IFERROR(__xludf.DUMMYFUNCTION("TEXT(VALUE(REGEXEXTRACT(G19,""^[+-]?[0-9]*\.?[0-9]+""))*100,""0.00"")&amp;"" +/- ""&amp;TEXT(VALUE(REGEXEXTRACT(G19,""[0-9]*\.?[0-9]+$""))*100,""0.00"")"),"38.48 +/- 3.04")</f>
        <v>38.48 +/- 3.04</v>
      </c>
      <c r="P19" s="19" t="str">
        <f>IFERROR(__xludf.DUMMYFUNCTION("TEXT(VALUE(REGEXEXTRACT(H19,""^[+-]?[0-9]*\.?[0-9]+""))*100,""0.00"")&amp;"" +/- ""&amp;TEXT(VALUE(REGEXEXTRACT(H19,""[0-9]*\.?[0-9]+$""))*100,""0.00"")"),"54.84 +/- 1.89")</f>
        <v>54.84 +/- 1.89</v>
      </c>
    </row>
    <row r="20">
      <c r="A20" s="6" t="s">
        <v>216</v>
      </c>
      <c r="B20" s="14" t="s">
        <v>452</v>
      </c>
      <c r="C20" s="14" t="s">
        <v>453</v>
      </c>
      <c r="D20" s="14" t="s">
        <v>454</v>
      </c>
      <c r="E20" s="14" t="s">
        <v>455</v>
      </c>
      <c r="F20" s="14" t="s">
        <v>456</v>
      </c>
      <c r="G20" s="14" t="s">
        <v>457</v>
      </c>
      <c r="H20" s="14" t="s">
        <v>458</v>
      </c>
      <c r="I20" s="17" t="str">
        <f t="shared" si="1"/>
        <v>PC4→MW1</v>
      </c>
      <c r="J20" s="19" t="str">
        <f>IFERROR(__xludf.DUMMYFUNCTION("TEXT(VALUE(REGEXEXTRACT(B20,""^[+-]?[0-9]*\.?[0-9]+""))*100,""0.00"")&amp;"" +/- ""&amp;TEXT(VALUE(REGEXEXTRACT(B20,""[0-9]*\.?[0-9]+$""))*100,""0.00"")"),"54.63 +/- 2.65")</f>
        <v>54.63 +/- 2.65</v>
      </c>
      <c r="K20" s="18" t="str">
        <f>IFERROR(__xludf.DUMMYFUNCTION("TEXT(VALUE(REGEXEXTRACT(C20,""^[+-]?[0-9]*\.?[0-9]+""))*100,""0.00"")&amp;"" +/- ""&amp;TEXT(VALUE(REGEXEXTRACT(C20,""[0-9]*\.?[0-9]+$""))*100,""0.00"")"),"4.64 +/- 8.55")</f>
        <v>4.64 +/- 8.55</v>
      </c>
      <c r="L20" s="18" t="str">
        <f>IFERROR(__xludf.DUMMYFUNCTION("TEXT(VALUE(REGEXEXTRACT(D20,""^[+-]?[0-9]*\.?[0-9]+""))*100,""0.00"")&amp;"" +/- ""&amp;TEXT(VALUE(REGEXEXTRACT(D20,""[0-9]*\.?[0-9]+$""))*100,""0.00"")"),"11.57 +/- 11.42")</f>
        <v>11.57 +/- 11.42</v>
      </c>
      <c r="M20" s="18" t="str">
        <f>IFERROR(__xludf.DUMMYFUNCTION("TEXT(VALUE(REGEXEXTRACT(E20,""^[+-]?[0-9]*\.?[0-9]+""))*100,""0.00"")&amp;"" +/- ""&amp;TEXT(VALUE(REGEXEXTRACT(E20,""[0-9]*\.?[0-9]+$""))*100,""0.00"")"),"27.84 +/- 9.45")</f>
        <v>27.84 +/- 9.45</v>
      </c>
      <c r="N20" s="18" t="str">
        <f>IFERROR(__xludf.DUMMYFUNCTION("TEXT(VALUE(REGEXEXTRACT(F20,""^[+-]?[0-9]*\.?[0-9]+""))*100,""0.00"")&amp;"" +/- ""&amp;TEXT(VALUE(REGEXEXTRACT(F20,""[0-9]*\.?[0-9]+$""))*100,""0.00"")"),"43.55 +/- 6.33")</f>
        <v>43.55 +/- 6.33</v>
      </c>
      <c r="O20" s="18" t="str">
        <f>IFERROR(__xludf.DUMMYFUNCTION("TEXT(VALUE(REGEXEXTRACT(G20,""^[+-]?[0-9]*\.?[0-9]+""))*100,""0.00"")&amp;"" +/- ""&amp;TEXT(VALUE(REGEXEXTRACT(G20,""[0-9]*\.?[0-9]+$""))*100,""0.00"")"),"48.20 +/- 2.88")</f>
        <v>48.20 +/- 2.88</v>
      </c>
      <c r="P20" s="18" t="str">
        <f>IFERROR(__xludf.DUMMYFUNCTION("TEXT(VALUE(REGEXEXTRACT(H20,""^[+-]?[0-9]*\.?[0-9]+""))*100,""0.00"")&amp;"" +/- ""&amp;TEXT(VALUE(REGEXEXTRACT(H20,""[0-9]*\.?[0-9]+$""))*100,""0.00"")"),"41.80 +/- 2.91")</f>
        <v>41.80 +/- 2.91</v>
      </c>
    </row>
    <row r="21">
      <c r="A21" s="6" t="s">
        <v>245</v>
      </c>
      <c r="B21" s="14" t="s">
        <v>466</v>
      </c>
      <c r="C21" s="14" t="s">
        <v>467</v>
      </c>
      <c r="D21" s="14" t="s">
        <v>468</v>
      </c>
      <c r="E21" s="14" t="s">
        <v>469</v>
      </c>
      <c r="F21" s="14" t="s">
        <v>470</v>
      </c>
      <c r="G21" s="14" t="s">
        <v>471</v>
      </c>
      <c r="H21" s="14" t="s">
        <v>472</v>
      </c>
      <c r="I21" s="17" t="str">
        <f t="shared" si="1"/>
        <v>PC4→PC1</v>
      </c>
      <c r="J21" s="18" t="str">
        <f>IFERROR(__xludf.DUMMYFUNCTION("TEXT(VALUE(REGEXEXTRACT(B21,""^[+-]?[0-9]*\.?[0-9]+""))*100,""0.00"")&amp;"" +/- ""&amp;TEXT(VALUE(REGEXEXTRACT(B21,""[0-9]*\.?[0-9]+$""))*100,""0.00"")"),"51.50 +/- 2.05")</f>
        <v>51.50 +/- 2.05</v>
      </c>
      <c r="K21" s="18" t="str">
        <f>IFERROR(__xludf.DUMMYFUNCTION("TEXT(VALUE(REGEXEXTRACT(C21,""^[+-]?[0-9]*\.?[0-9]+""))*100,""0.00"")&amp;"" +/- ""&amp;TEXT(VALUE(REGEXEXTRACT(C21,""[0-9]*\.?[0-9]+$""))*100,""0.00"")"),"32.69 +/- 3.83")</f>
        <v>32.69 +/- 3.83</v>
      </c>
      <c r="L21" s="18" t="str">
        <f>IFERROR(__xludf.DUMMYFUNCTION("TEXT(VALUE(REGEXEXTRACT(D21,""^[+-]?[0-9]*\.?[0-9]+""))*100,""0.00"")&amp;"" +/- ""&amp;TEXT(VALUE(REGEXEXTRACT(D21,""[0-9]*\.?[0-9]+$""))*100,""0.00"")"),"15.07 +/- 8.73")</f>
        <v>15.07 +/- 8.73</v>
      </c>
      <c r="M21" s="18" t="str">
        <f>IFERROR(__xludf.DUMMYFUNCTION("TEXT(VALUE(REGEXEXTRACT(E21,""^[+-]?[0-9]*\.?[0-9]+""))*100,""0.00"")&amp;"" +/- ""&amp;TEXT(VALUE(REGEXEXTRACT(E21,""[0-9]*\.?[0-9]+$""))*100,""0.00"")"),"40.68 +/- 4.97")</f>
        <v>40.68 +/- 4.97</v>
      </c>
      <c r="N21" s="18" t="str">
        <f>IFERROR(__xludf.DUMMYFUNCTION("TEXT(VALUE(REGEXEXTRACT(F21,""^[+-]?[0-9]*\.?[0-9]+""))*100,""0.00"")&amp;"" +/- ""&amp;TEXT(VALUE(REGEXEXTRACT(F21,""[0-9]*\.?[0-9]+$""))*100,""0.00"")"),"52.81 +/- 2.83")</f>
        <v>52.81 +/- 2.83</v>
      </c>
      <c r="O21" s="18" t="str">
        <f>IFERROR(__xludf.DUMMYFUNCTION("TEXT(VALUE(REGEXEXTRACT(G21,""^[+-]?[0-9]*\.?[0-9]+""))*100,""0.00"")&amp;"" +/- ""&amp;TEXT(VALUE(REGEXEXTRACT(G21,""[0-9]*\.?[0-9]+$""))*100,""0.00"")"),"51.97 +/- 2.80")</f>
        <v>51.97 +/- 2.80</v>
      </c>
      <c r="P21" s="19" t="str">
        <f>IFERROR(__xludf.DUMMYFUNCTION("TEXT(VALUE(REGEXEXTRACT(H21,""^[+-]?[0-9]*\.?[0-9]+""))*100,""0.00"")&amp;"" +/- ""&amp;TEXT(VALUE(REGEXEXTRACT(H21,""[0-9]*\.?[0-9]+$""))*100,""0.00"")"),"64.80 +/- 1.08")</f>
        <v>64.80 +/- 1.08</v>
      </c>
    </row>
    <row r="22">
      <c r="A22" s="6" t="s">
        <v>267</v>
      </c>
      <c r="B22" s="14" t="s">
        <v>476</v>
      </c>
      <c r="C22" s="14" t="s">
        <v>478</v>
      </c>
      <c r="D22" s="14" t="s">
        <v>479</v>
      </c>
      <c r="E22" s="14" t="s">
        <v>480</v>
      </c>
      <c r="F22" s="14" t="s">
        <v>482</v>
      </c>
      <c r="G22" s="14" t="s">
        <v>483</v>
      </c>
      <c r="H22" s="14" t="s">
        <v>485</v>
      </c>
      <c r="I22" s="17" t="str">
        <f t="shared" si="1"/>
        <v>PC4→PC3</v>
      </c>
      <c r="J22" s="18" t="str">
        <f>IFERROR(__xludf.DUMMYFUNCTION("TEXT(VALUE(REGEXEXTRACT(B22,""^[+-]?[0-9]*\.?[0-9]+""))*100,""0.00"")&amp;"" +/- ""&amp;TEXT(VALUE(REGEXEXTRACT(B22,""[0-9]*\.?[0-9]+$""))*100,""0.00"")"),"44.21 +/- 3.23")</f>
        <v>44.21 +/- 3.23</v>
      </c>
      <c r="K22" s="18" t="str">
        <f>IFERROR(__xludf.DUMMYFUNCTION("TEXT(VALUE(REGEXEXTRACT(C22,""^[+-]?[0-9]*\.?[0-9]+""))*100,""0.00"")&amp;"" +/- ""&amp;TEXT(VALUE(REGEXEXTRACT(C22,""[0-9]*\.?[0-9]+$""))*100,""0.00"")"),"16.60 +/- 3.93")</f>
        <v>16.60 +/- 3.93</v>
      </c>
      <c r="L22" s="18" t="str">
        <f>IFERROR(__xludf.DUMMYFUNCTION("TEXT(VALUE(REGEXEXTRACT(D22,""^[+-]?[0-9]*\.?[0-9]+""))*100,""0.00"")&amp;"" +/- ""&amp;TEXT(VALUE(REGEXEXTRACT(D22,""[0-9]*\.?[0-9]+$""))*100,""0.00"")"),"15.63 +/- 2.02")</f>
        <v>15.63 +/- 2.02</v>
      </c>
      <c r="M22" s="18" t="str">
        <f>IFERROR(__xludf.DUMMYFUNCTION("TEXT(VALUE(REGEXEXTRACT(E22,""^[+-]?[0-9]*\.?[0-9]+""))*100,""0.00"")&amp;"" +/- ""&amp;TEXT(VALUE(REGEXEXTRACT(E22,""[0-9]*\.?[0-9]+$""))*100,""0.00"")"),"35.30 +/- 2.17")</f>
        <v>35.30 +/- 2.17</v>
      </c>
      <c r="N22" s="18" t="str">
        <f>IFERROR(__xludf.DUMMYFUNCTION("TEXT(VALUE(REGEXEXTRACT(F22,""^[+-]?[0-9]*\.?[0-9]+""))*100,""0.00"")&amp;"" +/- ""&amp;TEXT(VALUE(REGEXEXTRACT(F22,""[0-9]*\.?[0-9]+$""))*100,""0.00"")"),"47.52 +/- 2.06")</f>
        <v>47.52 +/- 2.06</v>
      </c>
      <c r="O22" s="18" t="str">
        <f>IFERROR(__xludf.DUMMYFUNCTION("TEXT(VALUE(REGEXEXTRACT(G22,""^[+-]?[0-9]*\.?[0-9]+""))*100,""0.00"")&amp;"" +/- ""&amp;TEXT(VALUE(REGEXEXTRACT(G22,""[0-9]*\.?[0-9]+$""))*100,""0.00"")"),"44.86 +/- 2.62")</f>
        <v>44.86 +/- 2.62</v>
      </c>
      <c r="P22" s="19" t="str">
        <f>IFERROR(__xludf.DUMMYFUNCTION("TEXT(VALUE(REGEXEXTRACT(H22,""^[+-]?[0-9]*\.?[0-9]+""))*100,""0.00"")&amp;"" +/- ""&amp;TEXT(VALUE(REGEXEXTRACT(H22,""[0-9]*\.?[0-9]+$""))*100,""0.00"")"),"62.91 +/- 2.54")</f>
        <v>62.91 +/- 2.54</v>
      </c>
    </row>
    <row r="23">
      <c r="A23" s="6" t="s">
        <v>371</v>
      </c>
      <c r="B23" s="14"/>
      <c r="C23" s="21" t="s">
        <v>487</v>
      </c>
      <c r="D23" s="21" t="s">
        <v>487</v>
      </c>
      <c r="E23" s="21" t="s">
        <v>487</v>
      </c>
      <c r="F23" s="21" t="s">
        <v>395</v>
      </c>
      <c r="G23" s="21" t="s">
        <v>488</v>
      </c>
      <c r="H23" s="21" t="s">
        <v>474</v>
      </c>
      <c r="I23" s="17" t="str">
        <f t="shared" si="1"/>
        <v>W/T/L</v>
      </c>
      <c r="J23" s="18"/>
      <c r="K23" s="22" t="str">
        <f>IFERROR(__xludf.DUMMYFUNCTION("SUM(ARRAYFORMULA(IFERROR(
  (VALUE(REGEXEXTRACT($J$3:$J$22,""^[+-]?[0-9]*\.?[0-9]+""))&gt;
   VALUE(REGEXEXTRACT(K$3:K$22,""^[+-]?[0-9]*\.?[0-9]+"")))*1,0)))
&amp;""/""&amp;
SUM(ARRAYFORMULA(IFERROR(
  (VALUE(REGEXEXTRACT($J$3:$J$22,""^[+-]?[0-9]*\.?[0-9]+""))=
   V"&amp;"ALUE(REGEXEXTRACT(K$3:K$22,""^[+-]?[0-9]*\.?[0-9]+"")))*1,0)))
&amp;""/""&amp;
SUM(ARRAYFORMULA(IFERROR(
  (VALUE(REGEXEXTRACT($J$3:$J$22,""^[+-]?[0-9]*\.?[0-9]+""))&lt;
   VALUE(REGEXEXTRACT(K$3:K$22,""^[+-]?[0-9]*\.?[0-9]+"")))*1,0)))"),"20/0/0")</f>
        <v>20/0/0</v>
      </c>
      <c r="L23" s="22" t="str">
        <f>IFERROR(__xludf.DUMMYFUNCTION("SUM(ARRAYFORMULA(IFERROR(
  (VALUE(REGEXEXTRACT($J$3:$J$22,""^[+-]?[0-9]*\.?[0-9]+""))&gt;
   VALUE(REGEXEXTRACT(L$3:L$22,""^[+-]?[0-9]*\.?[0-9]+"")))*1,0)))
&amp;""/""&amp;
SUM(ARRAYFORMULA(IFERROR(
  (VALUE(REGEXEXTRACT($J$3:$J$22,""^[+-]?[0-9]*\.?[0-9]+""))=
   V"&amp;"ALUE(REGEXEXTRACT(L$3:L$22,""^[+-]?[0-9]*\.?[0-9]+"")))*1,0)))
&amp;""/""&amp;
SUM(ARRAYFORMULA(IFERROR(
  (VALUE(REGEXEXTRACT($J$3:$J$22,""^[+-]?[0-9]*\.?[0-9]+""))&lt;
   VALUE(REGEXEXTRACT(L$3:L$22,""^[+-]?[0-9]*\.?[0-9]+"")))*1,0)))"),"20/0/0")</f>
        <v>20/0/0</v>
      </c>
      <c r="M23" s="22" t="str">
        <f>IFERROR(__xludf.DUMMYFUNCTION("SUM(ARRAYFORMULA(IFERROR(
  (VALUE(REGEXEXTRACT($J$3:$J$22,""^[+-]?[0-9]*\.?[0-9]+""))&gt;
   VALUE(REGEXEXTRACT(M$3:M$22,""^[+-]?[0-9]*\.?[0-9]+"")))*1,0)))
&amp;""/""&amp;
SUM(ARRAYFORMULA(IFERROR(
  (VALUE(REGEXEXTRACT($J$3:$J$22,""^[+-]?[0-9]*\.?[0-9]+""))=
   V"&amp;"ALUE(REGEXEXTRACT(M$3:M$22,""^[+-]?[0-9]*\.?[0-9]+"")))*1,0)))
&amp;""/""&amp;
SUM(ARRAYFORMULA(IFERROR(
  (VALUE(REGEXEXTRACT($J$3:$J$22,""^[+-]?[0-9]*\.?[0-9]+""))&lt;
   VALUE(REGEXEXTRACT(M$3:M$22,""^[+-]?[0-9]*\.?[0-9]+"")))*1,0)))"),"20/0/0")</f>
        <v>20/0/0</v>
      </c>
      <c r="N23" s="22" t="str">
        <f>IFERROR(__xludf.DUMMYFUNCTION("SUM(ARRAYFORMULA(IFERROR(
  (VALUE(REGEXEXTRACT($J$3:$J$22,""^[+-]?[0-9]*\.?[0-9]+""))&gt;
   VALUE(REGEXEXTRACT(N$3:N$22,""^[+-]?[0-9]*\.?[0-9]+"")))*1,0)))
&amp;""/""&amp;
SUM(ARRAYFORMULA(IFERROR(
  (VALUE(REGEXEXTRACT($J$3:$J$22,""^[+-]?[0-9]*\.?[0-9]+""))=
   V"&amp;"ALUE(REGEXEXTRACT(N$3:N$22,""^[+-]?[0-9]*\.?[0-9]+"")))*1,0)))
&amp;""/""&amp;
SUM(ARRAYFORMULA(IFERROR(
  (VALUE(REGEXEXTRACT($J$3:$J$22,""^[+-]?[0-9]*\.?[0-9]+""))&lt;
   VALUE(REGEXEXTRACT(N$3:N$22,""^[+-]?[0-9]*\.?[0-9]+"")))*1,0)))"),"9/0/11")</f>
        <v>9/0/11</v>
      </c>
      <c r="O23" s="22" t="str">
        <f>IFERROR(__xludf.DUMMYFUNCTION("SUM(ARRAYFORMULA(IFERROR(
  (VALUE(REGEXEXTRACT($J$3:$J$22,""^[+-]?[0-9]*\.?[0-9]+""))&gt;
   VALUE(REGEXEXTRACT(O$3:O$22,""^[+-]?[0-9]*\.?[0-9]+"")))*1,0)))
&amp;""/""&amp;
SUM(ARRAYFORMULA(IFERROR(
  (VALUE(REGEXEXTRACT($J$3:$J$22,""^[+-]?[0-9]*\.?[0-9]+""))=
   V"&amp;"ALUE(REGEXEXTRACT(O$3:O$22,""^[+-]?[0-9]*\.?[0-9]+"")))*1,0)))
&amp;""/""&amp;
SUM(ARRAYFORMULA(IFERROR(
  (VALUE(REGEXEXTRACT($J$3:$J$22,""^[+-]?[0-9]*\.?[0-9]+""))&lt;
   VALUE(REGEXEXTRACT(O$3:O$22,""^[+-]?[0-9]*\.?[0-9]+"")))*1,0)))"),"13/0/7")</f>
        <v>13/0/7</v>
      </c>
      <c r="P23" s="22" t="str">
        <f>IFERROR(__xludf.DUMMYFUNCTION("SUM(ARRAYFORMULA(IFERROR(
  (VALUE(REGEXEXTRACT($J$3:$J$22,""^[+-]?[0-9]*\.?[0-9]+""))&gt;
   VALUE(REGEXEXTRACT(P$3:P$22,""^[+-]?[0-9]*\.?[0-9]+"")))*1,0)))
&amp;""/""&amp;
SUM(ARRAYFORMULA(IFERROR(
  (VALUE(REGEXEXTRACT($J$3:$J$22,""^[+-]?[0-9]*\.?[0-9]+""))=
   V"&amp;"ALUE(REGEXEXTRACT(P$3:P$22,""^[+-]?[0-9]*\.?[0-9]+"")))*1,0)))
&amp;""/""&amp;
SUM(ARRAYFORMULA(IFERROR(
  (VALUE(REGEXEXTRACT($J$3:$J$22,""^[+-]?[0-9]*\.?[0-9]+""))&lt;
   VALUE(REGEXEXTRACT(P$3:P$22,""^[+-]?[0-9]*\.?[0-9]+"")))*1,0)))"),"11/0/9")</f>
        <v>11/0/9</v>
      </c>
    </row>
    <row r="24">
      <c r="A24" s="6" t="s">
        <v>489</v>
      </c>
      <c r="B24" s="14" t="s">
        <v>522</v>
      </c>
      <c r="C24" s="14" t="s">
        <v>523</v>
      </c>
      <c r="D24" s="14" t="s">
        <v>524</v>
      </c>
      <c r="E24" s="14" t="s">
        <v>525</v>
      </c>
      <c r="F24" s="14" t="s">
        <v>526</v>
      </c>
      <c r="G24" s="14" t="s">
        <v>527</v>
      </c>
      <c r="H24" s="14" t="s">
        <v>528</v>
      </c>
      <c r="I24" s="17" t="str">
        <f t="shared" si="1"/>
        <v>Average (%)</v>
      </c>
      <c r="J24" s="24">
        <f>IFERROR(__xludf.DUMMYFUNCTION("ROUND(AVERAGE(ARRAYFORMULA(IFERROR(VALUE(REGEXEXTRACT(J$3:J$22,""^[+-]?[0-9]*\.?[0-9]+"")),""""))),2)"),55.13)</f>
        <v>55.13</v>
      </c>
      <c r="K24" s="24">
        <f>IFERROR(__xludf.DUMMYFUNCTION("ROUND(AVERAGE(ARRAYFORMULA(IFERROR(VALUE(REGEXEXTRACT(K$3:K$22,""^[+-]?[0-9]*\.?[0-9]+"")),""""))),2)"),16.76)</f>
        <v>16.76</v>
      </c>
      <c r="L24" s="24">
        <f>IFERROR(__xludf.DUMMYFUNCTION("ROUND(AVERAGE(ARRAYFORMULA(IFERROR(VALUE(REGEXEXTRACT(L$3:L$22,""^[+-]?[0-9]*\.?[0-9]+"")),""""))),2)"),13.47)</f>
        <v>13.47</v>
      </c>
      <c r="M24" s="24">
        <f>IFERROR(__xludf.DUMMYFUNCTION("ROUND(AVERAGE(ARRAYFORMULA(IFERROR(VALUE(REGEXEXTRACT(M$3:M$22,""^[+-]?[0-9]*\.?[0-9]+"")),""""))),2)"),38.13)</f>
        <v>38.13</v>
      </c>
      <c r="N24" s="24">
        <f>IFERROR(__xludf.DUMMYFUNCTION("ROUND(AVERAGE(ARRAYFORMULA(IFERROR(VALUE(REGEXEXTRACT(N$3:N$22,""^[+-]?[0-9]*\.?[0-9]+"")),""""))),2)"),54.89)</f>
        <v>54.89</v>
      </c>
      <c r="O24" s="24">
        <f>IFERROR(__xludf.DUMMYFUNCTION("ROUND(AVERAGE(ARRAYFORMULA(IFERROR(VALUE(REGEXEXTRACT(O$3:O$22,""^[+-]?[0-9]*\.?[0-9]+"")),""""))),2)"),54.03)</f>
        <v>54.03</v>
      </c>
      <c r="P24" s="24">
        <f>IFERROR(__xludf.DUMMYFUNCTION("ROUND(AVERAGE(ARRAYFORMULA(IFERROR(VALUE(REGEXEXTRACT(P$3:P$22,""^[+-]?[0-9]*\.?[0-9]+"")),""""))),2)"),53.24)</f>
        <v>53.24</v>
      </c>
    </row>
    <row r="25">
      <c r="A25" s="4" t="s">
        <v>504</v>
      </c>
      <c r="B25" s="25"/>
      <c r="C25" s="25"/>
      <c r="D25" s="25"/>
      <c r="E25" s="25"/>
      <c r="F25" s="25"/>
      <c r="G25" s="25"/>
      <c r="H25" s="25"/>
      <c r="I25" s="4" t="s">
        <v>504</v>
      </c>
    </row>
    <row r="26">
      <c r="A26" s="23" t="s">
        <v>505</v>
      </c>
      <c r="B26" s="14" t="s">
        <v>547</v>
      </c>
      <c r="C26" s="14" t="s">
        <v>547</v>
      </c>
      <c r="D26" s="14" t="s">
        <v>548</v>
      </c>
      <c r="E26" s="14" t="s">
        <v>547</v>
      </c>
      <c r="F26" s="14" t="s">
        <v>547</v>
      </c>
      <c r="G26" s="14" t="s">
        <v>547</v>
      </c>
      <c r="H26" s="14" t="s">
        <v>547</v>
      </c>
      <c r="I26" s="17" t="str">
        <f t="shared" ref="I26:I33" si="2">A26</f>
        <v>A→S</v>
      </c>
      <c r="J26" s="19" t="str">
        <f>IFERROR(__xludf.DUMMYFUNCTION("TEXT(VALUE(REGEXEXTRACT(B26,""^[+-]?[0-9]*\.?[0-9]+""))*100,""0.00"")&amp;"" +/- ""&amp;TEXT(VALUE(REGEXEXTRACT(B26,""[0-9]*\.?[0-9]+$""))*100,""0.00"")"),"75.17 +/- 2.59")</f>
        <v>75.17 +/- 2.59</v>
      </c>
      <c r="K26" s="19" t="str">
        <f>IFERROR(__xludf.DUMMYFUNCTION("TEXT(VALUE(REGEXEXTRACT(C26,""^[+-]?[0-9]*\.?[0-9]+""))*100,""0.00"")&amp;"" +/- ""&amp;TEXT(VALUE(REGEXEXTRACT(C26,""[0-9]*\.?[0-9]+$""))*100,""0.00"")"),"75.17 +/- 2.59")</f>
        <v>75.17 +/- 2.59</v>
      </c>
      <c r="L26" s="18" t="str">
        <f>IFERROR(__xludf.DUMMYFUNCTION("TEXT(VALUE(REGEXEXTRACT(D26,""^[+-]?[0-9]*\.?[0-9]+""))*100,""0.00"")&amp;"" +/- ""&amp;TEXT(VALUE(REGEXEXTRACT(D26,""[0-9]*\.?[0-9]+$""))*100,""0.00"")"),"63.69 +/- 5.06")</f>
        <v>63.69 +/- 5.06</v>
      </c>
      <c r="M26" s="19" t="str">
        <f>IFERROR(__xludf.DUMMYFUNCTION("TEXT(VALUE(REGEXEXTRACT(E26,""^[+-]?[0-9]*\.?[0-9]+""))*100,""0.00"")&amp;"" +/- ""&amp;TEXT(VALUE(REGEXEXTRACT(E26,""[0-9]*\.?[0-9]+$""))*100,""0.00"")"),"75.17 +/- 2.59")</f>
        <v>75.17 +/- 2.59</v>
      </c>
      <c r="N26" s="19" t="str">
        <f>IFERROR(__xludf.DUMMYFUNCTION("TEXT(VALUE(REGEXEXTRACT(F26,""^[+-]?[0-9]*\.?[0-9]+""))*100,""0.00"")&amp;"" +/- ""&amp;TEXT(VALUE(REGEXEXTRACT(F26,""[0-9]*\.?[0-9]+$""))*100,""0.00"")"),"75.17 +/- 2.59")</f>
        <v>75.17 +/- 2.59</v>
      </c>
      <c r="O26" s="19" t="str">
        <f>IFERROR(__xludf.DUMMYFUNCTION("TEXT(VALUE(REGEXEXTRACT(G26,""^[+-]?[0-9]*\.?[0-9]+""))*100,""0.00"")&amp;"" +/- ""&amp;TEXT(VALUE(REGEXEXTRACT(G26,""[0-9]*\.?[0-9]+$""))*100,""0.00"")"),"75.17 +/- 2.59")</f>
        <v>75.17 +/- 2.59</v>
      </c>
      <c r="P26" s="19" t="str">
        <f>IFERROR(__xludf.DUMMYFUNCTION("TEXT(VALUE(REGEXEXTRACT(H26,""^[+-]?[0-9]*\.?[0-9]+""))*100,""0.00"")&amp;"" +/- ""&amp;TEXT(VALUE(REGEXEXTRACT(H26,""[0-9]*\.?[0-9]+$""))*100,""0.00"")"),"75.17 +/- 2.59")</f>
        <v>75.17 +/- 2.59</v>
      </c>
    </row>
    <row r="27">
      <c r="A27" s="6" t="s">
        <v>529</v>
      </c>
      <c r="B27" s="14" t="s">
        <v>571</v>
      </c>
      <c r="C27" s="14" t="s">
        <v>571</v>
      </c>
      <c r="D27" s="14" t="s">
        <v>573</v>
      </c>
      <c r="E27" s="14" t="s">
        <v>571</v>
      </c>
      <c r="F27" s="14" t="s">
        <v>571</v>
      </c>
      <c r="G27" s="14" t="s">
        <v>571</v>
      </c>
      <c r="H27" s="14" t="s">
        <v>571</v>
      </c>
      <c r="I27" s="17" t="str">
        <f t="shared" si="2"/>
        <v>A→Z</v>
      </c>
      <c r="J27" s="19" t="str">
        <f>IFERROR(__xludf.DUMMYFUNCTION("TEXT(VALUE(REGEXEXTRACT(B27,""^[+-]?[0-9]*\.?[0-9]+""))*100,""0.00"")&amp;"" +/- ""&amp;TEXT(VALUE(REGEXEXTRACT(B27,""[0-9]*\.?[0-9]+$""))*100,""0.00"")"),"60.73 +/- 2.89")</f>
        <v>60.73 +/- 2.89</v>
      </c>
      <c r="K27" s="19" t="str">
        <f>IFERROR(__xludf.DUMMYFUNCTION("TEXT(VALUE(REGEXEXTRACT(C27,""^[+-]?[0-9]*\.?[0-9]+""))*100,""0.00"")&amp;"" +/- ""&amp;TEXT(VALUE(REGEXEXTRACT(C27,""[0-9]*\.?[0-9]+$""))*100,""0.00"")"),"60.73 +/- 2.89")</f>
        <v>60.73 +/- 2.89</v>
      </c>
      <c r="L27" s="18" t="str">
        <f>IFERROR(__xludf.DUMMYFUNCTION("TEXT(VALUE(REGEXEXTRACT(D27,""^[+-]?[0-9]*\.?[0-9]+""))*100,""0.00"")&amp;"" +/- ""&amp;TEXT(VALUE(REGEXEXTRACT(D27,""[0-9]*\.?[0-9]+$""))*100,""0.00"")"),"42.96 +/- 2.42")</f>
        <v>42.96 +/- 2.42</v>
      </c>
      <c r="M27" s="19" t="str">
        <f>IFERROR(__xludf.DUMMYFUNCTION("TEXT(VALUE(REGEXEXTRACT(E27,""^[+-]?[0-9]*\.?[0-9]+""))*100,""0.00"")&amp;"" +/- ""&amp;TEXT(VALUE(REGEXEXTRACT(E27,""[0-9]*\.?[0-9]+$""))*100,""0.00"")"),"60.73 +/- 2.89")</f>
        <v>60.73 +/- 2.89</v>
      </c>
      <c r="N27" s="19" t="str">
        <f>IFERROR(__xludf.DUMMYFUNCTION("TEXT(VALUE(REGEXEXTRACT(F27,""^[+-]?[0-9]*\.?[0-9]+""))*100,""0.00"")&amp;"" +/- ""&amp;TEXT(VALUE(REGEXEXTRACT(F27,""[0-9]*\.?[0-9]+$""))*100,""0.00"")"),"60.73 +/- 2.89")</f>
        <v>60.73 +/- 2.89</v>
      </c>
      <c r="O27" s="19" t="str">
        <f>IFERROR(__xludf.DUMMYFUNCTION("TEXT(VALUE(REGEXEXTRACT(G27,""^[+-]?[0-9]*\.?[0-9]+""))*100,""0.00"")&amp;"" +/- ""&amp;TEXT(VALUE(REGEXEXTRACT(G27,""[0-9]*\.?[0-9]+$""))*100,""0.00"")"),"60.73 +/- 2.89")</f>
        <v>60.73 +/- 2.89</v>
      </c>
      <c r="P27" s="19" t="str">
        <f>IFERROR(__xludf.DUMMYFUNCTION("TEXT(VALUE(REGEXEXTRACT(H27,""^[+-]?[0-9]*\.?[0-9]+""))*100,""0.00"")&amp;"" +/- ""&amp;TEXT(VALUE(REGEXEXTRACT(H27,""[0-9]*\.?[0-9]+$""))*100,""0.00"")"),"60.73 +/- 2.89")</f>
        <v>60.73 +/- 2.89</v>
      </c>
    </row>
    <row r="28">
      <c r="A28" s="6" t="s">
        <v>539</v>
      </c>
      <c r="B28" s="14" t="s">
        <v>593</v>
      </c>
      <c r="C28" s="14" t="s">
        <v>594</v>
      </c>
      <c r="D28" s="14" t="s">
        <v>595</v>
      </c>
      <c r="E28" s="14" t="s">
        <v>596</v>
      </c>
      <c r="F28" s="14" t="s">
        <v>598</v>
      </c>
      <c r="G28" s="14" t="s">
        <v>600</v>
      </c>
      <c r="H28" s="14" t="s">
        <v>602</v>
      </c>
      <c r="I28" s="17" t="str">
        <f t="shared" si="2"/>
        <v>S→A</v>
      </c>
      <c r="J28" s="19" t="str">
        <f>IFERROR(__xludf.DUMMYFUNCTION("TEXT(VALUE(REGEXEXTRACT(B28,""^[+-]?[0-9]*\.?[0-9]+""))*100,""0.00"")&amp;"" +/- ""&amp;TEXT(VALUE(REGEXEXTRACT(B28,""[0-9]*\.?[0-9]+$""))*100,""0.00"")"),"68.41 +/- 1.06")</f>
        <v>68.41 +/- 1.06</v>
      </c>
      <c r="K28" s="18" t="str">
        <f>IFERROR(__xludf.DUMMYFUNCTION("TEXT(VALUE(REGEXEXTRACT(C28,""^[+-]?[0-9]*\.?[0-9]+""))*100,""0.00"")&amp;"" +/- ""&amp;TEXT(VALUE(REGEXEXTRACT(C28,""[0-9]*\.?[0-9]+$""))*100,""0.00"")"),"67.71 +/- 0.86")</f>
        <v>67.71 +/- 0.86</v>
      </c>
      <c r="L28" s="18" t="str">
        <f>IFERROR(__xludf.DUMMYFUNCTION("TEXT(VALUE(REGEXEXTRACT(D28,""^[+-]?[0-9]*\.?[0-9]+""))*100,""0.00"")&amp;"" +/- ""&amp;TEXT(VALUE(REGEXEXTRACT(D28,""[0-9]*\.?[0-9]+$""))*100,""0.00"")"),"52.28 +/- 2.96")</f>
        <v>52.28 +/- 2.96</v>
      </c>
      <c r="M28" s="18" t="str">
        <f>IFERROR(__xludf.DUMMYFUNCTION("TEXT(VALUE(REGEXEXTRACT(E28,""^[+-]?[0-9]*\.?[0-9]+""))*100,""0.00"")&amp;"" +/- ""&amp;TEXT(VALUE(REGEXEXTRACT(E28,""[0-9]*\.?[0-9]+$""))*100,""0.00"")"),"69.76 +/- 1.81")</f>
        <v>69.76 +/- 1.81</v>
      </c>
      <c r="N28" s="18" t="str">
        <f>IFERROR(__xludf.DUMMYFUNCTION("TEXT(VALUE(REGEXEXTRACT(F28,""^[+-]?[0-9]*\.?[0-9]+""))*100,""0.00"")&amp;"" +/- ""&amp;TEXT(VALUE(REGEXEXTRACT(F28,""[0-9]*\.?[0-9]+$""))*100,""0.00"")"),"70.74 +/- 1.21")</f>
        <v>70.74 +/- 1.21</v>
      </c>
      <c r="O28" s="18" t="str">
        <f>IFERROR(__xludf.DUMMYFUNCTION("TEXT(VALUE(REGEXEXTRACT(G28,""^[+-]?[0-9]*\.?[0-9]+""))*100,""0.00"")&amp;"" +/- ""&amp;TEXT(VALUE(REGEXEXTRACT(G28,""[0-9]*\.?[0-9]+$""))*100,""0.00"")"),"69.66 +/- 1.59")</f>
        <v>69.66 +/- 1.59</v>
      </c>
      <c r="P28" s="18" t="str">
        <f>IFERROR(__xludf.DUMMYFUNCTION("TEXT(VALUE(REGEXEXTRACT(H28,""^[+-]?[0-9]*\.?[0-9]+""))*100,""0.00"")&amp;"" +/- ""&amp;TEXT(VALUE(REGEXEXTRACT(H28,""[0-9]*\.?[0-9]+$""))*100,""0.00"")"),"68.94 +/- 1.23")</f>
        <v>68.94 +/- 1.23</v>
      </c>
    </row>
    <row r="29">
      <c r="A29" s="6" t="s">
        <v>556</v>
      </c>
      <c r="B29" s="14" t="s">
        <v>608</v>
      </c>
      <c r="C29" s="14" t="s">
        <v>609</v>
      </c>
      <c r="D29" s="14" t="s">
        <v>610</v>
      </c>
      <c r="E29" s="14" t="s">
        <v>611</v>
      </c>
      <c r="F29" s="14" t="s">
        <v>612</v>
      </c>
      <c r="G29" s="14" t="s">
        <v>613</v>
      </c>
      <c r="H29" s="14" t="s">
        <v>614</v>
      </c>
      <c r="I29" s="17" t="str">
        <f t="shared" si="2"/>
        <v>S→Z</v>
      </c>
      <c r="J29" s="18" t="str">
        <f>IFERROR(__xludf.DUMMYFUNCTION("TEXT(VALUE(REGEXEXTRACT(B29,""^[+-]?[0-9]*\.?[0-9]+""))*100,""0.00"")&amp;"" +/- ""&amp;TEXT(VALUE(REGEXEXTRACT(B29,""[0-9]*\.?[0-9]+$""))*100,""0.00"")"),"56.70 +/- 1.34")</f>
        <v>56.70 +/- 1.34</v>
      </c>
      <c r="K29" s="18" t="str">
        <f>IFERROR(__xludf.DUMMYFUNCTION("TEXT(VALUE(REGEXEXTRACT(C29,""^[+-]?[0-9]*\.?[0-9]+""))*100,""0.00"")&amp;"" +/- ""&amp;TEXT(VALUE(REGEXEXTRACT(C29,""[0-9]*\.?[0-9]+$""))*100,""0.00"")"),"54.15 +/- 1.28")</f>
        <v>54.15 +/- 1.28</v>
      </c>
      <c r="L29" s="18" t="str">
        <f>IFERROR(__xludf.DUMMYFUNCTION("TEXT(VALUE(REGEXEXTRACT(D29,""^[+-]?[0-9]*\.?[0-9]+""))*100,""0.00"")&amp;"" +/- ""&amp;TEXT(VALUE(REGEXEXTRACT(D29,""[0-9]*\.?[0-9]+$""))*100,""0.00"")"),"48.21 +/- 2.81")</f>
        <v>48.21 +/- 2.81</v>
      </c>
      <c r="M29" s="18" t="str">
        <f>IFERROR(__xludf.DUMMYFUNCTION("TEXT(VALUE(REGEXEXTRACT(E29,""^[+-]?[0-9]*\.?[0-9]+""))*100,""0.00"")&amp;"" +/- ""&amp;TEXT(VALUE(REGEXEXTRACT(E29,""[0-9]*\.?[0-9]+$""))*100,""0.00"")"),"56.84 +/- 2.11")</f>
        <v>56.84 +/- 2.11</v>
      </c>
      <c r="N29" s="19" t="str">
        <f>IFERROR(__xludf.DUMMYFUNCTION("TEXT(VALUE(REGEXEXTRACT(F29,""^[+-]?[0-9]*\.?[0-9]+""))*100,""0.00"")&amp;"" +/- ""&amp;TEXT(VALUE(REGEXEXTRACT(F29,""[0-9]*\.?[0-9]+$""))*100,""0.00"")"),"60.87 +/- 1.50")</f>
        <v>60.87 +/- 1.50</v>
      </c>
      <c r="O29" s="18" t="str">
        <f>IFERROR(__xludf.DUMMYFUNCTION("TEXT(VALUE(REGEXEXTRACT(G29,""^[+-]?[0-9]*\.?[0-9]+""))*100,""0.00"")&amp;"" +/- ""&amp;TEXT(VALUE(REGEXEXTRACT(G29,""[0-9]*\.?[0-9]+$""))*100,""0.00"")"),"60.10 +/- 2.38")</f>
        <v>60.10 +/- 2.38</v>
      </c>
      <c r="P29" s="18" t="str">
        <f>IFERROR(__xludf.DUMMYFUNCTION("TEXT(VALUE(REGEXEXTRACT(H29,""^[+-]?[0-9]*\.?[0-9]+""))*100,""0.00"")&amp;"" +/- ""&amp;TEXT(VALUE(REGEXEXTRACT(H29,""[0-9]*\.?[0-9]+$""))*100,""0.00"")"),"56.10 +/- 1.89")</f>
        <v>56.10 +/- 1.89</v>
      </c>
    </row>
    <row r="30">
      <c r="A30" s="6" t="s">
        <v>572</v>
      </c>
      <c r="B30" s="14" t="s">
        <v>624</v>
      </c>
      <c r="C30" s="14" t="s">
        <v>625</v>
      </c>
      <c r="D30" s="14" t="s">
        <v>627</v>
      </c>
      <c r="E30" s="14" t="s">
        <v>629</v>
      </c>
      <c r="F30" s="14" t="s">
        <v>631</v>
      </c>
      <c r="G30" s="14" t="s">
        <v>633</v>
      </c>
      <c r="H30" s="14" t="s">
        <v>635</v>
      </c>
      <c r="I30" s="17" t="str">
        <f t="shared" si="2"/>
        <v>Z→A</v>
      </c>
      <c r="J30" s="19" t="str">
        <f>IFERROR(__xludf.DUMMYFUNCTION("TEXT(VALUE(REGEXEXTRACT(B30,""^[+-]?[0-9]*\.?[0-9]+""))*100,""0.00"")&amp;"" +/- ""&amp;TEXT(VALUE(REGEXEXTRACT(B30,""[0-9]*\.?[0-9]+$""))*100,""0.00"")"),"63.47 +/- 1.73")</f>
        <v>63.47 +/- 1.73</v>
      </c>
      <c r="K30" s="18" t="str">
        <f>IFERROR(__xludf.DUMMYFUNCTION("TEXT(VALUE(REGEXEXTRACT(C30,""^[+-]?[0-9]*\.?[0-9]+""))*100,""0.00"")&amp;"" +/- ""&amp;TEXT(VALUE(REGEXEXTRACT(C30,""[0-9]*\.?[0-9]+$""))*100,""0.00"")"),"29.73 +/- 2.89")</f>
        <v>29.73 +/- 2.89</v>
      </c>
      <c r="L30" s="18" t="str">
        <f>IFERROR(__xludf.DUMMYFUNCTION("TEXT(VALUE(REGEXEXTRACT(D30,""^[+-]?[0-9]*\.?[0-9]+""))*100,""0.00"")&amp;"" +/- ""&amp;TEXT(VALUE(REGEXEXTRACT(D30,""[0-9]*\.?[0-9]+$""))*100,""0.00"")"),"28.55 +/- 5.99")</f>
        <v>28.55 +/- 5.99</v>
      </c>
      <c r="M30" s="18" t="str">
        <f>IFERROR(__xludf.DUMMYFUNCTION("TEXT(VALUE(REGEXEXTRACT(E30,""^[+-]?[0-9]*\.?[0-9]+""))*100,""0.00"")&amp;"" +/- ""&amp;TEXT(VALUE(REGEXEXTRACT(E30,""[0-9]*\.?[0-9]+$""))*100,""0.00"")"),"52.58 +/- 3.51")</f>
        <v>52.58 +/- 3.51</v>
      </c>
      <c r="N30" s="18" t="str">
        <f>IFERROR(__xludf.DUMMYFUNCTION("TEXT(VALUE(REGEXEXTRACT(F30,""^[+-]?[0-9]*\.?[0-9]+""))*100,""0.00"")&amp;"" +/- ""&amp;TEXT(VALUE(REGEXEXTRACT(F30,""[0-9]*\.?[0-9]+$""))*100,""0.00"")"),"62.72 +/- 2.14")</f>
        <v>62.72 +/- 2.14</v>
      </c>
      <c r="O30" s="18" t="str">
        <f>IFERROR(__xludf.DUMMYFUNCTION("TEXT(VALUE(REGEXEXTRACT(G30,""^[+-]?[0-9]*\.?[0-9]+""))*100,""0.00"")&amp;"" +/- ""&amp;TEXT(VALUE(REGEXEXTRACT(G30,""[0-9]*\.?[0-9]+$""))*100,""0.00"")"),"62.57 +/- 2.05")</f>
        <v>62.57 +/- 2.05</v>
      </c>
      <c r="P30" s="18" t="str">
        <f>IFERROR(__xludf.DUMMYFUNCTION("TEXT(VALUE(REGEXEXTRACT(H30,""^[+-]?[0-9]*\.?[0-9]+""))*100,""0.00"")&amp;"" +/- ""&amp;TEXT(VALUE(REGEXEXTRACT(H30,""[0-9]*\.?[0-9]+$""))*100,""0.00"")"),"42.76 +/- 2.43")</f>
        <v>42.76 +/- 2.43</v>
      </c>
    </row>
    <row r="31">
      <c r="A31" s="6" t="s">
        <v>583</v>
      </c>
      <c r="B31" s="14" t="s">
        <v>647</v>
      </c>
      <c r="C31" s="14" t="s">
        <v>649</v>
      </c>
      <c r="D31" s="14" t="s">
        <v>650</v>
      </c>
      <c r="E31" s="14" t="s">
        <v>652</v>
      </c>
      <c r="F31" s="14" t="s">
        <v>654</v>
      </c>
      <c r="G31" s="14" t="s">
        <v>656</v>
      </c>
      <c r="H31" s="14" t="s">
        <v>658</v>
      </c>
      <c r="I31" s="17" t="str">
        <f t="shared" si="2"/>
        <v>Z→S</v>
      </c>
      <c r="J31" s="19" t="str">
        <f>IFERROR(__xludf.DUMMYFUNCTION("TEXT(VALUE(REGEXEXTRACT(B31,""^[+-]?[0-9]*\.?[0-9]+""))*100,""0.00"")&amp;"" +/- ""&amp;TEXT(VALUE(REGEXEXTRACT(B31,""[0-9]*\.?[0-9]+$""))*100,""0.00"")"),"70.76 +/- 2.67")</f>
        <v>70.76 +/- 2.67</v>
      </c>
      <c r="K31" s="18" t="str">
        <f>IFERROR(__xludf.DUMMYFUNCTION("TEXT(VALUE(REGEXEXTRACT(C31,""^[+-]?[0-9]*\.?[0-9]+""))*100,""0.00"")&amp;"" +/- ""&amp;TEXT(VALUE(REGEXEXTRACT(C31,""[0-9]*\.?[0-9]+$""))*100,""0.00"")"),"54.42 +/- 2.96")</f>
        <v>54.42 +/- 2.96</v>
      </c>
      <c r="L31" s="18" t="str">
        <f>IFERROR(__xludf.DUMMYFUNCTION("TEXT(VALUE(REGEXEXTRACT(D31,""^[+-]?[0-9]*\.?[0-9]+""))*100,""0.00"")&amp;"" +/- ""&amp;TEXT(VALUE(REGEXEXTRACT(D31,""[0-9]*\.?[0-9]+$""))*100,""0.00"")"),"34.72 +/- 6.79")</f>
        <v>34.72 +/- 6.79</v>
      </c>
      <c r="M31" s="18" t="str">
        <f>IFERROR(__xludf.DUMMYFUNCTION("TEXT(VALUE(REGEXEXTRACT(E31,""^[+-]?[0-9]*\.?[0-9]+""))*100,""0.00"")&amp;"" +/- ""&amp;TEXT(VALUE(REGEXEXTRACT(E31,""[0-9]*\.?[0-9]+$""))*100,""0.00"")"),"62.58 +/- 3.33")</f>
        <v>62.58 +/- 3.33</v>
      </c>
      <c r="N31" s="18" t="str">
        <f>IFERROR(__xludf.DUMMYFUNCTION("TEXT(VALUE(REGEXEXTRACT(F31,""^[+-]?[0-9]*\.?[0-9]+""))*100,""0.00"")&amp;"" +/- ""&amp;TEXT(VALUE(REGEXEXTRACT(F31,""[0-9]*\.?[0-9]+$""))*100,""0.00"")"),"67.03 +/- 2.60")</f>
        <v>67.03 +/- 2.60</v>
      </c>
      <c r="O31" s="18" t="str">
        <f>IFERROR(__xludf.DUMMYFUNCTION("TEXT(VALUE(REGEXEXTRACT(G31,""^[+-]?[0-9]*\.?[0-9]+""))*100,""0.00"")&amp;"" +/- ""&amp;TEXT(VALUE(REGEXEXTRACT(G31,""[0-9]*\.?[0-9]+$""))*100,""0.00"")"),"66.68 +/- 3.79")</f>
        <v>66.68 +/- 3.79</v>
      </c>
      <c r="P31" s="18" t="str">
        <f>IFERROR(__xludf.DUMMYFUNCTION("TEXT(VALUE(REGEXEXTRACT(H31,""^[+-]?[0-9]*\.?[0-9]+""))*100,""0.00"")&amp;"" +/- ""&amp;TEXT(VALUE(REGEXEXTRACT(H31,""[0-9]*\.?[0-9]+$""))*100,""0.00"")"),"43.56 +/- 3.54")</f>
        <v>43.56 +/- 3.54</v>
      </c>
    </row>
    <row r="32">
      <c r="A32" s="6" t="s">
        <v>371</v>
      </c>
      <c r="B32" s="14"/>
      <c r="C32" s="27" t="s">
        <v>671</v>
      </c>
      <c r="D32" s="27" t="s">
        <v>606</v>
      </c>
      <c r="E32" s="27" t="s">
        <v>607</v>
      </c>
      <c r="F32" s="27" t="s">
        <v>607</v>
      </c>
      <c r="G32" s="27" t="s">
        <v>607</v>
      </c>
      <c r="H32" s="27" t="s">
        <v>605</v>
      </c>
      <c r="I32" s="17" t="str">
        <f t="shared" si="2"/>
        <v>W/T/L</v>
      </c>
      <c r="J32" s="18"/>
      <c r="K32" s="22" t="str">
        <f>IFERROR(__xludf.DUMMYFUNCTION("SUM(ARRAYFORMULA(IFERROR(
  (VALUE(REGEXEXTRACT($J$26:$J$31,""^[+-]?[0-9]*\.?[0-9]+""))&gt;
   VALUE(REGEXEXTRACT(K$26:K$31,""^[+-]?[0-9]*\.?[0-9]+"")))*1,0)))
&amp;""/""&amp;
SUM(ARRAYFORMULA(IFERROR(
  (VALUE(REGEXEXTRACT($J$26:$J$31,""^[+-]?[0-9]*\.?[0-9]+""))=
 "&amp;"  VALUE(REGEXEXTRACT(K$26:K$31,""^[+-]?[0-9]*\.?[0-9]+"")))*1,0)))
&amp;""/""&amp;
SUM(ARRAYFORMULA(IFERROR(
  (VALUE(REGEXEXTRACT($J$26:$J$31,""^[+-]?[0-9]*\.?[0-9]+""))&lt;
   VALUE(REGEXEXTRACT(K$26:K$31,""^[+-]?[0-9]*\.?[0-9]+"")))*1,0)))"),"4/2/0")</f>
        <v>4/2/0</v>
      </c>
      <c r="L32" s="22" t="str">
        <f>IFERROR(__xludf.DUMMYFUNCTION("SUM(ARRAYFORMULA(IFERROR(
  (VALUE(REGEXEXTRACT($J$26:$J$31,""^[+-]?[0-9]*\.?[0-9]+""))&gt;
   VALUE(REGEXEXTRACT(L$26:L$31,""^[+-]?[0-9]*\.?[0-9]+"")))*1,0)))
&amp;""/""&amp;
SUM(ARRAYFORMULA(IFERROR(
  (VALUE(REGEXEXTRACT($J$26:$J$31,""^[+-]?[0-9]*\.?[0-9]+""))=
 "&amp;"  VALUE(REGEXEXTRACT(L$26:L$31,""^[+-]?[0-9]*\.?[0-9]+"")))*1,0)))
&amp;""/""&amp;
SUM(ARRAYFORMULA(IFERROR(
  (VALUE(REGEXEXTRACT($J$26:$J$31,""^[+-]?[0-9]*\.?[0-9]+""))&lt;
   VALUE(REGEXEXTRACT(L$26:L$31,""^[+-]?[0-9]*\.?[0-9]+"")))*1,0)))"),"6/0/0")</f>
        <v>6/0/0</v>
      </c>
      <c r="M32" s="22" t="str">
        <f>IFERROR(__xludf.DUMMYFUNCTION("SUM(ARRAYFORMULA(IFERROR(
  (VALUE(REGEXEXTRACT($J$26:$J$31,""^[+-]?[0-9]*\.?[0-9]+""))&gt;
   VALUE(REGEXEXTRACT(M$26:M$31,""^[+-]?[0-9]*\.?[0-9]+"")))*1,0)))
&amp;""/""&amp;
SUM(ARRAYFORMULA(IFERROR(
  (VALUE(REGEXEXTRACT($J$26:$J$31,""^[+-]?[0-9]*\.?[0-9]+""))=
 "&amp;"  VALUE(REGEXEXTRACT(M$26:M$31,""^[+-]?[0-9]*\.?[0-9]+"")))*1,0)))
&amp;""/""&amp;
SUM(ARRAYFORMULA(IFERROR(
  (VALUE(REGEXEXTRACT($J$26:$J$31,""^[+-]?[0-9]*\.?[0-9]+""))&lt;
   VALUE(REGEXEXTRACT(M$26:M$31,""^[+-]?[0-9]*\.?[0-9]+"")))*1,0)))"),"2/2/2")</f>
        <v>2/2/2</v>
      </c>
      <c r="N32" s="22" t="str">
        <f>IFERROR(__xludf.DUMMYFUNCTION("SUM(ARRAYFORMULA(IFERROR(
  (VALUE(REGEXEXTRACT($J$26:$J$31,""^[+-]?[0-9]*\.?[0-9]+""))&gt;
   VALUE(REGEXEXTRACT(N$26:N$31,""^[+-]?[0-9]*\.?[0-9]+"")))*1,0)))
&amp;""/""&amp;
SUM(ARRAYFORMULA(IFERROR(
  (VALUE(REGEXEXTRACT($J$26:$J$31,""^[+-]?[0-9]*\.?[0-9]+""))=
 "&amp;"  VALUE(REGEXEXTRACT(N$26:N$31,""^[+-]?[0-9]*\.?[0-9]+"")))*1,0)))
&amp;""/""&amp;
SUM(ARRAYFORMULA(IFERROR(
  (VALUE(REGEXEXTRACT($J$26:$J$31,""^[+-]?[0-9]*\.?[0-9]+""))&lt;
   VALUE(REGEXEXTRACT(N$26:N$31,""^[+-]?[0-9]*\.?[0-9]+"")))*1,0)))"),"2/2/2")</f>
        <v>2/2/2</v>
      </c>
      <c r="O32" s="22" t="str">
        <f>IFERROR(__xludf.DUMMYFUNCTION("SUM(ARRAYFORMULA(IFERROR(
  (VALUE(REGEXEXTRACT($J$26:$J$31,""^[+-]?[0-9]*\.?[0-9]+""))&gt;
   VALUE(REGEXEXTRACT(O$26:O$31,""^[+-]?[0-9]*\.?[0-9]+"")))*1,0)))
&amp;""/""&amp;
SUM(ARRAYFORMULA(IFERROR(
  (VALUE(REGEXEXTRACT($J$26:$J$31,""^[+-]?[0-9]*\.?[0-9]+""))=
 "&amp;"  VALUE(REGEXEXTRACT(O$26:O$31,""^[+-]?[0-9]*\.?[0-9]+"")))*1,0)))
&amp;""/""&amp;
SUM(ARRAYFORMULA(IFERROR(
  (VALUE(REGEXEXTRACT($J$26:$J$31,""^[+-]?[0-9]*\.?[0-9]+""))&lt;
   VALUE(REGEXEXTRACT(O$26:O$31,""^[+-]?[0-9]*\.?[0-9]+"")))*1,0)))"),"2/2/2")</f>
        <v>2/2/2</v>
      </c>
      <c r="P32" s="22" t="str">
        <f>IFERROR(__xludf.DUMMYFUNCTION("SUM(ARRAYFORMULA(IFERROR(
  (VALUE(REGEXEXTRACT($J$26:$J$31,""^[+-]?[0-9]*\.?[0-9]+""))&gt;
   VALUE(REGEXEXTRACT(P$26:P$31,""^[+-]?[0-9]*\.?[0-9]+"")))*1,0)))
&amp;""/""&amp;
SUM(ARRAYFORMULA(IFERROR(
  (VALUE(REGEXEXTRACT($J$26:$J$31,""^[+-]?[0-9]*\.?[0-9]+""))=
 "&amp;"  VALUE(REGEXEXTRACT(P$26:P$31,""^[+-]?[0-9]*\.?[0-9]+"")))*1,0)))
&amp;""/""&amp;
SUM(ARRAYFORMULA(IFERROR(
  (VALUE(REGEXEXTRACT($J$26:$J$31,""^[+-]?[0-9]*\.?[0-9]+""))&lt;
   VALUE(REGEXEXTRACT(P$26:P$31,""^[+-]?[0-9]*\.?[0-9]+"")))*1,0)))"),"3/2/1")</f>
        <v>3/2/1</v>
      </c>
    </row>
    <row r="33">
      <c r="A33" s="6" t="s">
        <v>489</v>
      </c>
      <c r="B33" s="27" t="s">
        <v>692</v>
      </c>
      <c r="C33" s="27" t="s">
        <v>694</v>
      </c>
      <c r="D33" s="27" t="s">
        <v>695</v>
      </c>
      <c r="E33" s="27" t="s">
        <v>697</v>
      </c>
      <c r="F33" s="27" t="s">
        <v>699</v>
      </c>
      <c r="G33" s="27" t="s">
        <v>700</v>
      </c>
      <c r="H33" s="27" t="s">
        <v>701</v>
      </c>
      <c r="I33" s="17" t="str">
        <f t="shared" si="2"/>
        <v>Average (%)</v>
      </c>
      <c r="J33" s="18">
        <f>IFERROR(__xludf.DUMMYFUNCTION("ROUND(AVERAGE(ARRAYFORMULA(IFERROR(VALUE(REGEXEXTRACT(J$26:J$31,""^[+-]?[0-9]*\.?[0-9]+"")),""""))),2)"),65.87)</f>
        <v>65.87</v>
      </c>
      <c r="K33" s="18">
        <f>IFERROR(__xludf.DUMMYFUNCTION("ROUND(AVERAGE(ARRAYFORMULA(IFERROR(VALUE(REGEXEXTRACT(K$26:K$31,""^[+-]?[0-9]*\.?[0-9]+"")),""""))),2)"),56.99)</f>
        <v>56.99</v>
      </c>
      <c r="L33" s="18">
        <f>IFERROR(__xludf.DUMMYFUNCTION("ROUND(AVERAGE(ARRAYFORMULA(IFERROR(VALUE(REGEXEXTRACT(L$26:L$31,""^[+-]?[0-9]*\.?[0-9]+"")),""""))),2)"),45.07)</f>
        <v>45.07</v>
      </c>
      <c r="M33" s="18">
        <f>IFERROR(__xludf.DUMMYFUNCTION("ROUND(AVERAGE(ARRAYFORMULA(IFERROR(VALUE(REGEXEXTRACT(M$26:M$31,""^[+-]?[0-9]*\.?[0-9]+"")),""""))),2)"),62.94)</f>
        <v>62.94</v>
      </c>
      <c r="N33" s="18">
        <f>IFERROR(__xludf.DUMMYFUNCTION("ROUND(AVERAGE(ARRAYFORMULA(IFERROR(VALUE(REGEXEXTRACT(N$26:N$31,""^[+-]?[0-9]*\.?[0-9]+"")),""""))),2)"),66.21)</f>
        <v>66.21</v>
      </c>
      <c r="O33" s="18">
        <f>IFERROR(__xludf.DUMMYFUNCTION("ROUND(AVERAGE(ARRAYFORMULA(IFERROR(VALUE(REGEXEXTRACT(O$26:O$31,""^[+-]?[0-9]*\.?[0-9]+"")),""""))),2)"),65.82)</f>
        <v>65.82</v>
      </c>
      <c r="P33" s="18">
        <f>IFERROR(__xludf.DUMMYFUNCTION("ROUND(AVERAGE(ARRAYFORMULA(IFERROR(VALUE(REGEXEXTRACT(P$26:P$31,""^[+-]?[0-9]*\.?[0-9]+"")),""""))),2)"),57.88)</f>
        <v>57.88</v>
      </c>
    </row>
    <row r="34">
      <c r="A34" s="4" t="s">
        <v>659</v>
      </c>
      <c r="B34" s="11"/>
      <c r="C34" s="11"/>
      <c r="D34" s="11"/>
      <c r="E34" s="11"/>
      <c r="F34" s="11"/>
      <c r="G34" s="11"/>
      <c r="H34" s="11"/>
      <c r="I34" s="4" t="s">
        <v>659</v>
      </c>
    </row>
    <row r="35">
      <c r="A35" s="6" t="s">
        <v>660</v>
      </c>
      <c r="B35" s="14" t="s">
        <v>764</v>
      </c>
      <c r="C35" s="14" t="s">
        <v>765</v>
      </c>
      <c r="D35" s="14" t="s">
        <v>766</v>
      </c>
      <c r="E35" s="14" t="s">
        <v>767</v>
      </c>
      <c r="F35" s="14" t="s">
        <v>768</v>
      </c>
      <c r="G35" s="14" t="s">
        <v>769</v>
      </c>
      <c r="H35" s="14" t="s">
        <v>770</v>
      </c>
      <c r="I35" s="17" t="str">
        <f t="shared" ref="I35:I56" si="3">A35</f>
        <v>AR1→AR3</v>
      </c>
      <c r="J35" s="18" t="str">
        <f>IFERROR(__xludf.DUMMYFUNCTION("TEXT(VALUE(REGEXEXTRACT(B35,""^[+-]?[0-9]*\.?[0-9]+""))*100,""0.00"")&amp;"" +/- ""&amp;TEXT(VALUE(REGEXEXTRACT(B35,""[0-9]*\.?[0-9]+$""))*100,""0.00"")"),"65.34 +/- 2.89")</f>
        <v>65.34 +/- 2.89</v>
      </c>
      <c r="K35" s="18" t="str">
        <f>IFERROR(__xludf.DUMMYFUNCTION("TEXT(VALUE(REGEXEXTRACT(C35,""^[+-]?[0-9]*\.?[0-9]+""))*100,""0.00"")&amp;"" +/- ""&amp;TEXT(VALUE(REGEXEXTRACT(C35,""[0-9]*\.?[0-9]+$""))*100,""0.00"")"),"36.62 +/- 8.86")</f>
        <v>36.62 +/- 8.86</v>
      </c>
      <c r="L35" s="18" t="str">
        <f>IFERROR(__xludf.DUMMYFUNCTION("TEXT(VALUE(REGEXEXTRACT(D35,""^[+-]?[0-9]*\.?[0-9]+""))*100,""0.00"")&amp;"" +/- ""&amp;TEXT(VALUE(REGEXEXTRACT(D35,""[0-9]*\.?[0-9]+$""))*100,""0.00"")"),"30.02 +/- 17.80")</f>
        <v>30.02 +/- 17.80</v>
      </c>
      <c r="M35" s="18" t="str">
        <f>IFERROR(__xludf.DUMMYFUNCTION("TEXT(VALUE(REGEXEXTRACT(E35,""^[+-]?[0-9]*\.?[0-9]+""))*100,""0.00"")&amp;"" +/- ""&amp;TEXT(VALUE(REGEXEXTRACT(E35,""[0-9]*\.?[0-9]+$""))*100,""0.00"")"),"66.44 +/- 3.38")</f>
        <v>66.44 +/- 3.38</v>
      </c>
      <c r="N35" s="18" t="str">
        <f>IFERROR(__xludf.DUMMYFUNCTION("TEXT(VALUE(REGEXEXTRACT(F35,""^[+-]?[0-9]*\.?[0-9]+""))*100,""0.00"")&amp;"" +/- ""&amp;TEXT(VALUE(REGEXEXTRACT(F35,""[0-9]*\.?[0-9]+$""))*100,""0.00"")"),"64.00 +/- 3.67")</f>
        <v>64.00 +/- 3.67</v>
      </c>
      <c r="O35" s="18" t="str">
        <f>IFERROR(__xludf.DUMMYFUNCTION("TEXT(VALUE(REGEXEXTRACT(G35,""^[+-]?[0-9]*\.?[0-9]+""))*100,""0.00"")&amp;"" +/- ""&amp;TEXT(VALUE(REGEXEXTRACT(G35,""[0-9]*\.?[0-9]+$""))*100,""0.00"")"),"64.42 +/- 3.57")</f>
        <v>64.42 +/- 3.57</v>
      </c>
      <c r="P35" s="19" t="str">
        <f>IFERROR(__xludf.DUMMYFUNCTION("TEXT(VALUE(REGEXEXTRACT(H35,""^[+-]?[0-9]*\.?[0-9]+""))*100,""0.00"")&amp;"" +/- ""&amp;TEXT(VALUE(REGEXEXTRACT(H35,""[0-9]*\.?[0-9]+$""))*100,""0.00"")"),"81.77 +/- 2.40")</f>
        <v>81.77 +/- 2.40</v>
      </c>
    </row>
    <row r="36">
      <c r="A36" s="6" t="s">
        <v>676</v>
      </c>
      <c r="B36" s="14" t="s">
        <v>791</v>
      </c>
      <c r="C36" s="14" t="s">
        <v>792</v>
      </c>
      <c r="D36" s="14" t="s">
        <v>793</v>
      </c>
      <c r="E36" s="14" t="s">
        <v>794</v>
      </c>
      <c r="F36" s="14" t="s">
        <v>795</v>
      </c>
      <c r="G36" s="14" t="s">
        <v>796</v>
      </c>
      <c r="H36" s="14" t="s">
        <v>797</v>
      </c>
      <c r="I36" s="17" t="str">
        <f t="shared" si="3"/>
        <v>AR1→AR4</v>
      </c>
      <c r="J36" s="18" t="str">
        <f>IFERROR(__xludf.DUMMYFUNCTION("TEXT(VALUE(REGEXEXTRACT(B36,""^[+-]?[0-9]*\.?[0-9]+""))*100,""0.00"")&amp;"" +/- ""&amp;TEXT(VALUE(REGEXEXTRACT(B36,""[0-9]*\.?[0-9]+$""))*100,""0.00"")"),"68.59 +/- 3.52")</f>
        <v>68.59 +/- 3.52</v>
      </c>
      <c r="K36" s="18" t="str">
        <f>IFERROR(__xludf.DUMMYFUNCTION("TEXT(VALUE(REGEXEXTRACT(C36,""^[+-]?[0-9]*\.?[0-9]+""))*100,""0.00"")&amp;"" +/- ""&amp;TEXT(VALUE(REGEXEXTRACT(C36,""[0-9]*\.?[0-9]+$""))*100,""0.00"")"),"8.94 +/- 11.14")</f>
        <v>8.94 +/- 11.14</v>
      </c>
      <c r="L36" s="18" t="str">
        <f>IFERROR(__xludf.DUMMYFUNCTION("TEXT(VALUE(REGEXEXTRACT(D36,""^[+-]?[0-9]*\.?[0-9]+""))*100,""0.00"")&amp;"" +/- ""&amp;TEXT(VALUE(REGEXEXTRACT(D36,""[0-9]*\.?[0-9]+$""))*100,""0.00"")"),"1.48 +/- 5.64")</f>
        <v>1.48 +/- 5.64</v>
      </c>
      <c r="M36" s="18" t="str">
        <f>IFERROR(__xludf.DUMMYFUNCTION("TEXT(VALUE(REGEXEXTRACT(E36,""^[+-]?[0-9]*\.?[0-9]+""))*100,""0.00"")&amp;"" +/- ""&amp;TEXT(VALUE(REGEXEXTRACT(E36,""[0-9]*\.?[0-9]+$""))*100,""0.00"")"),"46.76 +/- 11.31")</f>
        <v>46.76 +/- 11.31</v>
      </c>
      <c r="N36" s="19" t="str">
        <f>IFERROR(__xludf.DUMMYFUNCTION("TEXT(VALUE(REGEXEXTRACT(F36,""^[+-]?[0-9]*\.?[0-9]+""))*100,""0.00"")&amp;"" +/- ""&amp;TEXT(VALUE(REGEXEXTRACT(F36,""[0-9]*\.?[0-9]+$""))*100,""0.00"")"),"69.88 +/- 3.48")</f>
        <v>69.88 +/- 3.48</v>
      </c>
      <c r="O36" s="18" t="str">
        <f>IFERROR(__xludf.DUMMYFUNCTION("TEXT(VALUE(REGEXEXTRACT(G36,""^[+-]?[0-9]*\.?[0-9]+""))*100,""0.00"")&amp;"" +/- ""&amp;TEXT(VALUE(REGEXEXTRACT(G36,""[0-9]*\.?[0-9]+$""))*100,""0.00"")"),"69.81 +/- 1.94")</f>
        <v>69.81 +/- 1.94</v>
      </c>
      <c r="P36" s="18" t="str">
        <f>IFERROR(__xludf.DUMMYFUNCTION("TEXT(VALUE(REGEXEXTRACT(H36,""^[+-]?[0-9]*\.?[0-9]+""))*100,""0.00"")&amp;"" +/- ""&amp;TEXT(VALUE(REGEXEXTRACT(H36,""[0-9]*\.?[0-9]+$""))*100,""0.00"")"),"64.13 +/- 3.55")</f>
        <v>64.13 +/- 3.55</v>
      </c>
    </row>
    <row r="37">
      <c r="A37" s="6" t="s">
        <v>684</v>
      </c>
      <c r="B37" s="14" t="s">
        <v>811</v>
      </c>
      <c r="C37" s="14" t="s">
        <v>686</v>
      </c>
      <c r="D37" s="14" t="s">
        <v>686</v>
      </c>
      <c r="E37" s="14" t="s">
        <v>815</v>
      </c>
      <c r="F37" s="14" t="s">
        <v>816</v>
      </c>
      <c r="G37" s="14" t="s">
        <v>817</v>
      </c>
      <c r="H37" s="14" t="s">
        <v>818</v>
      </c>
      <c r="I37" s="17" t="str">
        <f t="shared" si="3"/>
        <v>AR1→AR5</v>
      </c>
      <c r="J37" s="18" t="str">
        <f>IFERROR(__xludf.DUMMYFUNCTION("TEXT(VALUE(REGEXEXTRACT(B37,""^[+-]?[0-9]*\.?[0-9]+""))*100,""0.00"")&amp;"" +/- ""&amp;TEXT(VALUE(REGEXEXTRACT(B37,""[0-9]*\.?[0-9]+$""))*100,""0.00"")"),"74.85 +/- 4.29")</f>
        <v>74.85 +/- 4.29</v>
      </c>
      <c r="K37" s="18" t="str">
        <f>IFERROR(__xludf.DUMMYFUNCTION("TEXT(VALUE(REGEXEXTRACT(C37,""^[+-]?[0-9]*\.?[0-9]+""))*100,""0.00"")&amp;"" +/- ""&amp;TEXT(VALUE(REGEXEXTRACT(C37,""[0-9]*\.?[0-9]+$""))*100,""0.00"")"),"0.00 +/- 0.00")</f>
        <v>0.00 +/- 0.00</v>
      </c>
      <c r="L37" s="18" t="str">
        <f>IFERROR(__xludf.DUMMYFUNCTION("TEXT(VALUE(REGEXEXTRACT(D37,""^[+-]?[0-9]*\.?[0-9]+""))*100,""0.00"")&amp;"" +/- ""&amp;TEXT(VALUE(REGEXEXTRACT(D37,""[0-9]*\.?[0-9]+$""))*100,""0.00"")"),"0.00 +/- 0.00")</f>
        <v>0.00 +/- 0.00</v>
      </c>
      <c r="M37" s="18" t="str">
        <f>IFERROR(__xludf.DUMMYFUNCTION("TEXT(VALUE(REGEXEXTRACT(E37,""^[+-]?[0-9]*\.?[0-9]+""))*100,""0.00"")&amp;"" +/- ""&amp;TEXT(VALUE(REGEXEXTRACT(E37,""[0-9]*\.?[0-9]+$""))*100,""0.00"")"),"60.95 +/- 11.74")</f>
        <v>60.95 +/- 11.74</v>
      </c>
      <c r="N37" s="19" t="str">
        <f>IFERROR(__xludf.DUMMYFUNCTION("TEXT(VALUE(REGEXEXTRACT(F37,""^[+-]?[0-9]*\.?[0-9]+""))*100,""0.00"")&amp;"" +/- ""&amp;TEXT(VALUE(REGEXEXTRACT(F37,""[0-9]*\.?[0-9]+$""))*100,""0.00"")"),"75.73 +/- 4.73")</f>
        <v>75.73 +/- 4.73</v>
      </c>
      <c r="O37" s="18" t="str">
        <f>IFERROR(__xludf.DUMMYFUNCTION("TEXT(VALUE(REGEXEXTRACT(G37,""^[+-]?[0-9]*\.?[0-9]+""))*100,""0.00"")&amp;"" +/- ""&amp;TEXT(VALUE(REGEXEXTRACT(G37,""[0-9]*\.?[0-9]+$""))*100,""0.00"")"),"73.58 +/- 4.57")</f>
        <v>73.58 +/- 4.57</v>
      </c>
      <c r="P37" s="18" t="str">
        <f>IFERROR(__xludf.DUMMYFUNCTION("TEXT(VALUE(REGEXEXTRACT(H37,""^[+-]?[0-9]*\.?[0-9]+""))*100,""0.00"")&amp;"" +/- ""&amp;TEXT(VALUE(REGEXEXTRACT(H37,""[0-9]*\.?[0-9]+$""))*100,""0.00"")"),"69.94 +/- 4.76")</f>
        <v>69.94 +/- 4.76</v>
      </c>
    </row>
    <row r="38">
      <c r="A38" s="6" t="s">
        <v>702</v>
      </c>
      <c r="B38" s="14" t="s">
        <v>827</v>
      </c>
      <c r="C38" s="14" t="s">
        <v>828</v>
      </c>
      <c r="D38" s="14" t="s">
        <v>686</v>
      </c>
      <c r="E38" s="14" t="s">
        <v>829</v>
      </c>
      <c r="F38" s="14" t="s">
        <v>830</v>
      </c>
      <c r="G38" s="14" t="s">
        <v>831</v>
      </c>
      <c r="H38" s="14" t="s">
        <v>832</v>
      </c>
      <c r="I38" s="17" t="str">
        <f t="shared" si="3"/>
        <v>AR1→AR6</v>
      </c>
      <c r="J38" s="19" t="str">
        <f>IFERROR(__xludf.DUMMYFUNCTION("TEXT(VALUE(REGEXEXTRACT(B38,""^[+-]?[0-9]*\.?[0-9]+""))*100,""0.00"")&amp;"" +/- ""&amp;TEXT(VALUE(REGEXEXTRACT(B38,""[0-9]*\.?[0-9]+$""))*100,""0.00"")"),"55.37 +/- 3.06")</f>
        <v>55.37 +/- 3.06</v>
      </c>
      <c r="K38" s="18" t="str">
        <f>IFERROR(__xludf.DUMMYFUNCTION("TEXT(VALUE(REGEXEXTRACT(C38,""^[+-]?[0-9]*\.?[0-9]+""))*100,""0.00"")&amp;"" +/- ""&amp;TEXT(VALUE(REGEXEXTRACT(C38,""[0-9]*\.?[0-9]+$""))*100,""0.00"")"),"23.96 +/- 17.15")</f>
        <v>23.96 +/- 17.15</v>
      </c>
      <c r="L38" s="18" t="str">
        <f>IFERROR(__xludf.DUMMYFUNCTION("TEXT(VALUE(REGEXEXTRACT(D38,""^[+-]?[0-9]*\.?[0-9]+""))*100,""0.00"")&amp;"" +/- ""&amp;TEXT(VALUE(REGEXEXTRACT(D38,""[0-9]*\.?[0-9]+$""))*100,""0.00"")"),"0.00 +/- 0.00")</f>
        <v>0.00 +/- 0.00</v>
      </c>
      <c r="M38" s="18" t="str">
        <f>IFERROR(__xludf.DUMMYFUNCTION("TEXT(VALUE(REGEXEXTRACT(E38,""^[+-]?[0-9]*\.?[0-9]+""))*100,""0.00"")&amp;"" +/- ""&amp;TEXT(VALUE(REGEXEXTRACT(E38,""[0-9]*\.?[0-9]+$""))*100,""0.00"")"),"51.97 +/- 2.98")</f>
        <v>51.97 +/- 2.98</v>
      </c>
      <c r="N38" s="18" t="str">
        <f>IFERROR(__xludf.DUMMYFUNCTION("TEXT(VALUE(REGEXEXTRACT(F38,""^[+-]?[0-9]*\.?[0-9]+""))*100,""0.00"")&amp;"" +/- ""&amp;TEXT(VALUE(REGEXEXTRACT(F38,""[0-9]*\.?[0-9]+$""))*100,""0.00"")"),"54.25 +/- 4.37")</f>
        <v>54.25 +/- 4.37</v>
      </c>
      <c r="O38" s="18" t="str">
        <f>IFERROR(__xludf.DUMMYFUNCTION("TEXT(VALUE(REGEXEXTRACT(G38,""^[+-]?[0-9]*\.?[0-9]+""))*100,""0.00"")&amp;"" +/- ""&amp;TEXT(VALUE(REGEXEXTRACT(G38,""[0-9]*\.?[0-9]+$""))*100,""0.00"")"),"53.55 +/- 4.82")</f>
        <v>53.55 +/- 4.82</v>
      </c>
      <c r="P38" s="18" t="str">
        <f>IFERROR(__xludf.DUMMYFUNCTION("TEXT(VALUE(REGEXEXTRACT(H38,""^[+-]?[0-9]*\.?[0-9]+""))*100,""0.00"")&amp;"" +/- ""&amp;TEXT(VALUE(REGEXEXTRACT(H38,""[0-9]*\.?[0-9]+$""))*100,""0.00"")"),"54.06 +/- 2.97")</f>
        <v>54.06 +/- 2.97</v>
      </c>
    </row>
    <row r="39">
      <c r="A39" s="6" t="s">
        <v>738</v>
      </c>
      <c r="B39" s="14" t="s">
        <v>840</v>
      </c>
      <c r="C39" s="14" t="s">
        <v>842</v>
      </c>
      <c r="D39" s="14" t="s">
        <v>843</v>
      </c>
      <c r="E39" s="14" t="s">
        <v>844</v>
      </c>
      <c r="F39" s="14" t="s">
        <v>845</v>
      </c>
      <c r="G39" s="14" t="s">
        <v>846</v>
      </c>
      <c r="H39" s="14" t="s">
        <v>847</v>
      </c>
      <c r="I39" s="17" t="str">
        <f t="shared" si="3"/>
        <v>AR3→AR1</v>
      </c>
      <c r="J39" s="18" t="str">
        <f>IFERROR(__xludf.DUMMYFUNCTION("TEXT(VALUE(REGEXEXTRACT(B39,""^[+-]?[0-9]*\.?[0-9]+""))*100,""0.00"")&amp;"" +/- ""&amp;TEXT(VALUE(REGEXEXTRACT(B39,""[0-9]*\.?[0-9]+$""))*100,""0.00"")"),"54.27 +/- 4.82")</f>
        <v>54.27 +/- 4.82</v>
      </c>
      <c r="K39" s="18" t="str">
        <f>IFERROR(__xludf.DUMMYFUNCTION("TEXT(VALUE(REGEXEXTRACT(C39,""^[+-]?[0-9]*\.?[0-9]+""))*100,""0.00"")&amp;"" +/- ""&amp;TEXT(VALUE(REGEXEXTRACT(C39,""[0-9]*\.?[0-9]+$""))*100,""0.00"")"),"54.32 +/- 4.57")</f>
        <v>54.32 +/- 4.57</v>
      </c>
      <c r="L39" s="18" t="str">
        <f>IFERROR(__xludf.DUMMYFUNCTION("TEXT(VALUE(REGEXEXTRACT(D39,""^[+-]?[0-9]*\.?[0-9]+""))*100,""0.00"")&amp;"" +/- ""&amp;TEXT(VALUE(REGEXEXTRACT(D39,""[0-9]*\.?[0-9]+$""))*100,""0.00"")"),"7.73 +/- 14.26")</f>
        <v>7.73 +/- 14.26</v>
      </c>
      <c r="M39" s="18" t="str">
        <f>IFERROR(__xludf.DUMMYFUNCTION("TEXT(VALUE(REGEXEXTRACT(E39,""^[+-]?[0-9]*\.?[0-9]+""))*100,""0.00"")&amp;"" +/- ""&amp;TEXT(VALUE(REGEXEXTRACT(E39,""[0-9]*\.?[0-9]+$""))*100,""0.00"")"),"53.72 +/- 4.12")</f>
        <v>53.72 +/- 4.12</v>
      </c>
      <c r="N39" s="18" t="str">
        <f>IFERROR(__xludf.DUMMYFUNCTION("TEXT(VALUE(REGEXEXTRACT(F39,""^[+-]?[0-9]*\.?[0-9]+""))*100,""0.00"")&amp;"" +/- ""&amp;TEXT(VALUE(REGEXEXTRACT(F39,""[0-9]*\.?[0-9]+$""))*100,""0.00"")"),"55.52 +/- 5.22")</f>
        <v>55.52 +/- 5.22</v>
      </c>
      <c r="O39" s="18" t="str">
        <f>IFERROR(__xludf.DUMMYFUNCTION("TEXT(VALUE(REGEXEXTRACT(G39,""^[+-]?[0-9]*\.?[0-9]+""))*100,""0.00"")&amp;"" +/- ""&amp;TEXT(VALUE(REGEXEXTRACT(G39,""[0-9]*\.?[0-9]+$""))*100,""0.00"")"),"54.69 +/- 4.07")</f>
        <v>54.69 +/- 4.07</v>
      </c>
      <c r="P39" s="19" t="str">
        <f>IFERROR(__xludf.DUMMYFUNCTION("TEXT(VALUE(REGEXEXTRACT(H39,""^[+-]?[0-9]*\.?[0-9]+""))*100,""0.00"")&amp;"" +/- ""&amp;TEXT(VALUE(REGEXEXTRACT(H39,""[0-9]*\.?[0-9]+$""))*100,""0.00"")"),"56.23 +/- 4.00")</f>
        <v>56.23 +/- 4.00</v>
      </c>
    </row>
    <row r="40">
      <c r="A40" s="6" t="s">
        <v>752</v>
      </c>
      <c r="B40" s="14" t="s">
        <v>857</v>
      </c>
      <c r="C40" s="14" t="s">
        <v>858</v>
      </c>
      <c r="D40" s="14" t="s">
        <v>859</v>
      </c>
      <c r="E40" s="14" t="s">
        <v>860</v>
      </c>
      <c r="F40" s="14" t="s">
        <v>861</v>
      </c>
      <c r="G40" s="14" t="s">
        <v>862</v>
      </c>
      <c r="H40" s="14" t="s">
        <v>863</v>
      </c>
      <c r="I40" s="17" t="str">
        <f t="shared" si="3"/>
        <v>AR3→AR4</v>
      </c>
      <c r="J40" s="18" t="str">
        <f>IFERROR(__xludf.DUMMYFUNCTION("TEXT(VALUE(REGEXEXTRACT(B40,""^[+-]?[0-9]*\.?[0-9]+""))*100,""0.00"")&amp;"" +/- ""&amp;TEXT(VALUE(REGEXEXTRACT(B40,""[0-9]*\.?[0-9]+$""))*100,""0.00"")"),"65.45 +/- 2.21")</f>
        <v>65.45 +/- 2.21</v>
      </c>
      <c r="K40" s="18" t="str">
        <f>IFERROR(__xludf.DUMMYFUNCTION("TEXT(VALUE(REGEXEXTRACT(C40,""^[+-]?[0-9]*\.?[0-9]+""))*100,""0.00"")&amp;"" +/- ""&amp;TEXT(VALUE(REGEXEXTRACT(C40,""[0-9]*\.?[0-9]+$""))*100,""0.00"")"),"57.48 +/- 1.87")</f>
        <v>57.48 +/- 1.87</v>
      </c>
      <c r="L40" s="18" t="str">
        <f>IFERROR(__xludf.DUMMYFUNCTION("TEXT(VALUE(REGEXEXTRACT(D40,""^[+-]?[0-9]*\.?[0-9]+""))*100,""0.00"")&amp;"" +/- ""&amp;TEXT(VALUE(REGEXEXTRACT(D40,""[0-9]*\.?[0-9]+$""))*100,""0.00"")"),"20.99 +/- 12.79")</f>
        <v>20.99 +/- 12.79</v>
      </c>
      <c r="M40" s="18" t="str">
        <f>IFERROR(__xludf.DUMMYFUNCTION("TEXT(VALUE(REGEXEXTRACT(E40,""^[+-]?[0-9]*\.?[0-9]+""))*100,""0.00"")&amp;"" +/- ""&amp;TEXT(VALUE(REGEXEXTRACT(E40,""[0-9]*\.?[0-9]+$""))*100,""0.00"")"),"59.95 +/- 2.39")</f>
        <v>59.95 +/- 2.39</v>
      </c>
      <c r="N40" s="18" t="str">
        <f>IFERROR(__xludf.DUMMYFUNCTION("TEXT(VALUE(REGEXEXTRACT(F40,""^[+-]?[0-9]*\.?[0-9]+""))*100,""0.00"")&amp;"" +/- ""&amp;TEXT(VALUE(REGEXEXTRACT(F40,""[0-9]*\.?[0-9]+$""))*100,""0.00"")"),"65.96 +/- 1.96")</f>
        <v>65.96 +/- 1.96</v>
      </c>
      <c r="O40" s="18" t="str">
        <f>IFERROR(__xludf.DUMMYFUNCTION("TEXT(VALUE(REGEXEXTRACT(G40,""^[+-]?[0-9]*\.?[0-9]+""))*100,""0.00"")&amp;"" +/- ""&amp;TEXT(VALUE(REGEXEXTRACT(G40,""[0-9]*\.?[0-9]+$""))*100,""0.00"")"),"65.79 +/- 2.70")</f>
        <v>65.79 +/- 2.70</v>
      </c>
      <c r="P40" s="19" t="str">
        <f>IFERROR(__xludf.DUMMYFUNCTION("TEXT(VALUE(REGEXEXTRACT(H40,""^[+-]?[0-9]*\.?[0-9]+""))*100,""0.00"")&amp;"" +/- ""&amp;TEXT(VALUE(REGEXEXTRACT(H40,""[0-9]*\.?[0-9]+$""))*100,""0.00"")"),"66.09 +/- 3.72")</f>
        <v>66.09 +/- 3.72</v>
      </c>
    </row>
    <row r="41">
      <c r="A41" s="6" t="s">
        <v>771</v>
      </c>
      <c r="B41" s="14" t="s">
        <v>872</v>
      </c>
      <c r="C41" s="14" t="s">
        <v>873</v>
      </c>
      <c r="D41" s="14" t="s">
        <v>686</v>
      </c>
      <c r="E41" s="14" t="s">
        <v>874</v>
      </c>
      <c r="F41" s="14" t="s">
        <v>875</v>
      </c>
      <c r="G41" s="14" t="s">
        <v>876</v>
      </c>
      <c r="H41" s="14" t="s">
        <v>877</v>
      </c>
      <c r="I41" s="17" t="str">
        <f t="shared" si="3"/>
        <v>AR3→AR5</v>
      </c>
      <c r="J41" s="18" t="str">
        <f>IFERROR(__xludf.DUMMYFUNCTION("TEXT(VALUE(REGEXEXTRACT(B41,""^[+-]?[0-9]*\.?[0-9]+""))*100,""0.00"")&amp;"" +/- ""&amp;TEXT(VALUE(REGEXEXTRACT(B41,""[0-9]*\.?[0-9]+$""))*100,""0.00"")"),"83.64 +/- 3.81")</f>
        <v>83.64 +/- 3.81</v>
      </c>
      <c r="K41" s="18" t="str">
        <f>IFERROR(__xludf.DUMMYFUNCTION("TEXT(VALUE(REGEXEXTRACT(C41,""^[+-]?[0-9]*\.?[0-9]+""))*100,""0.00"")&amp;"" +/- ""&amp;TEXT(VALUE(REGEXEXTRACT(C41,""[0-9]*\.?[0-9]+$""))*100,""0.00"")"),"60.86 +/- 2.05")</f>
        <v>60.86 +/- 2.05</v>
      </c>
      <c r="L41" s="18" t="str">
        <f>IFERROR(__xludf.DUMMYFUNCTION("TEXT(VALUE(REGEXEXTRACT(D41,""^[+-]?[0-9]*\.?[0-9]+""))*100,""0.00"")&amp;"" +/- ""&amp;TEXT(VALUE(REGEXEXTRACT(D41,""[0-9]*\.?[0-9]+$""))*100,""0.00"")"),"0.00 +/- 0.00")</f>
        <v>0.00 +/- 0.00</v>
      </c>
      <c r="M41" s="18" t="str">
        <f>IFERROR(__xludf.DUMMYFUNCTION("TEXT(VALUE(REGEXEXTRACT(E41,""^[+-]?[0-9]*\.?[0-9]+""))*100,""0.00"")&amp;"" +/- ""&amp;TEXT(VALUE(REGEXEXTRACT(E41,""[0-9]*\.?[0-9]+$""))*100,""0.00"")"),"68.27 +/- 0.40")</f>
        <v>68.27 +/- 0.40</v>
      </c>
      <c r="N41" s="18" t="str">
        <f>IFERROR(__xludf.DUMMYFUNCTION("TEXT(VALUE(REGEXEXTRACT(F41,""^[+-]?[0-9]*\.?[0-9]+""))*100,""0.00"")&amp;"" +/- ""&amp;TEXT(VALUE(REGEXEXTRACT(F41,""[0-9]*\.?[0-9]+$""))*100,""0.00"")"),"84.74 +/- 4.91")</f>
        <v>84.74 +/- 4.91</v>
      </c>
      <c r="O41" s="19" t="str">
        <f>IFERROR(__xludf.DUMMYFUNCTION("TEXT(VALUE(REGEXEXTRACT(G41,""^[+-]?[0-9]*\.?[0-9]+""))*100,""0.00"")&amp;"" +/- ""&amp;TEXT(VALUE(REGEXEXTRACT(G41,""[0-9]*\.?[0-9]+$""))*100,""0.00"")"),"84.55 +/- 3.97")</f>
        <v>84.55 +/- 3.97</v>
      </c>
      <c r="P41" s="18" t="str">
        <f>IFERROR(__xludf.DUMMYFUNCTION("TEXT(VALUE(REGEXEXTRACT(H41,""^[+-]?[0-9]*\.?[0-9]+""))*100,""0.00"")&amp;"" +/- ""&amp;TEXT(VALUE(REGEXEXTRACT(H41,""[0-9]*\.?[0-9]+$""))*100,""0.00"")"),"66.58 +/- 5.10")</f>
        <v>66.58 +/- 5.10</v>
      </c>
    </row>
    <row r="42">
      <c r="A42" s="6" t="s">
        <v>798</v>
      </c>
      <c r="B42" s="14" t="s">
        <v>886</v>
      </c>
      <c r="C42" s="14" t="s">
        <v>887</v>
      </c>
      <c r="D42" s="14" t="s">
        <v>888</v>
      </c>
      <c r="E42" s="14" t="s">
        <v>686</v>
      </c>
      <c r="F42" s="14" t="s">
        <v>889</v>
      </c>
      <c r="G42" s="14" t="s">
        <v>890</v>
      </c>
      <c r="H42" s="14" t="s">
        <v>891</v>
      </c>
      <c r="I42" s="17" t="str">
        <f t="shared" si="3"/>
        <v>AR3→AR6</v>
      </c>
      <c r="J42" s="18" t="str">
        <f>IFERROR(__xludf.DUMMYFUNCTION("TEXT(VALUE(REGEXEXTRACT(B42,""^[+-]?[0-9]*\.?[0-9]+""))*100,""0.00"")&amp;"" +/- ""&amp;TEXT(VALUE(REGEXEXTRACT(B42,""[0-9]*\.?[0-9]+$""))*100,""0.00"")"),"7.04 +/- 13.36")</f>
        <v>7.04 +/- 13.36</v>
      </c>
      <c r="K42" s="18" t="str">
        <f>IFERROR(__xludf.DUMMYFUNCTION("TEXT(VALUE(REGEXEXTRACT(C42,""^[+-]?[0-9]*\.?[0-9]+""))*100,""0.00"")&amp;"" +/- ""&amp;TEXT(VALUE(REGEXEXTRACT(C42,""[0-9]*\.?[0-9]+$""))*100,""0.00"")"),"41.89 +/- 3.69")</f>
        <v>41.89 +/- 3.69</v>
      </c>
      <c r="L42" s="18" t="str">
        <f>IFERROR(__xludf.DUMMYFUNCTION("TEXT(VALUE(REGEXEXTRACT(D42,""^[+-]?[0-9]*\.?[0-9]+""))*100,""0.00"")&amp;"" +/- ""&amp;TEXT(VALUE(REGEXEXTRACT(D42,""[0-9]*\.?[0-9]+$""))*100,""0.00"")"),"6.02 +/- 11.11")</f>
        <v>6.02 +/- 11.11</v>
      </c>
      <c r="M42" s="18" t="str">
        <f>IFERROR(__xludf.DUMMYFUNCTION("TEXT(VALUE(REGEXEXTRACT(E42,""^[+-]?[0-9]*\.?[0-9]+""))*100,""0.00"")&amp;"" +/- ""&amp;TEXT(VALUE(REGEXEXTRACT(E42,""[0-9]*\.?[0-9]+$""))*100,""0.00"")"),"0.00 +/- 0.00")</f>
        <v>0.00 +/- 0.00</v>
      </c>
      <c r="N42" s="18" t="str">
        <f>IFERROR(__xludf.DUMMYFUNCTION("TEXT(VALUE(REGEXEXTRACT(F42,""^[+-]?[0-9]*\.?[0-9]+""))*100,""0.00"")&amp;"" +/- ""&amp;TEXT(VALUE(REGEXEXTRACT(F42,""[0-9]*\.?[0-9]+$""))*100,""0.00"")"),"10.10 +/- 15.33")</f>
        <v>10.10 +/- 15.33</v>
      </c>
      <c r="O42" s="18" t="str">
        <f>IFERROR(__xludf.DUMMYFUNCTION("TEXT(VALUE(REGEXEXTRACT(G42,""^[+-]?[0-9]*\.?[0-9]+""))*100,""0.00"")&amp;"" +/- ""&amp;TEXT(VALUE(REGEXEXTRACT(G42,""[0-9]*\.?[0-9]+$""))*100,""0.00"")"),"5.82 +/- 12.45")</f>
        <v>5.82 +/- 12.45</v>
      </c>
      <c r="P42" s="19" t="str">
        <f>IFERROR(__xludf.DUMMYFUNCTION("TEXT(VALUE(REGEXEXTRACT(H42,""^[+-]?[0-9]*\.?[0-9]+""))*100,""0.00"")&amp;"" +/- ""&amp;TEXT(VALUE(REGEXEXTRACT(H42,""[0-9]*\.?[0-9]+$""))*100,""0.00"")"),"38.49 +/- 14.90")</f>
        <v>38.49 +/- 14.90</v>
      </c>
    </row>
    <row r="43">
      <c r="A43" s="6" t="s">
        <v>806</v>
      </c>
      <c r="B43" s="14" t="s">
        <v>900</v>
      </c>
      <c r="C43" s="14" t="s">
        <v>901</v>
      </c>
      <c r="D43" s="14" t="s">
        <v>902</v>
      </c>
      <c r="E43" s="14" t="s">
        <v>903</v>
      </c>
      <c r="F43" s="14" t="s">
        <v>904</v>
      </c>
      <c r="G43" s="14" t="s">
        <v>905</v>
      </c>
      <c r="H43" s="14" t="s">
        <v>906</v>
      </c>
      <c r="I43" s="17" t="str">
        <f t="shared" si="3"/>
        <v>AR4→AR1</v>
      </c>
      <c r="J43" s="18" t="str">
        <f>IFERROR(__xludf.DUMMYFUNCTION("TEXT(VALUE(REGEXEXTRACT(B43,""^[+-]?[0-9]*\.?[0-9]+""))*100,""0.00"")&amp;"" +/- ""&amp;TEXT(VALUE(REGEXEXTRACT(B43,""[0-9]*\.?[0-9]+$""))*100,""0.00"")"),"55.12 +/- 3.22")</f>
        <v>55.12 +/- 3.22</v>
      </c>
      <c r="K43" s="19" t="str">
        <f>IFERROR(__xludf.DUMMYFUNCTION("TEXT(VALUE(REGEXEXTRACT(C43,""^[+-]?[0-9]*\.?[0-9]+""))*100,""0.00"")&amp;"" +/- ""&amp;TEXT(VALUE(REGEXEXTRACT(C43,""[0-9]*\.?[0-9]+$""))*100,""0.00"")"),"60.46 +/- 0.35")</f>
        <v>60.46 +/- 0.35</v>
      </c>
      <c r="L43" s="18" t="str">
        <f>IFERROR(__xludf.DUMMYFUNCTION("TEXT(VALUE(REGEXEXTRACT(D43,""^[+-]?[0-9]*\.?[0-9]+""))*100,""0.00"")&amp;"" +/- ""&amp;TEXT(VALUE(REGEXEXTRACT(D43,""[0-9]*\.?[0-9]+$""))*100,""0.00"")"),"37.25 +/- 9.90")</f>
        <v>37.25 +/- 9.90</v>
      </c>
      <c r="M43" s="18" t="str">
        <f>IFERROR(__xludf.DUMMYFUNCTION("TEXT(VALUE(REGEXEXTRACT(E43,""^[+-]?[0-9]*\.?[0-9]+""))*100,""0.00"")&amp;"" +/- ""&amp;TEXT(VALUE(REGEXEXTRACT(E43,""[0-9]*\.?[0-9]+$""))*100,""0.00"")"),"56.50 +/- 2.87")</f>
        <v>56.50 +/- 2.87</v>
      </c>
      <c r="N43" s="18" t="str">
        <f>IFERROR(__xludf.DUMMYFUNCTION("TEXT(VALUE(REGEXEXTRACT(F43,""^[+-]?[0-9]*\.?[0-9]+""))*100,""0.00"")&amp;"" +/- ""&amp;TEXT(VALUE(REGEXEXTRACT(F43,""[0-9]*\.?[0-9]+$""))*100,""0.00"")"),"55.91 +/- 4.91")</f>
        <v>55.91 +/- 4.91</v>
      </c>
      <c r="O43" s="18" t="str">
        <f>IFERROR(__xludf.DUMMYFUNCTION("TEXT(VALUE(REGEXEXTRACT(G43,""^[+-]?[0-9]*\.?[0-9]+""))*100,""0.00"")&amp;"" +/- ""&amp;TEXT(VALUE(REGEXEXTRACT(G43,""[0-9]*\.?[0-9]+$""))*100,""0.00"")"),"57.00 +/- 4.37")</f>
        <v>57.00 +/- 4.37</v>
      </c>
      <c r="P43" s="18" t="str">
        <f>IFERROR(__xludf.DUMMYFUNCTION("TEXT(VALUE(REGEXEXTRACT(H43,""^[+-]?[0-9]*\.?[0-9]+""))*100,""0.00"")&amp;"" +/- ""&amp;TEXT(VALUE(REGEXEXTRACT(H43,""[0-9]*\.?[0-9]+$""))*100,""0.00"")"),"57.73 +/- 6.06")</f>
        <v>57.73 +/- 6.06</v>
      </c>
    </row>
    <row r="44">
      <c r="A44" s="6" t="s">
        <v>819</v>
      </c>
      <c r="B44" s="14" t="s">
        <v>915</v>
      </c>
      <c r="C44" s="14" t="s">
        <v>916</v>
      </c>
      <c r="D44" s="14" t="s">
        <v>917</v>
      </c>
      <c r="E44" s="14" t="s">
        <v>918</v>
      </c>
      <c r="F44" s="14" t="s">
        <v>919</v>
      </c>
      <c r="G44" s="14" t="s">
        <v>920</v>
      </c>
      <c r="H44" s="14" t="s">
        <v>921</v>
      </c>
      <c r="I44" s="17" t="str">
        <f t="shared" si="3"/>
        <v>AR4→AR3</v>
      </c>
      <c r="J44" s="19" t="str">
        <f>IFERROR(__xludf.DUMMYFUNCTION("TEXT(VALUE(REGEXEXTRACT(B44,""^[+-]?[0-9]*\.?[0-9]+""))*100,""0.00"")&amp;"" +/- ""&amp;TEXT(VALUE(REGEXEXTRACT(B44,""[0-9]*\.?[0-9]+$""))*100,""0.00"")"),"80.21 +/- 1.55")</f>
        <v>80.21 +/- 1.55</v>
      </c>
      <c r="K44" s="18" t="str">
        <f>IFERROR(__xludf.DUMMYFUNCTION("TEXT(VALUE(REGEXEXTRACT(C44,""^[+-]?[0-9]*\.?[0-9]+""))*100,""0.00"")&amp;"" +/- ""&amp;TEXT(VALUE(REGEXEXTRACT(C44,""[0-9]*\.?[0-9]+$""))*100,""0.00"")"),"76.55 +/- 5.58")</f>
        <v>76.55 +/- 5.58</v>
      </c>
      <c r="L44" s="18" t="str">
        <f>IFERROR(__xludf.DUMMYFUNCTION("TEXT(VALUE(REGEXEXTRACT(D44,""^[+-]?[0-9]*\.?[0-9]+""))*100,""0.00"")&amp;"" +/- ""&amp;TEXT(VALUE(REGEXEXTRACT(D44,""[0-9]*\.?[0-9]+$""))*100,""0.00"")"),"61.19 +/- 9.21")</f>
        <v>61.19 +/- 9.21</v>
      </c>
      <c r="M44" s="18" t="str">
        <f>IFERROR(__xludf.DUMMYFUNCTION("TEXT(VALUE(REGEXEXTRACT(E44,""^[+-]?[0-9]*\.?[0-9]+""))*100,""0.00"")&amp;"" +/- ""&amp;TEXT(VALUE(REGEXEXTRACT(E44,""[0-9]*\.?[0-9]+$""))*100,""0.00"")"),"79.41 +/- 4.70")</f>
        <v>79.41 +/- 4.70</v>
      </c>
      <c r="N44" s="18" t="str">
        <f>IFERROR(__xludf.DUMMYFUNCTION("TEXT(VALUE(REGEXEXTRACT(F44,""^[+-]?[0-9]*\.?[0-9]+""))*100,""0.00"")&amp;"" +/- ""&amp;TEXT(VALUE(REGEXEXTRACT(F44,""[0-9]*\.?[0-9]+$""))*100,""0.00"")"),"69.81 +/- 4.38")</f>
        <v>69.81 +/- 4.38</v>
      </c>
      <c r="O44" s="18" t="str">
        <f>IFERROR(__xludf.DUMMYFUNCTION("TEXT(VALUE(REGEXEXTRACT(G44,""^[+-]?[0-9]*\.?[0-9]+""))*100,""0.00"")&amp;"" +/- ""&amp;TEXT(VALUE(REGEXEXTRACT(G44,""[0-9]*\.?[0-9]+$""))*100,""0.00"")"),"73.48 +/- 4.30")</f>
        <v>73.48 +/- 4.30</v>
      </c>
      <c r="P44" s="18" t="str">
        <f>IFERROR(__xludf.DUMMYFUNCTION("TEXT(VALUE(REGEXEXTRACT(H44,""^[+-]?[0-9]*\.?[0-9]+""))*100,""0.00"")&amp;"" +/- ""&amp;TEXT(VALUE(REGEXEXTRACT(H44,""[0-9]*\.?[0-9]+$""))*100,""0.00"")"),"56.97 +/- 8.33")</f>
        <v>56.97 +/- 8.33</v>
      </c>
    </row>
    <row r="45">
      <c r="A45" s="6" t="s">
        <v>833</v>
      </c>
      <c r="B45" s="14" t="s">
        <v>937</v>
      </c>
      <c r="C45" s="14" t="s">
        <v>938</v>
      </c>
      <c r="D45" s="14" t="s">
        <v>939</v>
      </c>
      <c r="E45" s="14" t="s">
        <v>940</v>
      </c>
      <c r="F45" s="14" t="s">
        <v>941</v>
      </c>
      <c r="G45" s="14" t="s">
        <v>942</v>
      </c>
      <c r="H45" s="14" t="s">
        <v>943</v>
      </c>
      <c r="I45" s="17" t="str">
        <f t="shared" si="3"/>
        <v>AR4→AR5</v>
      </c>
      <c r="J45" s="19" t="str">
        <f>IFERROR(__xludf.DUMMYFUNCTION("TEXT(VALUE(REGEXEXTRACT(B45,""^[+-]?[0-9]*\.?[0-9]+""))*100,""0.00"")&amp;"" +/- ""&amp;TEXT(VALUE(REGEXEXTRACT(B45,""[0-9]*\.?[0-9]+$""))*100,""0.00"")"),"88.09 +/- 1.77")</f>
        <v>88.09 +/- 1.77</v>
      </c>
      <c r="K45" s="18" t="str">
        <f>IFERROR(__xludf.DUMMYFUNCTION("TEXT(VALUE(REGEXEXTRACT(C45,""^[+-]?[0-9]*\.?[0-9]+""))*100,""0.00"")&amp;"" +/- ""&amp;TEXT(VALUE(REGEXEXTRACT(C45,""[0-9]*\.?[0-9]+$""))*100,""0.00"")"),"69.03 +/- 8.01")</f>
        <v>69.03 +/- 8.01</v>
      </c>
      <c r="L45" s="18" t="str">
        <f>IFERROR(__xludf.DUMMYFUNCTION("TEXT(VALUE(REGEXEXTRACT(D45,""^[+-]?[0-9]*\.?[0-9]+""))*100,""0.00"")&amp;"" +/- ""&amp;TEXT(VALUE(REGEXEXTRACT(D45,""[0-9]*\.?[0-9]+$""))*100,""0.00"")"),"71.59 +/- 8.14")</f>
        <v>71.59 +/- 8.14</v>
      </c>
      <c r="M45" s="18" t="str">
        <f>IFERROR(__xludf.DUMMYFUNCTION("TEXT(VALUE(REGEXEXTRACT(E45,""^[+-]?[0-9]*\.?[0-9]+""))*100,""0.00"")&amp;"" +/- ""&amp;TEXT(VALUE(REGEXEXTRACT(E45,""[0-9]*\.?[0-9]+$""))*100,""0.00"")"),"80.97 +/- 6.12")</f>
        <v>80.97 +/- 6.12</v>
      </c>
      <c r="N45" s="18" t="str">
        <f>IFERROR(__xludf.DUMMYFUNCTION("TEXT(VALUE(REGEXEXTRACT(F45,""^[+-]?[0-9]*\.?[0-9]+""))*100,""0.00"")&amp;"" +/- ""&amp;TEXT(VALUE(REGEXEXTRACT(F45,""[0-9]*\.?[0-9]+$""))*100,""0.00"")"),"83.32 +/- 4.69")</f>
        <v>83.32 +/- 4.69</v>
      </c>
      <c r="O45" s="18" t="str">
        <f>IFERROR(__xludf.DUMMYFUNCTION("TEXT(VALUE(REGEXEXTRACT(G45,""^[+-]?[0-9]*\.?[0-9]+""))*100,""0.00"")&amp;"" +/- ""&amp;TEXT(VALUE(REGEXEXTRACT(G45,""[0-9]*\.?[0-9]+$""))*100,""0.00"")"),"86.06 +/- 3.86")</f>
        <v>86.06 +/- 3.86</v>
      </c>
      <c r="P45" s="18" t="str">
        <f>IFERROR(__xludf.DUMMYFUNCTION("TEXT(VALUE(REGEXEXTRACT(H45,""^[+-]?[0-9]*\.?[0-9]+""))*100,""0.00"")&amp;"" +/- ""&amp;TEXT(VALUE(REGEXEXTRACT(H45,""[0-9]*\.?[0-9]+$""))*100,""0.00"")"),"65.46 +/- 12.50")</f>
        <v>65.46 +/- 12.50</v>
      </c>
    </row>
    <row r="46">
      <c r="A46" s="6" t="s">
        <v>849</v>
      </c>
      <c r="B46" s="14" t="s">
        <v>952</v>
      </c>
      <c r="C46" s="14" t="s">
        <v>953</v>
      </c>
      <c r="D46" s="14" t="s">
        <v>954</v>
      </c>
      <c r="E46" s="14" t="s">
        <v>955</v>
      </c>
      <c r="F46" s="14" t="s">
        <v>956</v>
      </c>
      <c r="G46" s="14" t="s">
        <v>957</v>
      </c>
      <c r="H46" s="14" t="s">
        <v>958</v>
      </c>
      <c r="I46" s="17" t="str">
        <f t="shared" si="3"/>
        <v>AR4→AR6</v>
      </c>
      <c r="J46" s="18" t="str">
        <f>IFERROR(__xludf.DUMMYFUNCTION("TEXT(VALUE(REGEXEXTRACT(B46,""^[+-]?[0-9]*\.?[0-9]+""))*100,""0.00"")&amp;"" +/- ""&amp;TEXT(VALUE(REGEXEXTRACT(B46,""[0-9]*\.?[0-9]+$""))*100,""0.00"")"),"54.01 +/- 0.75")</f>
        <v>54.01 +/- 0.75</v>
      </c>
      <c r="K46" s="18" t="str">
        <f>IFERROR(__xludf.DUMMYFUNCTION("TEXT(VALUE(REGEXEXTRACT(C46,""^[+-]?[0-9]*\.?[0-9]+""))*100,""0.00"")&amp;"" +/- ""&amp;TEXT(VALUE(REGEXEXTRACT(C46,""[0-9]*\.?[0-9]+$""))*100,""0.00"")"),"53.02 +/- 3.74")</f>
        <v>53.02 +/- 3.74</v>
      </c>
      <c r="L46" s="18" t="str">
        <f>IFERROR(__xludf.DUMMYFUNCTION("TEXT(VALUE(REGEXEXTRACT(D46,""^[+-]?[0-9]*\.?[0-9]+""))*100,""0.00"")&amp;"" +/- ""&amp;TEXT(VALUE(REGEXEXTRACT(D46,""[0-9]*\.?[0-9]+$""))*100,""0.00"")"),"43.18 +/- 10.94")</f>
        <v>43.18 +/- 10.94</v>
      </c>
      <c r="M46" s="18" t="str">
        <f>IFERROR(__xludf.DUMMYFUNCTION("TEXT(VALUE(REGEXEXTRACT(E46,""^[+-]?[0-9]*\.?[0-9]+""))*100,""0.00"")&amp;"" +/- ""&amp;TEXT(VALUE(REGEXEXTRACT(E46,""[0-9]*\.?[0-9]+$""))*100,""0.00"")"),"54.73 +/- 0.45")</f>
        <v>54.73 +/- 0.45</v>
      </c>
      <c r="N46" s="19" t="str">
        <f>IFERROR(__xludf.DUMMYFUNCTION("TEXT(VALUE(REGEXEXTRACT(F46,""^[+-]?[0-9]*\.?[0-9]+""))*100,""0.00"")&amp;"" +/- ""&amp;TEXT(VALUE(REGEXEXTRACT(F46,""[0-9]*\.?[0-9]+$""))*100,""0.00"")"),"56.67 +/- 1.96")</f>
        <v>56.67 +/- 1.96</v>
      </c>
      <c r="O46" s="18" t="str">
        <f>IFERROR(__xludf.DUMMYFUNCTION("TEXT(VALUE(REGEXEXTRACT(G46,""^[+-]?[0-9]*\.?[0-9]+""))*100,""0.00"")&amp;"" +/- ""&amp;TEXT(VALUE(REGEXEXTRACT(G46,""[0-9]*\.?[0-9]+$""))*100,""0.00"")"),"56.48 +/- 2.15")</f>
        <v>56.48 +/- 2.15</v>
      </c>
      <c r="P46" s="18" t="str">
        <f>IFERROR(__xludf.DUMMYFUNCTION("TEXT(VALUE(REGEXEXTRACT(H46,""^[+-]?[0-9]*\.?[0-9]+""))*100,""0.00"")&amp;"" +/- ""&amp;TEXT(VALUE(REGEXEXTRACT(H46,""[0-9]*\.?[0-9]+$""))*100,""0.00"")"),"54.81 +/- 2.37")</f>
        <v>54.81 +/- 2.37</v>
      </c>
    </row>
    <row r="47">
      <c r="A47" s="6" t="s">
        <v>864</v>
      </c>
      <c r="B47" s="14" t="s">
        <v>967</v>
      </c>
      <c r="C47" s="14" t="s">
        <v>968</v>
      </c>
      <c r="D47" s="14" t="s">
        <v>969</v>
      </c>
      <c r="E47" s="14" t="s">
        <v>970</v>
      </c>
      <c r="F47" s="14" t="s">
        <v>971</v>
      </c>
      <c r="G47" s="14" t="s">
        <v>972</v>
      </c>
      <c r="H47" s="14" t="s">
        <v>973</v>
      </c>
      <c r="I47" s="17" t="str">
        <f t="shared" si="3"/>
        <v>AR5→AR1</v>
      </c>
      <c r="J47" s="18" t="str">
        <f>IFERROR(__xludf.DUMMYFUNCTION("TEXT(VALUE(REGEXEXTRACT(B47,""^[+-]?[0-9]*\.?[0-9]+""))*100,""0.00"")&amp;"" +/- ""&amp;TEXT(VALUE(REGEXEXTRACT(B47,""[0-9]*\.?[0-9]+$""))*100,""0.00"")"),"57.31 +/- 2.21")</f>
        <v>57.31 +/- 2.21</v>
      </c>
      <c r="K47" s="19" t="str">
        <f>IFERROR(__xludf.DUMMYFUNCTION("TEXT(VALUE(REGEXEXTRACT(C47,""^[+-]?[0-9]*\.?[0-9]+""))*100,""0.00"")&amp;"" +/- ""&amp;TEXT(VALUE(REGEXEXTRACT(C47,""[0-9]*\.?[0-9]+$""))*100,""0.00"")"),"60.21 +/- 1.98")</f>
        <v>60.21 +/- 1.98</v>
      </c>
      <c r="L47" s="18" t="str">
        <f>IFERROR(__xludf.DUMMYFUNCTION("TEXT(VALUE(REGEXEXTRACT(D47,""^[+-]?[0-9]*\.?[0-9]+""))*100,""0.00"")&amp;"" +/- ""&amp;TEXT(VALUE(REGEXEXTRACT(D47,""[0-9]*\.?[0-9]+$""))*100,""0.00"")"),"11.33 +/- 16.47")</f>
        <v>11.33 +/- 16.47</v>
      </c>
      <c r="M47" s="18" t="str">
        <f>IFERROR(__xludf.DUMMYFUNCTION("TEXT(VALUE(REGEXEXTRACT(E47,""^[+-]?[0-9]*\.?[0-9]+""))*100,""0.00"")&amp;"" +/- ""&amp;TEXT(VALUE(REGEXEXTRACT(E47,""[0-9]*\.?[0-9]+$""))*100,""0.00"")"),"57.83 +/- 0.95")</f>
        <v>57.83 +/- 0.95</v>
      </c>
      <c r="N47" s="18" t="str">
        <f>IFERROR(__xludf.DUMMYFUNCTION("TEXT(VALUE(REGEXEXTRACT(F47,""^[+-]?[0-9]*\.?[0-9]+""))*100,""0.00"")&amp;"" +/- ""&amp;TEXT(VALUE(REGEXEXTRACT(F47,""[0-9]*\.?[0-9]+$""))*100,""0.00"")"),"57.43 +/- 3.44")</f>
        <v>57.43 +/- 3.44</v>
      </c>
      <c r="O47" s="18" t="str">
        <f>IFERROR(__xludf.DUMMYFUNCTION("TEXT(VALUE(REGEXEXTRACT(G47,""^[+-]?[0-9]*\.?[0-9]+""))*100,""0.00"")&amp;"" +/- ""&amp;TEXT(VALUE(REGEXEXTRACT(G47,""[0-9]*\.?[0-9]+$""))*100,""0.00"")"),"56.53 +/- 1.93")</f>
        <v>56.53 +/- 1.93</v>
      </c>
      <c r="P47" s="18" t="str">
        <f>IFERROR(__xludf.DUMMYFUNCTION("TEXT(VALUE(REGEXEXTRACT(H47,""^[+-]?[0-9]*\.?[0-9]+""))*100,""0.00"")&amp;"" +/- ""&amp;TEXT(VALUE(REGEXEXTRACT(H47,""[0-9]*\.?[0-9]+$""))*100,""0.00"")"),"56.47 +/- 1.06")</f>
        <v>56.47 +/- 1.06</v>
      </c>
    </row>
    <row r="48">
      <c r="A48" s="6" t="s">
        <v>878</v>
      </c>
      <c r="B48" s="14" t="s">
        <v>982</v>
      </c>
      <c r="C48" s="14" t="s">
        <v>983</v>
      </c>
      <c r="D48" s="14" t="s">
        <v>984</v>
      </c>
      <c r="E48" s="14" t="s">
        <v>985</v>
      </c>
      <c r="F48" s="14" t="s">
        <v>986</v>
      </c>
      <c r="G48" s="14" t="s">
        <v>987</v>
      </c>
      <c r="H48" s="14" t="s">
        <v>988</v>
      </c>
      <c r="I48" s="17" t="str">
        <f t="shared" si="3"/>
        <v>AR5→AR3</v>
      </c>
      <c r="J48" s="18" t="str">
        <f>IFERROR(__xludf.DUMMYFUNCTION("TEXT(VALUE(REGEXEXTRACT(B48,""^[+-]?[0-9]*\.?[0-9]+""))*100,""0.00"")&amp;"" +/- ""&amp;TEXT(VALUE(REGEXEXTRACT(B48,""[0-9]*\.?[0-9]+$""))*100,""0.00"")"),"77.47 +/- 1.89")</f>
        <v>77.47 +/- 1.89</v>
      </c>
      <c r="K48" s="19" t="str">
        <f>IFERROR(__xludf.DUMMYFUNCTION("TEXT(VALUE(REGEXEXTRACT(C48,""^[+-]?[0-9]*\.?[0-9]+""))*100,""0.00"")&amp;"" +/- ""&amp;TEXT(VALUE(REGEXEXTRACT(C48,""[0-9]*\.?[0-9]+$""))*100,""0.00"")"),"82.29 +/- 0.63")</f>
        <v>82.29 +/- 0.63</v>
      </c>
      <c r="L48" s="18" t="str">
        <f>IFERROR(__xludf.DUMMYFUNCTION("TEXT(VALUE(REGEXEXTRACT(D48,""^[+-]?[0-9]*\.?[0-9]+""))*100,""0.00"")&amp;"" +/- ""&amp;TEXT(VALUE(REGEXEXTRACT(D48,""[0-9]*\.?[0-9]+$""))*100,""0.00"")"),"13.43 +/- 18.14")</f>
        <v>13.43 +/- 18.14</v>
      </c>
      <c r="M48" s="18" t="str">
        <f>IFERROR(__xludf.DUMMYFUNCTION("TEXT(VALUE(REGEXEXTRACT(E48,""^[+-]?[0-9]*\.?[0-9]+""))*100,""0.00"")&amp;"" +/- ""&amp;TEXT(VALUE(REGEXEXTRACT(E48,""[0-9]*\.?[0-9]+$""))*100,""0.00"")"),"78.05 +/- 1.85")</f>
        <v>78.05 +/- 1.85</v>
      </c>
      <c r="N48" s="18" t="str">
        <f>IFERROR(__xludf.DUMMYFUNCTION("TEXT(VALUE(REGEXEXTRACT(F48,""^[+-]?[0-9]*\.?[0-9]+""))*100,""0.00"")&amp;"" +/- ""&amp;TEXT(VALUE(REGEXEXTRACT(F48,""[0-9]*\.?[0-9]+$""))*100,""0.00"")"),"75.32 +/- 1.92")</f>
        <v>75.32 +/- 1.92</v>
      </c>
      <c r="O48" s="18" t="str">
        <f>IFERROR(__xludf.DUMMYFUNCTION("TEXT(VALUE(REGEXEXTRACT(G48,""^[+-]?[0-9]*\.?[0-9]+""))*100,""0.00"")&amp;"" +/- ""&amp;TEXT(VALUE(REGEXEXTRACT(G48,""[0-9]*\.?[0-9]+$""))*100,""0.00"")"),"76.55 +/- 1.82")</f>
        <v>76.55 +/- 1.82</v>
      </c>
      <c r="P48" s="18" t="str">
        <f>IFERROR(__xludf.DUMMYFUNCTION("TEXT(VALUE(REGEXEXTRACT(H48,""^[+-]?[0-9]*\.?[0-9]+""))*100,""0.00"")&amp;"" +/- ""&amp;TEXT(VALUE(REGEXEXTRACT(H48,""[0-9]*\.?[0-9]+$""))*100,""0.00"")"),"76.82 +/- 1.90")</f>
        <v>76.82 +/- 1.90</v>
      </c>
    </row>
    <row r="49">
      <c r="A49" s="6" t="s">
        <v>892</v>
      </c>
      <c r="B49" s="14" t="s">
        <v>993</v>
      </c>
      <c r="C49" s="14" t="s">
        <v>994</v>
      </c>
      <c r="D49" s="14" t="s">
        <v>995</v>
      </c>
      <c r="E49" s="14" t="s">
        <v>996</v>
      </c>
      <c r="F49" s="14" t="s">
        <v>997</v>
      </c>
      <c r="G49" s="14" t="s">
        <v>998</v>
      </c>
      <c r="H49" s="14" t="s">
        <v>999</v>
      </c>
      <c r="I49" s="17" t="str">
        <f t="shared" si="3"/>
        <v>AR5→AR4</v>
      </c>
      <c r="J49" s="18" t="str">
        <f>IFERROR(__xludf.DUMMYFUNCTION("TEXT(VALUE(REGEXEXTRACT(B49,""^[+-]?[0-9]*\.?[0-9]+""))*100,""0.00"")&amp;"" +/- ""&amp;TEXT(VALUE(REGEXEXTRACT(B49,""[0-9]*\.?[0-9]+$""))*100,""0.00"")"),"70.02 +/- 2.93")</f>
        <v>70.02 +/- 2.93</v>
      </c>
      <c r="K49" s="18" t="str">
        <f>IFERROR(__xludf.DUMMYFUNCTION("TEXT(VALUE(REGEXEXTRACT(C49,""^[+-]?[0-9]*\.?[0-9]+""))*100,""0.00"")&amp;"" +/- ""&amp;TEXT(VALUE(REGEXEXTRACT(C49,""[0-9]*\.?[0-9]+$""))*100,""0.00"")"),"65.48 +/- 1.66")</f>
        <v>65.48 +/- 1.66</v>
      </c>
      <c r="L49" s="18" t="str">
        <f>IFERROR(__xludf.DUMMYFUNCTION("TEXT(VALUE(REGEXEXTRACT(D49,""^[+-]?[0-9]*\.?[0-9]+""))*100,""0.00"")&amp;"" +/- ""&amp;TEXT(VALUE(REGEXEXTRACT(D49,""[0-9]*\.?[0-9]+$""))*100,""0.00"")"),"3.73 +/- 8.48")</f>
        <v>3.73 +/- 8.48</v>
      </c>
      <c r="M49" s="18" t="str">
        <f>IFERROR(__xludf.DUMMYFUNCTION("TEXT(VALUE(REGEXEXTRACT(E49,""^[+-]?[0-9]*\.?[0-9]+""))*100,""0.00"")&amp;"" +/- ""&amp;TEXT(VALUE(REGEXEXTRACT(E49,""[0-9]*\.?[0-9]+$""))*100,""0.00"")"),"68.05 +/- 2.11")</f>
        <v>68.05 +/- 2.11</v>
      </c>
      <c r="N49" s="19" t="str">
        <f>IFERROR(__xludf.DUMMYFUNCTION("TEXT(VALUE(REGEXEXTRACT(F49,""^[+-]?[0-9]*\.?[0-9]+""))*100,""0.00"")&amp;"" +/- ""&amp;TEXT(VALUE(REGEXEXTRACT(F49,""[0-9]*\.?[0-9]+$""))*100,""0.00"")"),"73.27 +/- 3.29")</f>
        <v>73.27 +/- 3.29</v>
      </c>
      <c r="O49" s="18" t="str">
        <f>IFERROR(__xludf.DUMMYFUNCTION("TEXT(VALUE(REGEXEXTRACT(G49,""^[+-]?[0-9]*\.?[0-9]+""))*100,""0.00"")&amp;"" +/- ""&amp;TEXT(VALUE(REGEXEXTRACT(G49,""[0-9]*\.?[0-9]+$""))*100,""0.00"")"),"70.59 +/- 3.19")</f>
        <v>70.59 +/- 3.19</v>
      </c>
      <c r="P49" s="18" t="str">
        <f>IFERROR(__xludf.DUMMYFUNCTION("TEXT(VALUE(REGEXEXTRACT(H49,""^[+-]?[0-9]*\.?[0-9]+""))*100,""0.00"")&amp;"" +/- ""&amp;TEXT(VALUE(REGEXEXTRACT(H49,""[0-9]*\.?[0-9]+$""))*100,""0.00"")"),"67.61 +/- 1.67")</f>
        <v>67.61 +/- 1.67</v>
      </c>
    </row>
    <row r="50">
      <c r="A50" s="6" t="s">
        <v>907</v>
      </c>
      <c r="B50" s="14" t="s">
        <v>1007</v>
      </c>
      <c r="C50" s="14" t="s">
        <v>1008</v>
      </c>
      <c r="D50" s="14" t="s">
        <v>686</v>
      </c>
      <c r="E50" s="14" t="s">
        <v>1009</v>
      </c>
      <c r="F50" s="14" t="s">
        <v>1010</v>
      </c>
      <c r="G50" s="14" t="s">
        <v>1011</v>
      </c>
      <c r="H50" s="14" t="s">
        <v>1012</v>
      </c>
      <c r="I50" s="17" t="str">
        <f t="shared" si="3"/>
        <v>AR5→AR6</v>
      </c>
      <c r="J50" s="18" t="str">
        <f>IFERROR(__xludf.DUMMYFUNCTION("TEXT(VALUE(REGEXEXTRACT(B50,""^[+-]?[0-9]*\.?[0-9]+""))*100,""0.00"")&amp;"" +/- ""&amp;TEXT(VALUE(REGEXEXTRACT(B50,""[0-9]*\.?[0-9]+$""))*100,""0.00"")"),"60.09 +/- 4.60")</f>
        <v>60.09 +/- 4.60</v>
      </c>
      <c r="K50" s="19" t="str">
        <f>IFERROR(__xludf.DUMMYFUNCTION("TEXT(VALUE(REGEXEXTRACT(C50,""^[+-]?[0-9]*\.?[0-9]+""))*100,""0.00"")&amp;"" +/- ""&amp;TEXT(VALUE(REGEXEXTRACT(C50,""[0-9]*\.?[0-9]+$""))*100,""0.00"")"),"62.87 +/- 0.41")</f>
        <v>62.87 +/- 0.41</v>
      </c>
      <c r="L50" s="18" t="str">
        <f>IFERROR(__xludf.DUMMYFUNCTION("TEXT(VALUE(REGEXEXTRACT(D50,""^[+-]?[0-9]*\.?[0-9]+""))*100,""0.00"")&amp;"" +/- ""&amp;TEXT(VALUE(REGEXEXTRACT(D50,""[0-9]*\.?[0-9]+$""))*100,""0.00"")"),"0.00 +/- 0.00")</f>
        <v>0.00 +/- 0.00</v>
      </c>
      <c r="M50" s="18" t="str">
        <f>IFERROR(__xludf.DUMMYFUNCTION("TEXT(VALUE(REGEXEXTRACT(E50,""^[+-]?[0-9]*\.?[0-9]+""))*100,""0.00"")&amp;"" +/- ""&amp;TEXT(VALUE(REGEXEXTRACT(E50,""[0-9]*\.?[0-9]+$""))*100,""0.00"")"),"54.77 +/- 3.24")</f>
        <v>54.77 +/- 3.24</v>
      </c>
      <c r="N50" s="18" t="str">
        <f>IFERROR(__xludf.DUMMYFUNCTION("TEXT(VALUE(REGEXEXTRACT(F50,""^[+-]?[0-9]*\.?[0-9]+""))*100,""0.00"")&amp;"" +/- ""&amp;TEXT(VALUE(REGEXEXTRACT(F50,""[0-9]*\.?[0-9]+$""))*100,""0.00"")"),"55.49 +/- 2.61")</f>
        <v>55.49 +/- 2.61</v>
      </c>
      <c r="O50" s="18" t="str">
        <f>IFERROR(__xludf.DUMMYFUNCTION("TEXT(VALUE(REGEXEXTRACT(G50,""^[+-]?[0-9]*\.?[0-9]+""))*100,""0.00"")&amp;"" +/- ""&amp;TEXT(VALUE(REGEXEXTRACT(G50,""[0-9]*\.?[0-9]+$""))*100,""0.00"")"),"58.36 +/- 4.06")</f>
        <v>58.36 +/- 4.06</v>
      </c>
      <c r="P50" s="18" t="str">
        <f>IFERROR(__xludf.DUMMYFUNCTION("TEXT(VALUE(REGEXEXTRACT(H50,""^[+-]?[0-9]*\.?[0-9]+""))*100,""0.00"")&amp;"" +/- ""&amp;TEXT(VALUE(REGEXEXTRACT(H50,""[0-9]*\.?[0-9]+$""))*100,""0.00"")"),"58.49 +/- 4.23")</f>
        <v>58.49 +/- 4.23</v>
      </c>
    </row>
    <row r="51">
      <c r="A51" s="6" t="s">
        <v>922</v>
      </c>
      <c r="B51" s="14" t="s">
        <v>1022</v>
      </c>
      <c r="C51" s="14" t="s">
        <v>1023</v>
      </c>
      <c r="D51" s="14" t="s">
        <v>686</v>
      </c>
      <c r="E51" s="14" t="s">
        <v>1024</v>
      </c>
      <c r="F51" s="14" t="s">
        <v>1025</v>
      </c>
      <c r="G51" s="14" t="s">
        <v>1034</v>
      </c>
      <c r="H51" s="14" t="s">
        <v>1035</v>
      </c>
      <c r="I51" s="17" t="str">
        <f t="shared" si="3"/>
        <v>AR6→AR1</v>
      </c>
      <c r="J51" s="19" t="str">
        <f>IFERROR(__xludf.DUMMYFUNCTION("TEXT(VALUE(REGEXEXTRACT(B51,""^[+-]?[0-9]*\.?[0-9]+""))*100,""0.00"")&amp;"" +/- ""&amp;TEXT(VALUE(REGEXEXTRACT(B51,""[0-9]*\.?[0-9]+$""))*100,""0.00"")"),"64.82 +/- 5.36")</f>
        <v>64.82 +/- 5.36</v>
      </c>
      <c r="K51" s="18" t="str">
        <f>IFERROR(__xludf.DUMMYFUNCTION("TEXT(VALUE(REGEXEXTRACT(C51,""^[+-]?[0-9]*\.?[0-9]+""))*100,""0.00"")&amp;"" +/- ""&amp;TEXT(VALUE(REGEXEXTRACT(C51,""[0-9]*\.?[0-9]+$""))*100,""0.00"")"),"31.42 +/- 11.61")</f>
        <v>31.42 +/- 11.61</v>
      </c>
      <c r="L51" s="18" t="str">
        <f>IFERROR(__xludf.DUMMYFUNCTION("TEXT(VALUE(REGEXEXTRACT(D51,""^[+-]?[0-9]*\.?[0-9]+""))*100,""0.00"")&amp;"" +/- ""&amp;TEXT(VALUE(REGEXEXTRACT(D51,""[0-9]*\.?[0-9]+$""))*100,""0.00"")"),"0.00 +/- 0.00")</f>
        <v>0.00 +/- 0.00</v>
      </c>
      <c r="M51" s="18" t="str">
        <f>IFERROR(__xludf.DUMMYFUNCTION("TEXT(VALUE(REGEXEXTRACT(E51,""^[+-]?[0-9]*\.?[0-9]+""))*100,""0.00"")&amp;"" +/- ""&amp;TEXT(VALUE(REGEXEXTRACT(E51,""[0-9]*\.?[0-9]+$""))*100,""0.00"")"),"57.55 +/- 6.12")</f>
        <v>57.55 +/- 6.12</v>
      </c>
      <c r="N51" s="18" t="str">
        <f>IFERROR(__xludf.DUMMYFUNCTION("TEXT(VALUE(REGEXEXTRACT(F51,""^[+-]?[0-9]*\.?[0-9]+""))*100,""0.00"")&amp;"" +/- ""&amp;TEXT(VALUE(REGEXEXTRACT(F51,""[0-9]*\.?[0-9]+$""))*100,""0.00"")"),"60.61 +/- 6.88")</f>
        <v>60.61 +/- 6.88</v>
      </c>
      <c r="O51" s="18" t="str">
        <f>IFERROR(__xludf.DUMMYFUNCTION("TEXT(VALUE(REGEXEXTRACT(G51,""^[+-]?[0-9]*\.?[0-9]+""))*100,""0.00"")&amp;"" +/- ""&amp;TEXT(VALUE(REGEXEXTRACT(G51,""[0-9]*\.?[0-9]+$""))*100,""0.00"")"),"63.15 +/- 5.61")</f>
        <v>63.15 +/- 5.61</v>
      </c>
      <c r="P51" s="18" t="str">
        <f>IFERROR(__xludf.DUMMYFUNCTION("TEXT(VALUE(REGEXEXTRACT(H51,""^[+-]?[0-9]*\.?[0-9]+""))*100,""0.00"")&amp;"" +/- ""&amp;TEXT(VALUE(REGEXEXTRACT(H51,""[0-9]*\.?[0-9]+$""))*100,""0.00"")"),"63.47 +/- 4.65")</f>
        <v>63.47 +/- 4.65</v>
      </c>
    </row>
    <row r="52">
      <c r="A52" s="6" t="s">
        <v>944</v>
      </c>
      <c r="B52" s="14" t="s">
        <v>1067</v>
      </c>
      <c r="C52" s="14" t="s">
        <v>1068</v>
      </c>
      <c r="D52" s="14" t="s">
        <v>1069</v>
      </c>
      <c r="E52" s="14" t="s">
        <v>1070</v>
      </c>
      <c r="F52" s="14" t="s">
        <v>1071</v>
      </c>
      <c r="G52" s="14" t="s">
        <v>1072</v>
      </c>
      <c r="H52" s="14" t="s">
        <v>1073</v>
      </c>
      <c r="I52" s="17" t="str">
        <f t="shared" si="3"/>
        <v>AR6→AR3</v>
      </c>
      <c r="J52" s="18" t="str">
        <f>IFERROR(__xludf.DUMMYFUNCTION("TEXT(VALUE(REGEXEXTRACT(B52,""^[+-]?[0-9]*\.?[0-9]+""))*100,""0.00"")&amp;"" +/- ""&amp;TEXT(VALUE(REGEXEXTRACT(B52,""[0-9]*\.?[0-9]+$""))*100,""0.00"")"),"68.95 +/- 2.71")</f>
        <v>68.95 +/- 2.71</v>
      </c>
      <c r="K52" s="18" t="str">
        <f>IFERROR(__xludf.DUMMYFUNCTION("TEXT(VALUE(REGEXEXTRACT(C52,""^[+-]?[0-9]*\.?[0-9]+""))*100,""0.00"")&amp;"" +/- ""&amp;TEXT(VALUE(REGEXEXTRACT(C52,""[0-9]*\.?[0-9]+$""))*100,""0.00"")"),"61.19 +/- 9.44")</f>
        <v>61.19 +/- 9.44</v>
      </c>
      <c r="L52" s="18" t="str">
        <f>IFERROR(__xludf.DUMMYFUNCTION("TEXT(VALUE(REGEXEXTRACT(D52,""^[+-]?[0-9]*\.?[0-9]+""))*100,""0.00"")&amp;"" +/- ""&amp;TEXT(VALUE(REGEXEXTRACT(D52,""[0-9]*\.?[0-9]+$""))*100,""0.00"")"),"6.31 +/- 14.56")</f>
        <v>6.31 +/- 14.56</v>
      </c>
      <c r="M52" s="18" t="str">
        <f>IFERROR(__xludf.DUMMYFUNCTION("TEXT(VALUE(REGEXEXTRACT(E52,""^[+-]?[0-9]*\.?[0-9]+""))*100,""0.00"")&amp;"" +/- ""&amp;TEXT(VALUE(REGEXEXTRACT(E52,""[0-9]*\.?[0-9]+$""))*100,""0.00"")"),"64.78 +/- 5.31")</f>
        <v>64.78 +/- 5.31</v>
      </c>
      <c r="N52" s="18" t="str">
        <f>IFERROR(__xludf.DUMMYFUNCTION("TEXT(VALUE(REGEXEXTRACT(F52,""^[+-]?[0-9]*\.?[0-9]+""))*100,""0.00"")&amp;"" +/- ""&amp;TEXT(VALUE(REGEXEXTRACT(F52,""[0-9]*\.?[0-9]+$""))*100,""0.00"")"),"65.78 +/- 3.53")</f>
        <v>65.78 +/- 3.53</v>
      </c>
      <c r="O52" s="18" t="str">
        <f>IFERROR(__xludf.DUMMYFUNCTION("TEXT(VALUE(REGEXEXTRACT(G52,""^[+-]?[0-9]*\.?[0-9]+""))*100,""0.00"")&amp;"" +/- ""&amp;TEXT(VALUE(REGEXEXTRACT(G52,""[0-9]*\.?[0-9]+$""))*100,""0.00"")"),"66.66 +/- 3.46")</f>
        <v>66.66 +/- 3.46</v>
      </c>
      <c r="P52" s="19" t="str">
        <f>IFERROR(__xludf.DUMMYFUNCTION("TEXT(VALUE(REGEXEXTRACT(H52,""^[+-]?[0-9]*\.?[0-9]+""))*100,""0.00"")&amp;"" +/- ""&amp;TEXT(VALUE(REGEXEXTRACT(H52,""[0-9]*\.?[0-9]+$""))*100,""0.00"")"),"80.99 +/- 3.25")</f>
        <v>80.99 +/- 3.25</v>
      </c>
    </row>
    <row r="53">
      <c r="A53" s="6" t="s">
        <v>959</v>
      </c>
      <c r="B53" s="14" t="s">
        <v>1074</v>
      </c>
      <c r="C53" s="14" t="s">
        <v>1075</v>
      </c>
      <c r="D53" s="14" t="s">
        <v>1076</v>
      </c>
      <c r="E53" s="14" t="s">
        <v>1077</v>
      </c>
      <c r="F53" s="14" t="s">
        <v>1078</v>
      </c>
      <c r="G53" s="14" t="s">
        <v>1079</v>
      </c>
      <c r="H53" s="14" t="s">
        <v>1080</v>
      </c>
      <c r="I53" s="17" t="str">
        <f t="shared" si="3"/>
        <v>AR6→AR4</v>
      </c>
      <c r="J53" s="19" t="str">
        <f>IFERROR(__xludf.DUMMYFUNCTION("TEXT(VALUE(REGEXEXTRACT(B53,""^[+-]?[0-9]*\.?[0-9]+""))*100,""0.00"")&amp;"" +/- ""&amp;TEXT(VALUE(REGEXEXTRACT(B53,""[0-9]*\.?[0-9]+$""))*100,""0.00"")"),"57.90 +/- 3.60")</f>
        <v>57.90 +/- 3.60</v>
      </c>
      <c r="K53" s="18" t="str">
        <f>IFERROR(__xludf.DUMMYFUNCTION("TEXT(VALUE(REGEXEXTRACT(C53,""^[+-]?[0-9]*\.?[0-9]+""))*100,""0.00"")&amp;"" +/- ""&amp;TEXT(VALUE(REGEXEXTRACT(C53,""[0-9]*\.?[0-9]+$""))*100,""0.00"")"),"2.23 +/- 6.81")</f>
        <v>2.23 +/- 6.81</v>
      </c>
      <c r="L53" s="18" t="str">
        <f>IFERROR(__xludf.DUMMYFUNCTION("TEXT(VALUE(REGEXEXTRACT(D53,""^[+-]?[0-9]*\.?[0-9]+""))*100,""0.00"")&amp;"" +/- ""&amp;TEXT(VALUE(REGEXEXTRACT(D53,""[0-9]*\.?[0-9]+$""))*100,""0.00"")"),"17.63 +/- 11.25")</f>
        <v>17.63 +/- 11.25</v>
      </c>
      <c r="M53" s="18" t="str">
        <f>IFERROR(__xludf.DUMMYFUNCTION("TEXT(VALUE(REGEXEXTRACT(E53,""^[+-]?[0-9]*\.?[0-9]+""))*100,""0.00"")&amp;"" +/- ""&amp;TEXT(VALUE(REGEXEXTRACT(E53,""[0-9]*\.?[0-9]+$""))*100,""0.00"")"),"48.11 +/- 4.92")</f>
        <v>48.11 +/- 4.92</v>
      </c>
      <c r="N53" s="18" t="str">
        <f>IFERROR(__xludf.DUMMYFUNCTION("TEXT(VALUE(REGEXEXTRACT(F53,""^[+-]?[0-9]*\.?[0-9]+""))*100,""0.00"")&amp;"" +/- ""&amp;TEXT(VALUE(REGEXEXTRACT(F53,""[0-9]*\.?[0-9]+$""))*100,""0.00"")"),"57.68 +/- 3.55")</f>
        <v>57.68 +/- 3.55</v>
      </c>
      <c r="O53" s="18" t="str">
        <f>IFERROR(__xludf.DUMMYFUNCTION("TEXT(VALUE(REGEXEXTRACT(G53,""^[+-]?[0-9]*\.?[0-9]+""))*100,""0.00"")&amp;"" +/- ""&amp;TEXT(VALUE(REGEXEXTRACT(G53,""[0-9]*\.?[0-9]+$""))*100,""0.00"")"),"57.13 +/- 4.20")</f>
        <v>57.13 +/- 4.20</v>
      </c>
      <c r="P53" s="18" t="str">
        <f>IFERROR(__xludf.DUMMYFUNCTION("TEXT(VALUE(REGEXEXTRACT(H53,""^[+-]?[0-9]*\.?[0-9]+""))*100,""0.00"")&amp;"" +/- ""&amp;TEXT(VALUE(REGEXEXTRACT(H53,""[0-9]*\.?[0-9]+$""))*100,""0.00"")"),"57.69 +/- 3.42")</f>
        <v>57.69 +/- 3.42</v>
      </c>
    </row>
    <row r="54">
      <c r="A54" s="6" t="s">
        <v>974</v>
      </c>
      <c r="B54" s="14" t="s">
        <v>1081</v>
      </c>
      <c r="C54" s="14" t="s">
        <v>1082</v>
      </c>
      <c r="D54" s="14" t="s">
        <v>1083</v>
      </c>
      <c r="E54" s="14" t="s">
        <v>1084</v>
      </c>
      <c r="F54" s="14" t="s">
        <v>1085</v>
      </c>
      <c r="G54" s="14" t="s">
        <v>1086</v>
      </c>
      <c r="H54" s="14" t="s">
        <v>1087</v>
      </c>
      <c r="I54" s="17" t="str">
        <f t="shared" si="3"/>
        <v>AR6→AR5</v>
      </c>
      <c r="J54" s="18" t="str">
        <f>IFERROR(__xludf.DUMMYFUNCTION("TEXT(VALUE(REGEXEXTRACT(B54,""^[+-]?[0-9]*\.?[0-9]+""))*100,""0.00"")&amp;"" +/- ""&amp;TEXT(VALUE(REGEXEXTRACT(B54,""[0-9]*\.?[0-9]+$""))*100,""0.00"")"),"77.21 +/- 5.92")</f>
        <v>77.21 +/- 5.92</v>
      </c>
      <c r="K54" s="18" t="str">
        <f>IFERROR(__xludf.DUMMYFUNCTION("TEXT(VALUE(REGEXEXTRACT(C54,""^[+-]?[0-9]*\.?[0-9]+""))*100,""0.00"")&amp;"" +/- ""&amp;TEXT(VALUE(REGEXEXTRACT(C54,""[0-9]*\.?[0-9]+$""))*100,""0.00"")"),"57.40 +/- 6.82")</f>
        <v>57.40 +/- 6.82</v>
      </c>
      <c r="L54" s="18" t="str">
        <f>IFERROR(__xludf.DUMMYFUNCTION("TEXT(VALUE(REGEXEXTRACT(D54,""^[+-]?[0-9]*\.?[0-9]+""))*100,""0.00"")&amp;"" +/- ""&amp;TEXT(VALUE(REGEXEXTRACT(D54,""[0-9]*\.?[0-9]+$""))*100,""0.00"")"),"14.25 +/- 17.92")</f>
        <v>14.25 +/- 17.92</v>
      </c>
      <c r="M54" s="18" t="str">
        <f>IFERROR(__xludf.DUMMYFUNCTION("TEXT(VALUE(REGEXEXTRACT(E54,""^[+-]?[0-9]*\.?[0-9]+""))*100,""0.00"")&amp;"" +/- ""&amp;TEXT(VALUE(REGEXEXTRACT(E54,""[0-9]*\.?[0-9]+$""))*100,""0.00"")"),"75.75 +/- 4.42")</f>
        <v>75.75 +/- 4.42</v>
      </c>
      <c r="N54" s="19" t="str">
        <f>IFERROR(__xludf.DUMMYFUNCTION("TEXT(VALUE(REGEXEXTRACT(F54,""^[+-]?[0-9]*\.?[0-9]+""))*100,""0.00"")&amp;"" +/- ""&amp;TEXT(VALUE(REGEXEXTRACT(F54,""[0-9]*\.?[0-9]+$""))*100,""0.00"")"),"80.08 +/- 4.33")</f>
        <v>80.08 +/- 4.33</v>
      </c>
      <c r="O54" s="18" t="str">
        <f>IFERROR(__xludf.DUMMYFUNCTION("TEXT(VALUE(REGEXEXTRACT(G54,""^[+-]?[0-9]*\.?[0-9]+""))*100,""0.00"")&amp;"" +/- ""&amp;TEXT(VALUE(REGEXEXTRACT(G54,""[0-9]*\.?[0-9]+$""))*100,""0.00"")"),"78.23 +/- 4.96")</f>
        <v>78.23 +/- 4.96</v>
      </c>
      <c r="P54" s="18" t="str">
        <f>IFERROR(__xludf.DUMMYFUNCTION("TEXT(VALUE(REGEXEXTRACT(H54,""^[+-]?[0-9]*\.?[0-9]+""))*100,""0.00"")&amp;"" +/- ""&amp;TEXT(VALUE(REGEXEXTRACT(H54,""[0-9]*\.?[0-9]+$""))*100,""0.00"")"),"76.18 +/- 4.95")</f>
        <v>76.18 +/- 4.95</v>
      </c>
    </row>
    <row r="55">
      <c r="A55" s="6" t="s">
        <v>371</v>
      </c>
      <c r="B55" s="14"/>
      <c r="C55" s="27" t="s">
        <v>392</v>
      </c>
      <c r="D55" s="27" t="s">
        <v>487</v>
      </c>
      <c r="E55" s="27" t="s">
        <v>1096</v>
      </c>
      <c r="F55" s="27" t="s">
        <v>395</v>
      </c>
      <c r="G55" s="27" t="s">
        <v>992</v>
      </c>
      <c r="H55" s="27" t="s">
        <v>488</v>
      </c>
      <c r="I55" s="17" t="str">
        <f t="shared" si="3"/>
        <v>W/T/L</v>
      </c>
      <c r="J55" s="18"/>
      <c r="K55" s="22" t="str">
        <f>IFERROR(__xludf.DUMMYFUNCTION("SUM(ARRAYFORMULA(IFERROR(
  (VALUE(REGEXEXTRACT($J$35:$J$54,""^[+-]?[0-9]*\.?[0-9]+""))&gt;
   VALUE(REGEXEXTRACT(K$35:K$54,""^[+-]?[0-9]*\.?[0-9]+"")))*1,0)))
&amp;""/""&amp;
SUM(ARRAYFORMULA(IFERROR(
  (VALUE(REGEXEXTRACT($J$35:$J$54,""^[+-]?[0-9]*\.?[0-9]+""))=
 "&amp;"  VALUE(REGEXEXTRACT(K$35:K$54,""^[+-]?[0-9]*\.?[0-9]+"")))*1,0)))
&amp;""/""&amp;
SUM(ARRAYFORMULA(IFERROR(
  (VALUE(REGEXEXTRACT($J$35:$J$54,""^[+-]?[0-9]*\.?[0-9]+""))&lt;
   VALUE(REGEXEXTRACT(K$35:K$54,""^[+-]?[0-9]*\.?[0-9]+"")))*1,0)))"),"14/0/6")</f>
        <v>14/0/6</v>
      </c>
      <c r="L55" s="22" t="str">
        <f>IFERROR(__xludf.DUMMYFUNCTION("SUM(ARRAYFORMULA(IFERROR(
  (VALUE(REGEXEXTRACT($J$35:$J$54,""^[+-]?[0-9]*\.?[0-9]+""))&gt;
   VALUE(REGEXEXTRACT(L$35:L$54,""^[+-]?[0-9]*\.?[0-9]+"")))*1,0)))
&amp;""/""&amp;
SUM(ARRAYFORMULA(IFERROR(
  (VALUE(REGEXEXTRACT($J$35:$J$54,""^[+-]?[0-9]*\.?[0-9]+""))=
 "&amp;"  VALUE(REGEXEXTRACT(L$35:L$54,""^[+-]?[0-9]*\.?[0-9]+"")))*1,0)))
&amp;""/""&amp;
SUM(ARRAYFORMULA(IFERROR(
  (VALUE(REGEXEXTRACT($J$35:$J$54,""^[+-]?[0-9]*\.?[0-9]+""))&lt;
   VALUE(REGEXEXTRACT(L$35:L$54,""^[+-]?[0-9]*\.?[0-9]+"")))*1,0)))"),"20/0/0")</f>
        <v>20/0/0</v>
      </c>
      <c r="M55" s="22" t="str">
        <f>IFERROR(__xludf.DUMMYFUNCTION("SUM(ARRAYFORMULA(IFERROR(
  (VALUE(REGEXEXTRACT($J$35:$J$54,""^[+-]?[0-9]*\.?[0-9]+""))&gt;
   VALUE(REGEXEXTRACT(M$35:M$54,""^[+-]?[0-9]*\.?[0-9]+"")))*1,0)))
&amp;""/""&amp;
SUM(ARRAYFORMULA(IFERROR(
  (VALUE(REGEXEXTRACT($J$35:$J$54,""^[+-]?[0-9]*\.?[0-9]+""))=
 "&amp;"  VALUE(REGEXEXTRACT(M$35:M$54,""^[+-]?[0-9]*\.?[0-9]+"")))*1,0)))
&amp;""/""&amp;
SUM(ARRAYFORMULA(IFERROR(
  (VALUE(REGEXEXTRACT($J$35:$J$54,""^[+-]?[0-9]*\.?[0-9]+""))&lt;
   VALUE(REGEXEXTRACT(M$35:M$54,""^[+-]?[0-9]*\.?[0-9]+"")))*1,0)))"),"15/0/5")</f>
        <v>15/0/5</v>
      </c>
      <c r="N55" s="22" t="str">
        <f>IFERROR(__xludf.DUMMYFUNCTION("SUM(ARRAYFORMULA(IFERROR(
  (VALUE(REGEXEXTRACT($J$35:$J$54,""^[+-]?[0-9]*\.?[0-9]+""))&gt;
   VALUE(REGEXEXTRACT(N$35:N$54,""^[+-]?[0-9]*\.?[0-9]+"")))*1,0)))
&amp;""/""&amp;
SUM(ARRAYFORMULA(IFERROR(
  (VALUE(REGEXEXTRACT($J$35:$J$54,""^[+-]?[0-9]*\.?[0-9]+""))=
 "&amp;"  VALUE(REGEXEXTRACT(N$35:N$54,""^[+-]?[0-9]*\.?[0-9]+"")))*1,0)))
&amp;""/""&amp;
SUM(ARRAYFORMULA(IFERROR(
  (VALUE(REGEXEXTRACT($J$35:$J$54,""^[+-]?[0-9]*\.?[0-9]+""))&lt;
   VALUE(REGEXEXTRACT(N$35:N$54,""^[+-]?[0-9]*\.?[0-9]+"")))*1,0)))"),"9/0/11")</f>
        <v>9/0/11</v>
      </c>
      <c r="O55" s="22" t="str">
        <f>IFERROR(__xludf.DUMMYFUNCTION("SUM(ARRAYFORMULA(IFERROR(
  (VALUE(REGEXEXTRACT($J$35:$J$54,""^[+-]?[0-9]*\.?[0-9]+""))&gt;
   VALUE(REGEXEXTRACT(O$35:O$54,""^[+-]?[0-9]*\.?[0-9]+"")))*1,0)))
&amp;""/""&amp;
SUM(ARRAYFORMULA(IFERROR(
  (VALUE(REGEXEXTRACT($J$35:$J$54,""^[+-]?[0-9]*\.?[0-9]+""))=
 "&amp;"  VALUE(REGEXEXTRACT(O$35:O$54,""^[+-]?[0-9]*\.?[0-9]+"")))*1,0)))
&amp;""/""&amp;
SUM(ARRAYFORMULA(IFERROR(
  (VALUE(REGEXEXTRACT($J$35:$J$54,""^[+-]?[0-9]*\.?[0-9]+""))&lt;
   VALUE(REGEXEXTRACT(O$35:O$54,""^[+-]?[0-9]*\.?[0-9]+"")))*1,0)))"),"12/0/8")</f>
        <v>12/0/8</v>
      </c>
      <c r="P55" s="22" t="str">
        <f>IFERROR(__xludf.DUMMYFUNCTION("SUM(ARRAYFORMULA(IFERROR(
  (VALUE(REGEXEXTRACT($J$35:$J$54,""^[+-]?[0-9]*\.?[0-9]+""))&gt;
   VALUE(REGEXEXTRACT(P$35:P$54,""^[+-]?[0-9]*\.?[0-9]+"")))*1,0)))
&amp;""/""&amp;
SUM(ARRAYFORMULA(IFERROR(
  (VALUE(REGEXEXTRACT($J$35:$J$54,""^[+-]?[0-9]*\.?[0-9]+""))=
 "&amp;"  VALUE(REGEXEXTRACT(P$35:P$54,""^[+-]?[0-9]*\.?[0-9]+"")))*1,0)))
&amp;""/""&amp;
SUM(ARRAYFORMULA(IFERROR(
  (VALUE(REGEXEXTRACT($J$35:$J$54,""^[+-]?[0-9]*\.?[0-9]+""))&lt;
   VALUE(REGEXEXTRACT(P$35:P$54,""^[+-]?[0-9]*\.?[0-9]+"")))*1,0)))"),"13/0/7")</f>
        <v>13/0/7</v>
      </c>
    </row>
    <row r="56">
      <c r="A56" s="6" t="s">
        <v>489</v>
      </c>
      <c r="B56" s="27" t="s">
        <v>1113</v>
      </c>
      <c r="C56" s="27" t="s">
        <v>1114</v>
      </c>
      <c r="D56" s="27" t="s">
        <v>1116</v>
      </c>
      <c r="E56" s="27" t="s">
        <v>1118</v>
      </c>
      <c r="F56" s="27" t="s">
        <v>1133</v>
      </c>
      <c r="G56" s="27" t="s">
        <v>1134</v>
      </c>
      <c r="H56" s="27" t="s">
        <v>1135</v>
      </c>
      <c r="I56" s="17" t="str">
        <f t="shared" si="3"/>
        <v>Average (%)</v>
      </c>
      <c r="J56" s="18">
        <f>IFERROR(__xludf.DUMMYFUNCTION("ROUND(AVERAGE(ARRAYFORMULA(IFERROR(VALUE(REGEXEXTRACT(J$35:J$54,""^[+-]?[0-9]*\.?[0-9]+"")),""""))),2)"),64.29)</f>
        <v>64.29</v>
      </c>
      <c r="K56" s="18">
        <f>IFERROR(__xludf.DUMMYFUNCTION("ROUND(AVERAGE(ARRAYFORMULA(IFERROR(VALUE(REGEXEXTRACT(K$35:K$54,""^[+-]?[0-9]*\.?[0-9]+"")),""""))),2)"),48.31)</f>
        <v>48.31</v>
      </c>
      <c r="L56" s="18">
        <f>IFERROR(__xludf.DUMMYFUNCTION("ROUND(AVERAGE(ARRAYFORMULA(IFERROR(VALUE(REGEXEXTRACT(L$35:L$54,""^[+-]?[0-9]*\.?[0-9]+"")),""""))),2)"),17.31)</f>
        <v>17.31</v>
      </c>
      <c r="M56" s="18">
        <f>IFERROR(__xludf.DUMMYFUNCTION("ROUND(AVERAGE(ARRAYFORMULA(IFERROR(VALUE(REGEXEXTRACT(M$35:M$54,""^[+-]?[0-9]*\.?[0-9]+"")),""""))),2)"),59.23)</f>
        <v>59.23</v>
      </c>
      <c r="N56" s="18">
        <f>IFERROR(__xludf.DUMMYFUNCTION("ROUND(AVERAGE(ARRAYFORMULA(IFERROR(VALUE(REGEXEXTRACT(N$35:N$54,""^[+-]?[0-9]*\.?[0-9]+"")),""""))),2)"),63.58)</f>
        <v>63.58</v>
      </c>
      <c r="O56" s="18">
        <f>IFERROR(__xludf.DUMMYFUNCTION("ROUND(AVERAGE(ARRAYFORMULA(IFERROR(VALUE(REGEXEXTRACT(O$35:O$54,""^[+-]?[0-9]*\.?[0-9]+"")),""""))),2)"),63.62)</f>
        <v>63.62</v>
      </c>
      <c r="P56" s="18">
        <f>IFERROR(__xludf.DUMMYFUNCTION("ROUND(AVERAGE(ARRAYFORMULA(IFERROR(VALUE(REGEXEXTRACT(P$35:P$54,""^[+-]?[0-9]*\.?[0-9]+"")),""""))),2)"),63.5)</f>
        <v>63.5</v>
      </c>
    </row>
    <row r="57">
      <c r="A57" s="4" t="s">
        <v>1013</v>
      </c>
      <c r="B57" s="28"/>
      <c r="C57" s="28"/>
      <c r="D57" s="28"/>
      <c r="E57" s="28"/>
      <c r="F57" s="28"/>
      <c r="G57" s="28"/>
      <c r="H57" s="28"/>
      <c r="I57" s="4" t="s">
        <v>1013</v>
      </c>
    </row>
    <row r="58">
      <c r="A58" s="6" t="s">
        <v>1014</v>
      </c>
      <c r="B58" s="14" t="s">
        <v>1151</v>
      </c>
      <c r="C58" s="14" t="s">
        <v>1152</v>
      </c>
      <c r="D58" s="14" t="s">
        <v>1153</v>
      </c>
      <c r="E58" s="14" t="s">
        <v>1154</v>
      </c>
      <c r="F58" s="14" t="s">
        <v>1155</v>
      </c>
      <c r="G58" s="14" t="s">
        <v>1156</v>
      </c>
      <c r="H58" s="14" t="s">
        <v>1157</v>
      </c>
      <c r="I58" s="17" t="str">
        <f t="shared" ref="I58:I81" si="4">A58</f>
        <v>EQ→JDT</v>
      </c>
      <c r="J58" s="19" t="str">
        <f>IFERROR(__xludf.DUMMYFUNCTION("TEXT(VALUE(REGEXEXTRACT(B58,""^[+-]?[0-9]*\.?[0-9]+""))*100,""0.00"")&amp;"" +/- ""&amp;TEXT(VALUE(REGEXEXTRACT(B58,""[0-9]*\.?[0-9]+$""))*100,""0.00"")"),"74.81 +/- 0.71")</f>
        <v>74.81 +/- 0.71</v>
      </c>
      <c r="K58" s="18" t="str">
        <f>IFERROR(__xludf.DUMMYFUNCTION("TEXT(VALUE(REGEXEXTRACT(C58,""^[+-]?[0-9]*\.?[0-9]+""))*100,""0.00"")&amp;"" +/- ""&amp;TEXT(VALUE(REGEXEXTRACT(C58,""[0-9]*\.?[0-9]+$""))*100,""0.00"")"),"73.85 +/- 0.90")</f>
        <v>73.85 +/- 0.90</v>
      </c>
      <c r="L58" s="18" t="str">
        <f>IFERROR(__xludf.DUMMYFUNCTION("TEXT(VALUE(REGEXEXTRACT(D58,""^[+-]?[0-9]*\.?[0-9]+""))*100,""0.00"")&amp;"" +/- ""&amp;TEXT(VALUE(REGEXEXTRACT(D58,""[0-9]*\.?[0-9]+$""))*100,""0.00"")"),"71.83 +/- 1.09")</f>
        <v>71.83 +/- 1.09</v>
      </c>
      <c r="M58" s="18" t="str">
        <f>IFERROR(__xludf.DUMMYFUNCTION("TEXT(VALUE(REGEXEXTRACT(E58,""^[+-]?[0-9]*\.?[0-9]+""))*100,""0.00"")&amp;"" +/- ""&amp;TEXT(VALUE(REGEXEXTRACT(E58,""[0-9]*\.?[0-9]+$""))*100,""0.00"")"),"71.92 +/- 1.60")</f>
        <v>71.92 +/- 1.60</v>
      </c>
      <c r="N58" s="18" t="str">
        <f>IFERROR(__xludf.DUMMYFUNCTION("TEXT(VALUE(REGEXEXTRACT(F58,""^[+-]?[0-9]*\.?[0-9]+""))*100,""0.00"")&amp;"" +/- ""&amp;TEXT(VALUE(REGEXEXTRACT(F58,""[0-9]*\.?[0-9]+$""))*100,""0.00"")"),"64.80 +/- 3.07")</f>
        <v>64.80 +/- 3.07</v>
      </c>
      <c r="O58" s="18" t="str">
        <f>IFERROR(__xludf.DUMMYFUNCTION("TEXT(VALUE(REGEXEXTRACT(G58,""^[+-]?[0-9]*\.?[0-9]+""))*100,""0.00"")&amp;"" +/- ""&amp;TEXT(VALUE(REGEXEXTRACT(G58,""[0-9]*\.?[0-9]+$""))*100,""0.00"")"),"70.13 +/- 1.44")</f>
        <v>70.13 +/- 1.44</v>
      </c>
      <c r="P58" s="18" t="str">
        <f>IFERROR(__xludf.DUMMYFUNCTION("TEXT(VALUE(REGEXEXTRACT(H58,""^[+-]?[0-9]*\.?[0-9]+""))*100,""0.00"")&amp;"" +/- ""&amp;TEXT(VALUE(REGEXEXTRACT(H58,""[0-9]*\.?[0-9]+$""))*100,""0.00"")"),"71.06 +/- 1.39")</f>
        <v>71.06 +/- 1.39</v>
      </c>
    </row>
    <row r="59">
      <c r="A59" s="6" t="s">
        <v>1026</v>
      </c>
      <c r="B59" s="14" t="s">
        <v>1158</v>
      </c>
      <c r="C59" s="14" t="s">
        <v>1159</v>
      </c>
      <c r="D59" s="14" t="s">
        <v>1160</v>
      </c>
      <c r="E59" s="14" t="s">
        <v>1161</v>
      </c>
      <c r="F59" s="14" t="s">
        <v>1162</v>
      </c>
      <c r="G59" s="14" t="s">
        <v>1163</v>
      </c>
      <c r="H59" s="14" t="s">
        <v>1164</v>
      </c>
      <c r="I59" s="17" t="str">
        <f t="shared" si="4"/>
        <v>EQ→LC</v>
      </c>
      <c r="J59" s="19" t="str">
        <f>IFERROR(__xludf.DUMMYFUNCTION("TEXT(VALUE(REGEXEXTRACT(B59,""^[+-]?[0-9]*\.?[0-9]+""))*100,""0.00"")&amp;"" +/- ""&amp;TEXT(VALUE(REGEXEXTRACT(B59,""[0-9]*\.?[0-9]+$""))*100,""0.00"")"),"73.58 +/- 1.28")</f>
        <v>73.58 +/- 1.28</v>
      </c>
      <c r="K59" s="18" t="str">
        <f>IFERROR(__xludf.DUMMYFUNCTION("TEXT(VALUE(REGEXEXTRACT(C59,""^[+-]?[0-9]*\.?[0-9]+""))*100,""0.00"")&amp;"" +/- ""&amp;TEXT(VALUE(REGEXEXTRACT(C59,""[0-9]*\.?[0-9]+$""))*100,""0.00"")"),"73.02 +/- 1.69")</f>
        <v>73.02 +/- 1.69</v>
      </c>
      <c r="L59" s="18" t="str">
        <f>IFERROR(__xludf.DUMMYFUNCTION("TEXT(VALUE(REGEXEXTRACT(D59,""^[+-]?[0-9]*\.?[0-9]+""))*100,""0.00"")&amp;"" +/- ""&amp;TEXT(VALUE(REGEXEXTRACT(D59,""[0-9]*\.?[0-9]+$""))*100,""0.00"")"),"64.38 +/- 1.03")</f>
        <v>64.38 +/- 1.03</v>
      </c>
      <c r="M59" s="18" t="str">
        <f>IFERROR(__xludf.DUMMYFUNCTION("TEXT(VALUE(REGEXEXTRACT(E59,""^[+-]?[0-9]*\.?[0-9]+""))*100,""0.00"")&amp;"" +/- ""&amp;TEXT(VALUE(REGEXEXTRACT(E59,""[0-9]*\.?[0-9]+$""))*100,""0.00"")"),"70.93 +/- 2.16")</f>
        <v>70.93 +/- 2.16</v>
      </c>
      <c r="N59" s="18" t="str">
        <f>IFERROR(__xludf.DUMMYFUNCTION("TEXT(VALUE(REGEXEXTRACT(F59,""^[+-]?[0-9]*\.?[0-9]+""))*100,""0.00"")&amp;"" +/- ""&amp;TEXT(VALUE(REGEXEXTRACT(F59,""[0-9]*\.?[0-9]+$""))*100,""0.00"")"),"57.17 +/- 5.33")</f>
        <v>57.17 +/- 5.33</v>
      </c>
      <c r="O59" s="18" t="str">
        <f>IFERROR(__xludf.DUMMYFUNCTION("TEXT(VALUE(REGEXEXTRACT(G59,""^[+-]?[0-9]*\.?[0-9]+""))*100,""0.00"")&amp;"" +/- ""&amp;TEXT(VALUE(REGEXEXTRACT(G59,""[0-9]*\.?[0-9]+$""))*100,""0.00"")"),"66.29 +/- 4.00")</f>
        <v>66.29 +/- 4.00</v>
      </c>
      <c r="P59" s="18" t="str">
        <f>IFERROR(__xludf.DUMMYFUNCTION("TEXT(VALUE(REGEXEXTRACT(H59,""^[+-]?[0-9]*\.?[0-9]+""))*100,""0.00"")&amp;"" +/- ""&amp;TEXT(VALUE(REGEXEXTRACT(H59,""[0-9]*\.?[0-9]+$""))*100,""0.00"")"),"72.76 +/- 1.39")</f>
        <v>72.76 +/- 1.39</v>
      </c>
    </row>
    <row r="60">
      <c r="A60" s="6" t="s">
        <v>1036</v>
      </c>
      <c r="B60" s="14" t="s">
        <v>1165</v>
      </c>
      <c r="C60" s="14" t="s">
        <v>1166</v>
      </c>
      <c r="D60" s="14" t="s">
        <v>1167</v>
      </c>
      <c r="E60" s="14" t="s">
        <v>1168</v>
      </c>
      <c r="F60" s="14" t="s">
        <v>1169</v>
      </c>
      <c r="G60" s="14" t="s">
        <v>1170</v>
      </c>
      <c r="H60" s="14" t="s">
        <v>1171</v>
      </c>
      <c r="I60" s="17" t="str">
        <f t="shared" si="4"/>
        <v>EQ→ML</v>
      </c>
      <c r="J60" s="18" t="str">
        <f>IFERROR(__xludf.DUMMYFUNCTION("TEXT(VALUE(REGEXEXTRACT(B60,""^[+-]?[0-9]*\.?[0-9]+""))*100,""0.00"")&amp;"" +/- ""&amp;TEXT(VALUE(REGEXEXTRACT(B60,""[0-9]*\.?[0-9]+$""))*100,""0.00"")"),"58.07 +/- 1.37")</f>
        <v>58.07 +/- 1.37</v>
      </c>
      <c r="K60" s="18" t="str">
        <f>IFERROR(__xludf.DUMMYFUNCTION("TEXT(VALUE(REGEXEXTRACT(C60,""^[+-]?[0-9]*\.?[0-9]+""))*100,""0.00"")&amp;"" +/- ""&amp;TEXT(VALUE(REGEXEXTRACT(C60,""[0-9]*\.?[0-9]+$""))*100,""0.00"")"),"59.65 +/- 0.94")</f>
        <v>59.65 +/- 0.94</v>
      </c>
      <c r="L60" s="18" t="str">
        <f>IFERROR(__xludf.DUMMYFUNCTION("TEXT(VALUE(REGEXEXTRACT(D60,""^[+-]?[0-9]*\.?[0-9]+""))*100,""0.00"")&amp;"" +/- ""&amp;TEXT(VALUE(REGEXEXTRACT(D60,""[0-9]*\.?[0-9]+$""))*100,""0.00"")"),"58.62 +/- 1.13")</f>
        <v>58.62 +/- 1.13</v>
      </c>
      <c r="M60" s="18" t="str">
        <f>IFERROR(__xludf.DUMMYFUNCTION("TEXT(VALUE(REGEXEXTRACT(E60,""^[+-]?[0-9]*\.?[0-9]+""))*100,""0.00"")&amp;"" +/- ""&amp;TEXT(VALUE(REGEXEXTRACT(E60,""[0-9]*\.?[0-9]+$""))*100,""0.00"")"),"55.47 +/- 2.15")</f>
        <v>55.47 +/- 2.15</v>
      </c>
      <c r="N60" s="18" t="str">
        <f>IFERROR(__xludf.DUMMYFUNCTION("TEXT(VALUE(REGEXEXTRACT(F60,""^[+-]?[0-9]*\.?[0-9]+""))*100,""0.00"")&amp;"" +/- ""&amp;TEXT(VALUE(REGEXEXTRACT(F60,""[0-9]*\.?[0-9]+$""))*100,""0.00"")"),"45.99 +/- 2.13")</f>
        <v>45.99 +/- 2.13</v>
      </c>
      <c r="O60" s="18" t="str">
        <f>IFERROR(__xludf.DUMMYFUNCTION("TEXT(VALUE(REGEXEXTRACT(G60,""^[+-]?[0-9]*\.?[0-9]+""))*100,""0.00"")&amp;"" +/- ""&amp;TEXT(VALUE(REGEXEXTRACT(G60,""[0-9]*\.?[0-9]+$""))*100,""0.00"")"),"51.50 +/- 2.16")</f>
        <v>51.50 +/- 2.16</v>
      </c>
      <c r="P60" s="19" t="str">
        <f>IFERROR(__xludf.DUMMYFUNCTION("TEXT(VALUE(REGEXEXTRACT(H60,""^[+-]?[0-9]*\.?[0-9]+""))*100,""0.00"")&amp;"" +/- ""&amp;TEXT(VALUE(REGEXEXTRACT(H60,""[0-9]*\.?[0-9]+$""))*100,""0.00"")"),"59.97 +/- 1.55")</f>
        <v>59.97 +/- 1.55</v>
      </c>
    </row>
    <row r="61">
      <c r="A61" s="6" t="s">
        <v>1044</v>
      </c>
      <c r="B61" s="14" t="s">
        <v>1172</v>
      </c>
      <c r="C61" s="14" t="s">
        <v>1173</v>
      </c>
      <c r="D61" s="14" t="s">
        <v>1174</v>
      </c>
      <c r="E61" s="14" t="s">
        <v>1175</v>
      </c>
      <c r="F61" s="14" t="s">
        <v>1176</v>
      </c>
      <c r="G61" s="14" t="s">
        <v>1177</v>
      </c>
      <c r="H61" s="14" t="s">
        <v>1178</v>
      </c>
      <c r="I61" s="17" t="str">
        <f t="shared" si="4"/>
        <v>EQ→PDE</v>
      </c>
      <c r="J61" s="18" t="str">
        <f>IFERROR(__xludf.DUMMYFUNCTION("TEXT(VALUE(REGEXEXTRACT(B61,""^[+-]?[0-9]*\.?[0-9]+""))*100,""0.00"")&amp;"" +/- ""&amp;TEXT(VALUE(REGEXEXTRACT(B61,""[0-9]*\.?[0-9]+$""))*100,""0.00"")"),"65.26 +/- 0.88")</f>
        <v>65.26 +/- 0.88</v>
      </c>
      <c r="K61" s="19" t="str">
        <f>IFERROR(__xludf.DUMMYFUNCTION("TEXT(VALUE(REGEXEXTRACT(C61,""^[+-]?[0-9]*\.?[0-9]+""))*100,""0.00"")&amp;"" +/- ""&amp;TEXT(VALUE(REGEXEXTRACT(C61,""[0-9]*\.?[0-9]+$""))*100,""0.00"")"),"65.88 +/- 1.02")</f>
        <v>65.88 +/- 1.02</v>
      </c>
      <c r="L61" s="18" t="str">
        <f>IFERROR(__xludf.DUMMYFUNCTION("TEXT(VALUE(REGEXEXTRACT(D61,""^[+-]?[0-9]*\.?[0-9]+""))*100,""0.00"")&amp;"" +/- ""&amp;TEXT(VALUE(REGEXEXTRACT(D61,""[0-9]*\.?[0-9]+$""))*100,""0.00"")"),"65.06 +/- 0.63")</f>
        <v>65.06 +/- 0.63</v>
      </c>
      <c r="M61" s="18" t="str">
        <f>IFERROR(__xludf.DUMMYFUNCTION("TEXT(VALUE(REGEXEXTRACT(E61,""^[+-]?[0-9]*\.?[0-9]+""))*100,""0.00"")&amp;"" +/- ""&amp;TEXT(VALUE(REGEXEXTRACT(E61,""[0-9]*\.?[0-9]+$""))*100,""0.00"")"),"65.19 +/- 0.91")</f>
        <v>65.19 +/- 0.91</v>
      </c>
      <c r="N61" s="18" t="str">
        <f>IFERROR(__xludf.DUMMYFUNCTION("TEXT(VALUE(REGEXEXTRACT(F61,""^[+-]?[0-9]*\.?[0-9]+""))*100,""0.00"")&amp;"" +/- ""&amp;TEXT(VALUE(REGEXEXTRACT(F61,""[0-9]*\.?[0-9]+$""))*100,""0.00"")"),"61.61 +/- 1.05")</f>
        <v>61.61 +/- 1.05</v>
      </c>
      <c r="O61" s="18" t="str">
        <f>IFERROR(__xludf.DUMMYFUNCTION("TEXT(VALUE(REGEXEXTRACT(G61,""^[+-]?[0-9]*\.?[0-9]+""))*100,""0.00"")&amp;"" +/- ""&amp;TEXT(VALUE(REGEXEXTRACT(G61,""[0-9]*\.?[0-9]+$""))*100,""0.00"")"),"63.86 +/- 0.97")</f>
        <v>63.86 +/- 0.97</v>
      </c>
      <c r="P61" s="18" t="str">
        <f>IFERROR(__xludf.DUMMYFUNCTION("TEXT(VALUE(REGEXEXTRACT(H61,""^[+-]?[0-9]*\.?[0-9]+""))*100,""0.00"")&amp;"" +/- ""&amp;TEXT(VALUE(REGEXEXTRACT(H61,""[0-9]*\.?[0-9]+$""))*100,""0.00"")"),"61.41 +/- 3.30")</f>
        <v>61.41 +/- 3.30</v>
      </c>
    </row>
    <row r="62">
      <c r="A62" s="6" t="s">
        <v>1051</v>
      </c>
      <c r="B62" s="14" t="s">
        <v>1179</v>
      </c>
      <c r="C62" s="14" t="s">
        <v>1180</v>
      </c>
      <c r="D62" s="14" t="s">
        <v>1181</v>
      </c>
      <c r="E62" s="14" t="s">
        <v>1182</v>
      </c>
      <c r="F62" s="14" t="s">
        <v>1183</v>
      </c>
      <c r="G62" s="14" t="s">
        <v>1184</v>
      </c>
      <c r="H62" s="14" t="s">
        <v>1185</v>
      </c>
      <c r="I62" s="17" t="str">
        <f t="shared" si="4"/>
        <v>JDT→EQ</v>
      </c>
      <c r="J62" s="18" t="str">
        <f>IFERROR(__xludf.DUMMYFUNCTION("TEXT(VALUE(REGEXEXTRACT(B62,""^[+-]?[0-9]*\.?[0-9]+""))*100,""0.00"")&amp;"" +/- ""&amp;TEXT(VALUE(REGEXEXTRACT(B62,""[0-9]*\.?[0-9]+$""))*100,""0.00"")"),"57.52 +/- 1.45")</f>
        <v>57.52 +/- 1.45</v>
      </c>
      <c r="K62" s="18" t="str">
        <f>IFERROR(__xludf.DUMMYFUNCTION("TEXT(VALUE(REGEXEXTRACT(C62,""^[+-]?[0-9]*\.?[0-9]+""))*100,""0.00"")&amp;"" +/- ""&amp;TEXT(VALUE(REGEXEXTRACT(C62,""[0-9]*\.?[0-9]+$""))*100,""0.00"")"),"48.04 +/- 1.10")</f>
        <v>48.04 +/- 1.10</v>
      </c>
      <c r="L62" s="18" t="str">
        <f>IFERROR(__xludf.DUMMYFUNCTION("TEXT(VALUE(REGEXEXTRACT(D62,""^[+-]?[0-9]*\.?[0-9]+""))*100,""0.00"")&amp;"" +/- ""&amp;TEXT(VALUE(REGEXEXTRACT(D62,""[0-9]*\.?[0-9]+$""))*100,""0.00"")"),"58.14 +/- 1.51")</f>
        <v>58.14 +/- 1.51</v>
      </c>
      <c r="M62" s="18" t="str">
        <f>IFERROR(__xludf.DUMMYFUNCTION("TEXT(VALUE(REGEXEXTRACT(E62,""^[+-]?[0-9]*\.?[0-9]+""))*100,""0.00"")&amp;"" +/- ""&amp;TEXT(VALUE(REGEXEXTRACT(E62,""[0-9]*\.?[0-9]+$""))*100,""0.00"")"),"50.85 +/- 1.70")</f>
        <v>50.85 +/- 1.70</v>
      </c>
      <c r="N62" s="18" t="str">
        <f>IFERROR(__xludf.DUMMYFUNCTION("TEXT(VALUE(REGEXEXTRACT(F62,""^[+-]?[0-9]*\.?[0-9]+""))*100,""0.00"")&amp;"" +/- ""&amp;TEXT(VALUE(REGEXEXTRACT(F62,""[0-9]*\.?[0-9]+$""))*100,""0.00"")"),"61.13 +/- 1.87")</f>
        <v>61.13 +/- 1.87</v>
      </c>
      <c r="O62" s="18" t="str">
        <f>IFERROR(__xludf.DUMMYFUNCTION("TEXT(VALUE(REGEXEXTRACT(G62,""^[+-]?[0-9]*\.?[0-9]+""))*100,""0.00"")&amp;"" +/- ""&amp;TEXT(VALUE(REGEXEXTRACT(G62,""[0-9]*\.?[0-9]+$""))*100,""0.00"")"),"58.18 +/- 1.66")</f>
        <v>58.18 +/- 1.66</v>
      </c>
      <c r="P62" s="19" t="str">
        <f>IFERROR(__xludf.DUMMYFUNCTION("TEXT(VALUE(REGEXEXTRACT(H62,""^[+-]?[0-9]*\.?[0-9]+""))*100,""0.00"")&amp;"" +/- ""&amp;TEXT(VALUE(REGEXEXTRACT(H62,""[0-9]*\.?[0-9]+$""))*100,""0.00"")"),"65.85 +/- 3.68")</f>
        <v>65.85 +/- 3.68</v>
      </c>
    </row>
    <row r="63">
      <c r="A63" s="6" t="s">
        <v>1059</v>
      </c>
      <c r="B63" s="14" t="s">
        <v>1186</v>
      </c>
      <c r="C63" s="14" t="s">
        <v>1187</v>
      </c>
      <c r="D63" s="14" t="s">
        <v>1188</v>
      </c>
      <c r="E63" s="14" t="s">
        <v>1189</v>
      </c>
      <c r="F63" s="14" t="s">
        <v>1190</v>
      </c>
      <c r="G63" s="14" t="s">
        <v>1191</v>
      </c>
      <c r="H63" s="14" t="s">
        <v>1192</v>
      </c>
      <c r="I63" s="17" t="str">
        <f t="shared" si="4"/>
        <v>JDT→LC</v>
      </c>
      <c r="J63" s="18" t="str">
        <f>IFERROR(__xludf.DUMMYFUNCTION("TEXT(VALUE(REGEXEXTRACT(B63,""^[+-]?[0-9]*\.?[0-9]+""))*100,""0.00"")&amp;"" +/- ""&amp;TEXT(VALUE(REGEXEXTRACT(B63,""[0-9]*\.?[0-9]+$""))*100,""0.00"")"),"68.05 +/- 1.29")</f>
        <v>68.05 +/- 1.29</v>
      </c>
      <c r="K63" s="18" t="str">
        <f>IFERROR(__xludf.DUMMYFUNCTION("TEXT(VALUE(REGEXEXTRACT(C63,""^[+-]?[0-9]*\.?[0-9]+""))*100,""0.00"")&amp;"" +/- ""&amp;TEXT(VALUE(REGEXEXTRACT(C63,""[0-9]*\.?[0-9]+$""))*100,""0.00"")"),"62.06 +/- 1.41")</f>
        <v>62.06 +/- 1.41</v>
      </c>
      <c r="L63" s="18" t="str">
        <f>IFERROR(__xludf.DUMMYFUNCTION("TEXT(VALUE(REGEXEXTRACT(D63,""^[+-]?[0-9]*\.?[0-9]+""))*100,""0.00"")&amp;"" +/- ""&amp;TEXT(VALUE(REGEXEXTRACT(D63,""[0-9]*\.?[0-9]+$""))*100,""0.00"")"),"67.59 +/- 1.47")</f>
        <v>67.59 +/- 1.47</v>
      </c>
      <c r="M63" s="18" t="str">
        <f>IFERROR(__xludf.DUMMYFUNCTION("TEXT(VALUE(REGEXEXTRACT(E63,""^[+-]?[0-9]*\.?[0-9]+""))*100,""0.00"")&amp;"" +/- ""&amp;TEXT(VALUE(REGEXEXTRACT(E63,""[0-9]*\.?[0-9]+$""))*100,""0.00"")"),"63.81 +/- 1.34")</f>
        <v>63.81 +/- 1.34</v>
      </c>
      <c r="N63" s="18" t="str">
        <f>IFERROR(__xludf.DUMMYFUNCTION("TEXT(VALUE(REGEXEXTRACT(F63,""^[+-]?[0-9]*\.?[0-9]+""))*100,""0.00"")&amp;"" +/- ""&amp;TEXT(VALUE(REGEXEXTRACT(F63,""[0-9]*\.?[0-9]+$""))*100,""0.00"")"),"68.16 +/- 1.55")</f>
        <v>68.16 +/- 1.55</v>
      </c>
      <c r="O63" s="18" t="str">
        <f>IFERROR(__xludf.DUMMYFUNCTION("TEXT(VALUE(REGEXEXTRACT(G63,""^[+-]?[0-9]*\.?[0-9]+""))*100,""0.00"")&amp;"" +/- ""&amp;TEXT(VALUE(REGEXEXTRACT(G63,""[0-9]*\.?[0-9]+$""))*100,""0.00"")"),"66.53 +/- 1.75")</f>
        <v>66.53 +/- 1.75</v>
      </c>
      <c r="P63" s="19" t="str">
        <f>IFERROR(__xludf.DUMMYFUNCTION("TEXT(VALUE(REGEXEXTRACT(H63,""^[+-]?[0-9]*\.?[0-9]+""))*100,""0.00"")&amp;"" +/- ""&amp;TEXT(VALUE(REGEXEXTRACT(H63,""[0-9]*\.?[0-9]+$""))*100,""0.00"")"),"68.72 +/- 2.18")</f>
        <v>68.72 +/- 2.18</v>
      </c>
    </row>
    <row r="64">
      <c r="A64" s="6" t="s">
        <v>1088</v>
      </c>
      <c r="B64" s="14" t="s">
        <v>1193</v>
      </c>
      <c r="C64" s="14" t="s">
        <v>1194</v>
      </c>
      <c r="D64" s="14" t="s">
        <v>1195</v>
      </c>
      <c r="E64" s="14" t="s">
        <v>1196</v>
      </c>
      <c r="F64" s="14" t="s">
        <v>1197</v>
      </c>
      <c r="G64" s="14" t="s">
        <v>1198</v>
      </c>
      <c r="H64" s="14" t="s">
        <v>1199</v>
      </c>
      <c r="I64" s="17" t="str">
        <f t="shared" si="4"/>
        <v>JDT→ML</v>
      </c>
      <c r="J64" s="19" t="str">
        <f>IFERROR(__xludf.DUMMYFUNCTION("TEXT(VALUE(REGEXEXTRACT(B64,""^[+-]?[0-9]*\.?[0-9]+""))*100,""0.00"")&amp;"" +/- ""&amp;TEXT(VALUE(REGEXEXTRACT(B64,""[0-9]*\.?[0-9]+$""))*100,""0.00"")"),"61.53 +/- 0.62")</f>
        <v>61.53 +/- 0.62</v>
      </c>
      <c r="K64" s="18" t="str">
        <f>IFERROR(__xludf.DUMMYFUNCTION("TEXT(VALUE(REGEXEXTRACT(C64,""^[+-]?[0-9]*\.?[0-9]+""))*100,""0.00"")&amp;"" +/- ""&amp;TEXT(VALUE(REGEXEXTRACT(C64,""[0-9]*\.?[0-9]+$""))*100,""0.00"")"),"52.37 +/- 1.03")</f>
        <v>52.37 +/- 1.03</v>
      </c>
      <c r="L64" s="18" t="str">
        <f>IFERROR(__xludf.DUMMYFUNCTION("TEXT(VALUE(REGEXEXTRACT(D64,""^[+-]?[0-9]*\.?[0-9]+""))*100,""0.00"")&amp;"" +/- ""&amp;TEXT(VALUE(REGEXEXTRACT(D64,""[0-9]*\.?[0-9]+$""))*100,""0.00"")"),"55.54 +/- 1.40")</f>
        <v>55.54 +/- 1.40</v>
      </c>
      <c r="M64" s="18" t="str">
        <f>IFERROR(__xludf.DUMMYFUNCTION("TEXT(VALUE(REGEXEXTRACT(E64,""^[+-]?[0-9]*\.?[0-9]+""))*100,""0.00"")&amp;"" +/- ""&amp;TEXT(VALUE(REGEXEXTRACT(E64,""[0-9]*\.?[0-9]+$""))*100,""0.00"")"),"57.73 +/- 0.76")</f>
        <v>57.73 +/- 0.76</v>
      </c>
      <c r="N64" s="18" t="str">
        <f>IFERROR(__xludf.DUMMYFUNCTION("TEXT(VALUE(REGEXEXTRACT(F64,""^[+-]?[0-9]*\.?[0-9]+""))*100,""0.00"")&amp;"" +/- ""&amp;TEXT(VALUE(REGEXEXTRACT(F64,""[0-9]*\.?[0-9]+$""))*100,""0.00"")"),"57.99 +/- 1.76")</f>
        <v>57.99 +/- 1.76</v>
      </c>
      <c r="O64" s="18" t="str">
        <f>IFERROR(__xludf.DUMMYFUNCTION("TEXT(VALUE(REGEXEXTRACT(G64,""^[+-]?[0-9]*\.?[0-9]+""))*100,""0.00"")&amp;"" +/- ""&amp;TEXT(VALUE(REGEXEXTRACT(G64,""[0-9]*\.?[0-9]+$""))*100,""0.00"")"),"61.22 +/- 0.96")</f>
        <v>61.22 +/- 0.96</v>
      </c>
      <c r="P64" s="18" t="str">
        <f>IFERROR(__xludf.DUMMYFUNCTION("TEXT(VALUE(REGEXEXTRACT(H64,""^[+-]?[0-9]*\.?[0-9]+""))*100,""0.00"")&amp;"" +/- ""&amp;TEXT(VALUE(REGEXEXTRACT(H64,""[0-9]*\.?[0-9]+$""))*100,""0.00"")"),"52.79 +/- 3.60")</f>
        <v>52.79 +/- 3.60</v>
      </c>
    </row>
    <row r="65">
      <c r="A65" s="6" t="s">
        <v>1097</v>
      </c>
      <c r="B65" s="14" t="s">
        <v>1200</v>
      </c>
      <c r="C65" s="14" t="s">
        <v>1201</v>
      </c>
      <c r="D65" s="14" t="s">
        <v>1202</v>
      </c>
      <c r="E65" s="14" t="s">
        <v>1203</v>
      </c>
      <c r="F65" s="14" t="s">
        <v>1204</v>
      </c>
      <c r="G65" s="14" t="s">
        <v>1205</v>
      </c>
      <c r="H65" s="14" t="s">
        <v>1206</v>
      </c>
      <c r="I65" s="17" t="str">
        <f t="shared" si="4"/>
        <v>JDT→PDE</v>
      </c>
      <c r="J65" s="18" t="str">
        <f>IFERROR(__xludf.DUMMYFUNCTION("TEXT(VALUE(REGEXEXTRACT(B65,""^[+-]?[0-9]*\.?[0-9]+""))*100,""0.00"")&amp;"" +/- ""&amp;TEXT(VALUE(REGEXEXTRACT(B65,""[0-9]*\.?[0-9]+$""))*100,""0.00"")"),"65.75 +/- 0.64")</f>
        <v>65.75 +/- 0.64</v>
      </c>
      <c r="K65" s="18" t="str">
        <f>IFERROR(__xludf.DUMMYFUNCTION("TEXT(VALUE(REGEXEXTRACT(C65,""^[+-]?[0-9]*\.?[0-9]+""))*100,""0.00"")&amp;"" +/- ""&amp;TEXT(VALUE(REGEXEXTRACT(C65,""[0-9]*\.?[0-9]+$""))*100,""0.00"")"),"57.97 +/- 1.19")</f>
        <v>57.97 +/- 1.19</v>
      </c>
      <c r="L65" s="18" t="str">
        <f>IFERROR(__xludf.DUMMYFUNCTION("TEXT(VALUE(REGEXEXTRACT(D65,""^[+-]?[0-9]*\.?[0-9]+""))*100,""0.00"")&amp;"" +/- ""&amp;TEXT(VALUE(REGEXEXTRACT(D65,""[0-9]*\.?[0-9]+$""))*100,""0.00"")"),"58.89 +/- 1.58")</f>
        <v>58.89 +/- 1.58</v>
      </c>
      <c r="M65" s="18" t="str">
        <f>IFERROR(__xludf.DUMMYFUNCTION("TEXT(VALUE(REGEXEXTRACT(E65,""^[+-]?[0-9]*\.?[0-9]+""))*100,""0.00"")&amp;"" +/- ""&amp;TEXT(VALUE(REGEXEXTRACT(E65,""[0-9]*\.?[0-9]+$""))*100,""0.00"")"),"63.37 +/- 0.78")</f>
        <v>63.37 +/- 0.78</v>
      </c>
      <c r="N65" s="18" t="str">
        <f>IFERROR(__xludf.DUMMYFUNCTION("TEXT(VALUE(REGEXEXTRACT(F65,""^[+-]?[0-9]*\.?[0-9]+""))*100,""0.00"")&amp;"" +/- ""&amp;TEXT(VALUE(REGEXEXTRACT(F65,""[0-9]*\.?[0-9]+$""))*100,""0.00"")"),"65.76 +/- 0.85")</f>
        <v>65.76 +/- 0.85</v>
      </c>
      <c r="O65" s="19" t="str">
        <f>IFERROR(__xludf.DUMMYFUNCTION("TEXT(VALUE(REGEXEXTRACT(G65,""^[+-]?[0-9]*\.?[0-9]+""))*100,""0.00"")&amp;"" +/- ""&amp;TEXT(VALUE(REGEXEXTRACT(G65,""[0-9]*\.?[0-9]+$""))*100,""0.00"")"),"66.10 +/- 0.74")</f>
        <v>66.10 +/- 0.74</v>
      </c>
      <c r="P65" s="18" t="str">
        <f>IFERROR(__xludf.DUMMYFUNCTION("TEXT(VALUE(REGEXEXTRACT(H65,""^[+-]?[0-9]*\.?[0-9]+""))*100,""0.00"")&amp;"" +/- ""&amp;TEXT(VALUE(REGEXEXTRACT(H65,""[0-9]*\.?[0-9]+$""))*100,""0.00"")"),"34.98 +/- 2.36")</f>
        <v>34.98 +/- 2.36</v>
      </c>
    </row>
    <row r="66">
      <c r="A66" s="6" t="s">
        <v>1105</v>
      </c>
      <c r="B66" s="14" t="s">
        <v>1207</v>
      </c>
      <c r="C66" s="14" t="s">
        <v>1208</v>
      </c>
      <c r="D66" s="14" t="s">
        <v>1209</v>
      </c>
      <c r="E66" s="14" t="s">
        <v>1210</v>
      </c>
      <c r="F66" s="14" t="s">
        <v>1211</v>
      </c>
      <c r="G66" s="14" t="s">
        <v>1212</v>
      </c>
      <c r="H66" s="14" t="s">
        <v>1213</v>
      </c>
      <c r="I66" s="17" t="str">
        <f t="shared" si="4"/>
        <v>LC→EQ</v>
      </c>
      <c r="J66" s="18" t="str">
        <f>IFERROR(__xludf.DUMMYFUNCTION("TEXT(VALUE(REGEXEXTRACT(B66,""^[+-]?[0-9]*\.?[0-9]+""))*100,""0.00"")&amp;"" +/- ""&amp;TEXT(VALUE(REGEXEXTRACT(B66,""[0-9]*\.?[0-9]+$""))*100,""0.00"")"),"53.38 +/- 0.99")</f>
        <v>53.38 +/- 0.99</v>
      </c>
      <c r="K66" s="18" t="str">
        <f>IFERROR(__xludf.DUMMYFUNCTION("TEXT(VALUE(REGEXEXTRACT(C66,""^[+-]?[0-9]*\.?[0-9]+""))*100,""0.00"")&amp;"" +/- ""&amp;TEXT(VALUE(REGEXEXTRACT(C66,""[0-9]*\.?[0-9]+$""))*100,""0.00"")"),"35.45 +/- 1.25")</f>
        <v>35.45 +/- 1.25</v>
      </c>
      <c r="L66" s="18" t="str">
        <f>IFERROR(__xludf.DUMMYFUNCTION("TEXT(VALUE(REGEXEXTRACT(D66,""^[+-]?[0-9]*\.?[0-9]+""))*100,""0.00"")&amp;"" +/- ""&amp;TEXT(VALUE(REGEXEXTRACT(D66,""[0-9]*\.?[0-9]+$""))*100,""0.00"")"),"33.41 +/- 1.57")</f>
        <v>33.41 +/- 1.57</v>
      </c>
      <c r="M66" s="18" t="str">
        <f>IFERROR(__xludf.DUMMYFUNCTION("TEXT(VALUE(REGEXEXTRACT(E66,""^[+-]?[0-9]*\.?[0-9]+""))*100,""0.00"")&amp;"" +/- ""&amp;TEXT(VALUE(REGEXEXTRACT(E66,""[0-9]*\.?[0-9]+$""))*100,""0.00"")"),"41.43 +/- 1.54")</f>
        <v>41.43 +/- 1.54</v>
      </c>
      <c r="N66" s="19" t="str">
        <f>IFERROR(__xludf.DUMMYFUNCTION("TEXT(VALUE(REGEXEXTRACT(F66,""^[+-]?[0-9]*\.?[0-9]+""))*100,""0.00"")&amp;"" +/- ""&amp;TEXT(VALUE(REGEXEXTRACT(F66,""[0-9]*\.?[0-9]+$""))*100,""0.00"")"),"64.61 +/- 2.21")</f>
        <v>64.61 +/- 2.21</v>
      </c>
      <c r="O66" s="18" t="str">
        <f>IFERROR(__xludf.DUMMYFUNCTION("TEXT(VALUE(REGEXEXTRACT(G66,""^[+-]?[0-9]*\.?[0-9]+""))*100,""0.00"")&amp;"" +/- ""&amp;TEXT(VALUE(REGEXEXTRACT(G66,""[0-9]*\.?[0-9]+$""))*100,""0.00"")"),"57.16 +/- 1.83")</f>
        <v>57.16 +/- 1.83</v>
      </c>
      <c r="P66" s="18" t="str">
        <f>IFERROR(__xludf.DUMMYFUNCTION("TEXT(VALUE(REGEXEXTRACT(H66,""^[+-]?[0-9]*\.?[0-9]+""))*100,""0.00"")&amp;"" +/- ""&amp;TEXT(VALUE(REGEXEXTRACT(H66,""[0-9]*\.?[0-9]+$""))*100,""0.00"")"),"35.84 +/- 1.54")</f>
        <v>35.84 +/- 1.54</v>
      </c>
    </row>
    <row r="67">
      <c r="A67" s="6" t="s">
        <v>1115</v>
      </c>
      <c r="B67" s="14" t="s">
        <v>1214</v>
      </c>
      <c r="C67" s="14" t="s">
        <v>1215</v>
      </c>
      <c r="D67" s="14" t="s">
        <v>1216</v>
      </c>
      <c r="E67" s="14" t="s">
        <v>1217</v>
      </c>
      <c r="F67" s="14" t="s">
        <v>1218</v>
      </c>
      <c r="G67" s="14" t="s">
        <v>1219</v>
      </c>
      <c r="H67" s="14" t="s">
        <v>1220</v>
      </c>
      <c r="I67" s="17" t="str">
        <f t="shared" si="4"/>
        <v>LC→JDT</v>
      </c>
      <c r="J67" s="19" t="str">
        <f>IFERROR(__xludf.DUMMYFUNCTION("TEXT(VALUE(REGEXEXTRACT(B67,""^[+-]?[0-9]*\.?[0-9]+""))*100,""0.00"")&amp;"" +/- ""&amp;TEXT(VALUE(REGEXEXTRACT(B67,""[0-9]*\.?[0-9]+$""))*100,""0.00"")"),"66.40 +/- 1.54")</f>
        <v>66.40 +/- 1.54</v>
      </c>
      <c r="K67" s="18" t="str">
        <f>IFERROR(__xludf.DUMMYFUNCTION("TEXT(VALUE(REGEXEXTRACT(C67,""^[+-]?[0-9]*\.?[0-9]+""))*100,""0.00"")&amp;"" +/- ""&amp;TEXT(VALUE(REGEXEXTRACT(C67,""[0-9]*\.?[0-9]+$""))*100,""0.00"")"),"37.66 +/- 1.36")</f>
        <v>37.66 +/- 1.36</v>
      </c>
      <c r="L67" s="18" t="str">
        <f>IFERROR(__xludf.DUMMYFUNCTION("TEXT(VALUE(REGEXEXTRACT(D67,""^[+-]?[0-9]*\.?[0-9]+""))*100,""0.00"")&amp;"" +/- ""&amp;TEXT(VALUE(REGEXEXTRACT(D67,""[0-9]*\.?[0-9]+$""))*100,""0.00"")"),"38.69 +/- 2.07")</f>
        <v>38.69 +/- 2.07</v>
      </c>
      <c r="M67" s="18" t="str">
        <f>IFERROR(__xludf.DUMMYFUNCTION("TEXT(VALUE(REGEXEXTRACT(E67,""^[+-]?[0-9]*\.?[0-9]+""))*100,""0.00"")&amp;"" +/- ""&amp;TEXT(VALUE(REGEXEXTRACT(E67,""[0-9]*\.?[0-9]+$""))*100,""0.00"")"),"56.88 +/- 1.32")</f>
        <v>56.88 +/- 1.32</v>
      </c>
      <c r="N67" s="18" t="str">
        <f>IFERROR(__xludf.DUMMYFUNCTION("TEXT(VALUE(REGEXEXTRACT(F67,""^[+-]?[0-9]*\.?[0-9]+""))*100,""0.00"")&amp;"" +/- ""&amp;TEXT(VALUE(REGEXEXTRACT(F67,""[0-9]*\.?[0-9]+$""))*100,""0.00"")"),"63.53 +/- 1.94")</f>
        <v>63.53 +/- 1.94</v>
      </c>
      <c r="O67" s="18" t="str">
        <f>IFERROR(__xludf.DUMMYFUNCTION("TEXT(VALUE(REGEXEXTRACT(G67,""^[+-]?[0-9]*\.?[0-9]+""))*100,""0.00"")&amp;"" +/- ""&amp;TEXT(VALUE(REGEXEXTRACT(G67,""[0-9]*\.?[0-9]+$""))*100,""0.00"")"),"64.17 +/- 1.66")</f>
        <v>64.17 +/- 1.66</v>
      </c>
      <c r="P67" s="18" t="str">
        <f>IFERROR(__xludf.DUMMYFUNCTION("TEXT(VALUE(REGEXEXTRACT(H67,""^[+-]?[0-9]*\.?[0-9]+""))*100,""0.00"")&amp;"" +/- ""&amp;TEXT(VALUE(REGEXEXTRACT(H67,""[0-9]*\.?[0-9]+$""))*100,""0.00"")"),"43.87 +/- 2.63")</f>
        <v>43.87 +/- 2.63</v>
      </c>
    </row>
    <row r="68">
      <c r="A68" s="6" t="s">
        <v>1125</v>
      </c>
      <c r="B68" s="14" t="s">
        <v>1221</v>
      </c>
      <c r="C68" s="14" t="s">
        <v>1222</v>
      </c>
      <c r="D68" s="14" t="s">
        <v>1223</v>
      </c>
      <c r="E68" s="14" t="s">
        <v>1224</v>
      </c>
      <c r="F68" s="14" t="s">
        <v>1225</v>
      </c>
      <c r="G68" s="14" t="s">
        <v>1226</v>
      </c>
      <c r="H68" s="14" t="s">
        <v>1227</v>
      </c>
      <c r="I68" s="17" t="str">
        <f t="shared" si="4"/>
        <v>LC→ML</v>
      </c>
      <c r="J68" s="18" t="str">
        <f>IFERROR(__xludf.DUMMYFUNCTION("TEXT(VALUE(REGEXEXTRACT(B68,""^[+-]?[0-9]*\.?[0-9]+""))*100,""0.00"")&amp;"" +/- ""&amp;TEXT(VALUE(REGEXEXTRACT(B68,""[0-9]*\.?[0-9]+$""))*100,""0.00"")"),"57.61 +/- 1.16")</f>
        <v>57.61 +/- 1.16</v>
      </c>
      <c r="K68" s="18" t="str">
        <f>IFERROR(__xludf.DUMMYFUNCTION("TEXT(VALUE(REGEXEXTRACT(C68,""^[+-]?[0-9]*\.?[0-9]+""))*100,""0.00"")&amp;"" +/- ""&amp;TEXT(VALUE(REGEXEXTRACT(C68,""[0-9]*\.?[0-9]+$""))*100,""0.00"")"),"35.34 +/- 0.75")</f>
        <v>35.34 +/- 0.75</v>
      </c>
      <c r="L68" s="18" t="str">
        <f>IFERROR(__xludf.DUMMYFUNCTION("TEXT(VALUE(REGEXEXTRACT(D68,""^[+-]?[0-9]*\.?[0-9]+""))*100,""0.00"")&amp;"" +/- ""&amp;TEXT(VALUE(REGEXEXTRACT(D68,""[0-9]*\.?[0-9]+$""))*100,""0.00"")"),"34.21 +/- 1.71")</f>
        <v>34.21 +/- 1.71</v>
      </c>
      <c r="M68" s="18" t="str">
        <f>IFERROR(__xludf.DUMMYFUNCTION("TEXT(VALUE(REGEXEXTRACT(E68,""^[+-]?[0-9]*\.?[0-9]+""))*100,""0.00"")&amp;"" +/- ""&amp;TEXT(VALUE(REGEXEXTRACT(E68,""[0-9]*\.?[0-9]+$""))*100,""0.00"")"),"47.31 +/- 1.76")</f>
        <v>47.31 +/- 1.76</v>
      </c>
      <c r="N68" s="18" t="str">
        <f>IFERROR(__xludf.DUMMYFUNCTION("TEXT(VALUE(REGEXEXTRACT(F68,""^[+-]?[0-9]*\.?[0-9]+""))*100,""0.00"")&amp;"" +/- ""&amp;TEXT(VALUE(REGEXEXTRACT(F68,""[0-9]*\.?[0-9]+$""))*100,""0.00"")"),"56.98 +/- 0.91")</f>
        <v>56.98 +/- 0.91</v>
      </c>
      <c r="O68" s="18" t="str">
        <f>IFERROR(__xludf.DUMMYFUNCTION("TEXT(VALUE(REGEXEXTRACT(G68,""^[+-]?[0-9]*\.?[0-9]+""))*100,""0.00"")&amp;"" +/- ""&amp;TEXT(VALUE(REGEXEXTRACT(G68,""[0-9]*\.?[0-9]+$""))*100,""0.00"")"),"57.71 +/- 0.99")</f>
        <v>57.71 +/- 0.99</v>
      </c>
      <c r="P68" s="19" t="str">
        <f>IFERROR(__xludf.DUMMYFUNCTION("TEXT(VALUE(REGEXEXTRACT(H68,""^[+-]?[0-9]*\.?[0-9]+""))*100,""0.00"")&amp;"" +/- ""&amp;TEXT(VALUE(REGEXEXTRACT(H68,""[0-9]*\.?[0-9]+$""))*100,""0.00"")"),"60.98 +/- 2.95")</f>
        <v>60.98 +/- 2.95</v>
      </c>
    </row>
    <row r="69">
      <c r="A69" s="6" t="s">
        <v>1136</v>
      </c>
      <c r="B69" s="14" t="s">
        <v>1228</v>
      </c>
      <c r="C69" s="14" t="s">
        <v>1229</v>
      </c>
      <c r="D69" s="14" t="s">
        <v>1230</v>
      </c>
      <c r="E69" s="14" t="s">
        <v>1231</v>
      </c>
      <c r="F69" s="14" t="s">
        <v>1232</v>
      </c>
      <c r="G69" s="14" t="s">
        <v>1233</v>
      </c>
      <c r="H69" s="14" t="s">
        <v>1234</v>
      </c>
      <c r="I69" s="17" t="str">
        <f t="shared" si="4"/>
        <v>LC→PDE</v>
      </c>
      <c r="J69" s="18" t="str">
        <f>IFERROR(__xludf.DUMMYFUNCTION("TEXT(VALUE(REGEXEXTRACT(B69,""^[+-]?[0-9]*\.?[0-9]+""))*100,""0.00"")&amp;"" +/- ""&amp;TEXT(VALUE(REGEXEXTRACT(B69,""[0-9]*\.?[0-9]+$""))*100,""0.00"")"),"56.87 +/- 2.47")</f>
        <v>56.87 +/- 2.47</v>
      </c>
      <c r="K69" s="18" t="str">
        <f>IFERROR(__xludf.DUMMYFUNCTION("TEXT(VALUE(REGEXEXTRACT(C69,""^[+-]?[0-9]*\.?[0-9]+""))*100,""0.00"")&amp;"" +/- ""&amp;TEXT(VALUE(REGEXEXTRACT(C69,""[0-9]*\.?[0-9]+$""))*100,""0.00"")"),"37.97 +/- 0.75")</f>
        <v>37.97 +/- 0.75</v>
      </c>
      <c r="L69" s="18" t="str">
        <f>IFERROR(__xludf.DUMMYFUNCTION("TEXT(VALUE(REGEXEXTRACT(D69,""^[+-]?[0-9]*\.?[0-9]+""))*100,""0.00"")&amp;"" +/- ""&amp;TEXT(VALUE(REGEXEXTRACT(D69,""[0-9]*\.?[0-9]+$""))*100,""0.00"")"),"35.05 +/- 2.18")</f>
        <v>35.05 +/- 2.18</v>
      </c>
      <c r="M69" s="18" t="str">
        <f>IFERROR(__xludf.DUMMYFUNCTION("TEXT(VALUE(REGEXEXTRACT(E69,""^[+-]?[0-9]*\.?[0-9]+""))*100,""0.00"")&amp;"" +/- ""&amp;TEXT(VALUE(REGEXEXTRACT(E69,""[0-9]*\.?[0-9]+$""))*100,""0.00"")"),"47.39 +/- 2.46")</f>
        <v>47.39 +/- 2.46</v>
      </c>
      <c r="N69" s="19" t="str">
        <f>IFERROR(__xludf.DUMMYFUNCTION("TEXT(VALUE(REGEXEXTRACT(F69,""^[+-]?[0-9]*\.?[0-9]+""))*100,""0.00"")&amp;"" +/- ""&amp;TEXT(VALUE(REGEXEXTRACT(F69,""[0-9]*\.?[0-9]+$""))*100,""0.00"")"),"59.38 +/- 1.72")</f>
        <v>59.38 +/- 1.72</v>
      </c>
      <c r="O69" s="18" t="str">
        <f>IFERROR(__xludf.DUMMYFUNCTION("TEXT(VALUE(REGEXEXTRACT(G69,""^[+-]?[0-9]*\.?[0-9]+""))*100,""0.00"")&amp;"" +/- ""&amp;TEXT(VALUE(REGEXEXTRACT(G69,""[0-9]*\.?[0-9]+$""))*100,""0.00"")"),"59.17 +/- 1.59")</f>
        <v>59.17 +/- 1.59</v>
      </c>
      <c r="P69" s="18" t="str">
        <f>IFERROR(__xludf.DUMMYFUNCTION("TEXT(VALUE(REGEXEXTRACT(H69,""^[+-]?[0-9]*\.?[0-9]+""))*100,""0.00"")&amp;"" +/- ""&amp;TEXT(VALUE(REGEXEXTRACT(H69,""[0-9]*\.?[0-9]+$""))*100,""0.00"")"),"48.65 +/- 1.42")</f>
        <v>48.65 +/- 1.42</v>
      </c>
    </row>
    <row r="70">
      <c r="A70" s="6" t="s">
        <v>1235</v>
      </c>
      <c r="B70" s="14" t="s">
        <v>1236</v>
      </c>
      <c r="C70" s="14" t="s">
        <v>1237</v>
      </c>
      <c r="D70" s="14" t="s">
        <v>1238</v>
      </c>
      <c r="E70" s="14" t="s">
        <v>1239</v>
      </c>
      <c r="F70" s="14" t="s">
        <v>1240</v>
      </c>
      <c r="G70" s="14" t="s">
        <v>1241</v>
      </c>
      <c r="H70" s="14" t="s">
        <v>1242</v>
      </c>
      <c r="I70" s="17" t="str">
        <f t="shared" si="4"/>
        <v>ML→EQ</v>
      </c>
      <c r="J70" s="18" t="str">
        <f>IFERROR(__xludf.DUMMYFUNCTION("TEXT(VALUE(REGEXEXTRACT(B70,""^[+-]?[0-9]*\.?[0-9]+""))*100,""0.00"")&amp;"" +/- ""&amp;TEXT(VALUE(REGEXEXTRACT(B70,""[0-9]*\.?[0-9]+$""))*100,""0.00"")"),"47.85 +/- 1.24")</f>
        <v>47.85 +/- 1.24</v>
      </c>
      <c r="K70" s="18" t="str">
        <f>IFERROR(__xludf.DUMMYFUNCTION("TEXT(VALUE(REGEXEXTRACT(C70,""^[+-]?[0-9]*\.?[0-9]+""))*100,""0.00"")&amp;"" +/- ""&amp;TEXT(VALUE(REGEXEXTRACT(C70,""[0-9]*\.?[0-9]+$""))*100,""0.00"")"),"22.09 +/- 1.81")</f>
        <v>22.09 +/- 1.81</v>
      </c>
      <c r="L70" s="18" t="str">
        <f>IFERROR(__xludf.DUMMYFUNCTION("TEXT(VALUE(REGEXEXTRACT(D70,""^[+-]?[0-9]*\.?[0-9]+""))*100,""0.00"")&amp;"" +/- ""&amp;TEXT(VALUE(REGEXEXTRACT(D70,""[0-9]*\.?[0-9]+$""))*100,""0.00"")"),"17.56 +/- 4.43")</f>
        <v>17.56 +/- 4.43</v>
      </c>
      <c r="M70" s="18" t="str">
        <f>IFERROR(__xludf.DUMMYFUNCTION("TEXT(VALUE(REGEXEXTRACT(E70,""^[+-]?[0-9]*\.?[0-9]+""))*100,""0.00"")&amp;"" +/- ""&amp;TEXT(VALUE(REGEXEXTRACT(E70,""[0-9]*\.?[0-9]+$""))*100,""0.00"")"),"37.38 +/- 1.27")</f>
        <v>37.38 +/- 1.27</v>
      </c>
      <c r="N70" s="18" t="str">
        <f>IFERROR(__xludf.DUMMYFUNCTION("TEXT(VALUE(REGEXEXTRACT(F70,""^[+-]?[0-9]*\.?[0-9]+""))*100,""0.00"")&amp;"" +/- ""&amp;TEXT(VALUE(REGEXEXTRACT(F70,""[0-9]*\.?[0-9]+$""))*100,""0.00"")"),"46.17 +/- 1.67")</f>
        <v>46.17 +/- 1.67</v>
      </c>
      <c r="O70" s="19" t="str">
        <f>IFERROR(__xludf.DUMMYFUNCTION("TEXT(VALUE(REGEXEXTRACT(G70,""^[+-]?[0-9]*\.?[0-9]+""))*100,""0.00"")&amp;"" +/- ""&amp;TEXT(VALUE(REGEXEXTRACT(G70,""[0-9]*\.?[0-9]+$""))*100,""0.00"")"),"47.52 +/- 2.12")</f>
        <v>47.52 +/- 2.12</v>
      </c>
      <c r="P70" s="18" t="str">
        <f>IFERROR(__xludf.DUMMYFUNCTION("TEXT(VALUE(REGEXEXTRACT(H70,""^[+-]?[0-9]*\.?[0-9]+""))*100,""0.00"")&amp;"" +/- ""&amp;TEXT(VALUE(REGEXEXTRACT(H70,""[0-9]*\.?[0-9]+$""))*100,""0.00"")"),"28.91 +/- 1.93")</f>
        <v>28.91 +/- 1.93</v>
      </c>
    </row>
    <row r="71">
      <c r="A71" s="6" t="s">
        <v>1243</v>
      </c>
      <c r="B71" s="14" t="s">
        <v>1244</v>
      </c>
      <c r="C71" s="14" t="s">
        <v>1245</v>
      </c>
      <c r="D71" s="14" t="s">
        <v>1246</v>
      </c>
      <c r="E71" s="14" t="s">
        <v>1248</v>
      </c>
      <c r="F71" s="14" t="s">
        <v>1249</v>
      </c>
      <c r="G71" s="14" t="s">
        <v>1251</v>
      </c>
      <c r="H71" s="14" t="s">
        <v>1253</v>
      </c>
      <c r="I71" s="17" t="str">
        <f t="shared" si="4"/>
        <v>ML→JDT</v>
      </c>
      <c r="J71" s="19" t="str">
        <f>IFERROR(__xludf.DUMMYFUNCTION("TEXT(VALUE(REGEXEXTRACT(B71,""^[+-]?[0-9]*\.?[0-9]+""))*100,""0.00"")&amp;"" +/- ""&amp;TEXT(VALUE(REGEXEXTRACT(B71,""[0-9]*\.?[0-9]+$""))*100,""0.00"")"),"61.42 +/- 2.58")</f>
        <v>61.42 +/- 2.58</v>
      </c>
      <c r="K71" s="18" t="str">
        <f>IFERROR(__xludf.DUMMYFUNCTION("TEXT(VALUE(REGEXEXTRACT(C71,""^[+-]?[0-9]*\.?[0-9]+""))*100,""0.00"")&amp;"" +/- ""&amp;TEXT(VALUE(REGEXEXTRACT(C71,""[0-9]*\.?[0-9]+$""))*100,""0.00"")"),"28.26 +/- 1.67")</f>
        <v>28.26 +/- 1.67</v>
      </c>
      <c r="L71" s="18" t="str">
        <f>IFERROR(__xludf.DUMMYFUNCTION("TEXT(VALUE(REGEXEXTRACT(D71,""^[+-]?[0-9]*\.?[0-9]+""))*100,""0.00"")&amp;"" +/- ""&amp;TEXT(VALUE(REGEXEXTRACT(D71,""[0-9]*\.?[0-9]+$""))*100,""0.00"")"),"22.85 +/- 2.89")</f>
        <v>22.85 +/- 2.89</v>
      </c>
      <c r="M71" s="18" t="str">
        <f>IFERROR(__xludf.DUMMYFUNCTION("TEXT(VALUE(REGEXEXTRACT(E71,""^[+-]?[0-9]*\.?[0-9]+""))*100,""0.00"")&amp;"" +/- ""&amp;TEXT(VALUE(REGEXEXTRACT(E71,""[0-9]*\.?[0-9]+$""))*100,""0.00"")"),"39.51 +/- 2.14")</f>
        <v>39.51 +/- 2.14</v>
      </c>
      <c r="N71" s="18" t="str">
        <f>IFERROR(__xludf.DUMMYFUNCTION("TEXT(VALUE(REGEXEXTRACT(F71,""^[+-]?[0-9]*\.?[0-9]+""))*100,""0.00"")&amp;"" +/- ""&amp;TEXT(VALUE(REGEXEXTRACT(F71,""[0-9]*\.?[0-9]+$""))*100,""0.00"")"),"61.09 +/- 2.23")</f>
        <v>61.09 +/- 2.23</v>
      </c>
      <c r="O71" s="18" t="str">
        <f>IFERROR(__xludf.DUMMYFUNCTION("TEXT(VALUE(REGEXEXTRACT(G71,""^[+-]?[0-9]*\.?[0-9]+""))*100,""0.00"")&amp;"" +/- ""&amp;TEXT(VALUE(REGEXEXTRACT(G71,""[0-9]*\.?[0-9]+$""))*100,""0.00"")"),"59.59 +/- 2.31")</f>
        <v>59.59 +/- 2.31</v>
      </c>
      <c r="P71" s="18" t="str">
        <f>IFERROR(__xludf.DUMMYFUNCTION("TEXT(VALUE(REGEXEXTRACT(H71,""^[+-]?[0-9]*\.?[0-9]+""))*100,""0.00"")&amp;"" +/- ""&amp;TEXT(VALUE(REGEXEXTRACT(H71,""[0-9]*\.?[0-9]+$""))*100,""0.00"")"),"33.89 +/- 2.64")</f>
        <v>33.89 +/- 2.64</v>
      </c>
    </row>
    <row r="72">
      <c r="A72" s="6" t="s">
        <v>1258</v>
      </c>
      <c r="B72" s="14" t="s">
        <v>1259</v>
      </c>
      <c r="C72" s="14" t="s">
        <v>1260</v>
      </c>
      <c r="D72" s="14" t="s">
        <v>1261</v>
      </c>
      <c r="E72" s="14" t="s">
        <v>1262</v>
      </c>
      <c r="F72" s="14" t="s">
        <v>1263</v>
      </c>
      <c r="G72" s="14" t="s">
        <v>1264</v>
      </c>
      <c r="H72" s="14" t="s">
        <v>1265</v>
      </c>
      <c r="I72" s="17" t="str">
        <f t="shared" si="4"/>
        <v>ML→LC</v>
      </c>
      <c r="J72" s="19" t="str">
        <f>IFERROR(__xludf.DUMMYFUNCTION("TEXT(VALUE(REGEXEXTRACT(B72,""^[+-]?[0-9]*\.?[0-9]+""))*100,""0.00"")&amp;"" +/- ""&amp;TEXT(VALUE(REGEXEXTRACT(B72,""[0-9]*\.?[0-9]+$""))*100,""0.00"")"),"61.71 +/- 1.69")</f>
        <v>61.71 +/- 1.69</v>
      </c>
      <c r="K72" s="18" t="str">
        <f>IFERROR(__xludf.DUMMYFUNCTION("TEXT(VALUE(REGEXEXTRACT(C72,""^[+-]?[0-9]*\.?[0-9]+""))*100,""0.00"")&amp;"" +/- ""&amp;TEXT(VALUE(REGEXEXTRACT(C72,""[0-9]*\.?[0-9]+$""))*100,""0.00"")"),"40.54 +/- 2.48")</f>
        <v>40.54 +/- 2.48</v>
      </c>
      <c r="L72" s="18" t="str">
        <f>IFERROR(__xludf.DUMMYFUNCTION("TEXT(VALUE(REGEXEXTRACT(D72,""^[+-]?[0-9]*\.?[0-9]+""))*100,""0.00"")&amp;"" +/- ""&amp;TEXT(VALUE(REGEXEXTRACT(D72,""[0-9]*\.?[0-9]+$""))*100,""0.00"")"),"28.87 +/- 4.63")</f>
        <v>28.87 +/- 4.63</v>
      </c>
      <c r="M72" s="18" t="str">
        <f>IFERROR(__xludf.DUMMYFUNCTION("TEXT(VALUE(REGEXEXTRACT(E72,""^[+-]?[0-9]*\.?[0-9]+""))*100,""0.00"")&amp;"" +/- ""&amp;TEXT(VALUE(REGEXEXTRACT(E72,""[0-9]*\.?[0-9]+$""))*100,""0.00"")"),"42.84 +/- 2.61")</f>
        <v>42.84 +/- 2.61</v>
      </c>
      <c r="N72" s="18" t="str">
        <f>IFERROR(__xludf.DUMMYFUNCTION("TEXT(VALUE(REGEXEXTRACT(F72,""^[+-]?[0-9]*\.?[0-9]+""))*100,""0.00"")&amp;"" +/- ""&amp;TEXT(VALUE(REGEXEXTRACT(F72,""[0-9]*\.?[0-9]+$""))*100,""0.00"")"),"56.76 +/- 2.48")</f>
        <v>56.76 +/- 2.48</v>
      </c>
      <c r="O72" s="18" t="str">
        <f>IFERROR(__xludf.DUMMYFUNCTION("TEXT(VALUE(REGEXEXTRACT(G72,""^[+-]?[0-9]*\.?[0-9]+""))*100,""0.00"")&amp;"" +/- ""&amp;TEXT(VALUE(REGEXEXTRACT(G72,""[0-9]*\.?[0-9]+$""))*100,""0.00"")"),"56.64 +/- 2.19")</f>
        <v>56.64 +/- 2.19</v>
      </c>
      <c r="P72" s="18" t="str">
        <f>IFERROR(__xludf.DUMMYFUNCTION("TEXT(VALUE(REGEXEXTRACT(H72,""^[+-]?[0-9]*\.?[0-9]+""))*100,""0.00"")&amp;"" +/- ""&amp;TEXT(VALUE(REGEXEXTRACT(H72,""[0-9]*\.?[0-9]+$""))*100,""0.00"")"),"41.62 +/- 1.90")</f>
        <v>41.62 +/- 1.90</v>
      </c>
    </row>
    <row r="73">
      <c r="A73" s="6" t="s">
        <v>1273</v>
      </c>
      <c r="B73" s="14" t="s">
        <v>1274</v>
      </c>
      <c r="C73" s="14" t="s">
        <v>1275</v>
      </c>
      <c r="D73" s="14" t="s">
        <v>1276</v>
      </c>
      <c r="E73" s="14" t="s">
        <v>1277</v>
      </c>
      <c r="F73" s="14" t="s">
        <v>1278</v>
      </c>
      <c r="G73" s="14" t="s">
        <v>1279</v>
      </c>
      <c r="H73" s="14" t="s">
        <v>1280</v>
      </c>
      <c r="I73" s="17" t="str">
        <f t="shared" si="4"/>
        <v>ML→PDE</v>
      </c>
      <c r="J73" s="19" t="str">
        <f>IFERROR(__xludf.DUMMYFUNCTION("TEXT(VALUE(REGEXEXTRACT(B73,""^[+-]?[0-9]*\.?[0-9]+""))*100,""0.00"")&amp;"" +/- ""&amp;TEXT(VALUE(REGEXEXTRACT(B73,""[0-9]*\.?[0-9]+$""))*100,""0.00"")"),"59.09 +/- 0.74")</f>
        <v>59.09 +/- 0.74</v>
      </c>
      <c r="K73" s="18" t="str">
        <f>IFERROR(__xludf.DUMMYFUNCTION("TEXT(VALUE(REGEXEXTRACT(C73,""^[+-]?[0-9]*\.?[0-9]+""))*100,""0.00"")&amp;"" +/- ""&amp;TEXT(VALUE(REGEXEXTRACT(C73,""[0-9]*\.?[0-9]+$""))*100,""0.00"")"),"26.16 +/- 2.02")</f>
        <v>26.16 +/- 2.02</v>
      </c>
      <c r="L73" s="18" t="str">
        <f>IFERROR(__xludf.DUMMYFUNCTION("TEXT(VALUE(REGEXEXTRACT(D73,""^[+-]?[0-9]*\.?[0-9]+""))*100,""0.00"")&amp;"" +/- ""&amp;TEXT(VALUE(REGEXEXTRACT(D73,""[0-9]*\.?[0-9]+$""))*100,""0.00"")"),"22.01 +/- 3.22")</f>
        <v>22.01 +/- 3.22</v>
      </c>
      <c r="M73" s="18" t="str">
        <f>IFERROR(__xludf.DUMMYFUNCTION("TEXT(VALUE(REGEXEXTRACT(E73,""^[+-]?[0-9]*\.?[0-9]+""))*100,""0.00"")&amp;"" +/- ""&amp;TEXT(VALUE(REGEXEXTRACT(E73,""[0-9]*\.?[0-9]+$""))*100,""0.00"")"),"49.95 +/- 0.98")</f>
        <v>49.95 +/- 0.98</v>
      </c>
      <c r="N73" s="18" t="str">
        <f>IFERROR(__xludf.DUMMYFUNCTION("TEXT(VALUE(REGEXEXTRACT(F73,""^[+-]?[0-9]*\.?[0-9]+""))*100,""0.00"")&amp;"" +/- ""&amp;TEXT(VALUE(REGEXEXTRACT(F73,""[0-9]*\.?[0-9]+$""))*100,""0.00"")"),"58.82 +/- 1.03")</f>
        <v>58.82 +/- 1.03</v>
      </c>
      <c r="O73" s="18" t="str">
        <f>IFERROR(__xludf.DUMMYFUNCTION("TEXT(VALUE(REGEXEXTRACT(G73,""^[+-]?[0-9]*\.?[0-9]+""))*100,""0.00"")&amp;"" +/- ""&amp;TEXT(VALUE(REGEXEXTRACT(G73,""[0-9]*\.?[0-9]+$""))*100,""0.00"")"),"59.01 +/- 1.08")</f>
        <v>59.01 +/- 1.08</v>
      </c>
      <c r="P73" s="18" t="str">
        <f>IFERROR(__xludf.DUMMYFUNCTION("TEXT(VALUE(REGEXEXTRACT(H73,""^[+-]?[0-9]*\.?[0-9]+""))*100,""0.00"")&amp;"" +/- ""&amp;TEXT(VALUE(REGEXEXTRACT(H73,""[0-9]*\.?[0-9]+$""))*100,""0.00"")"),"37.08 +/- 1.30")</f>
        <v>37.08 +/- 1.30</v>
      </c>
    </row>
    <row r="74">
      <c r="A74" s="6" t="s">
        <v>1288</v>
      </c>
      <c r="B74" s="14" t="s">
        <v>1289</v>
      </c>
      <c r="C74" s="14" t="s">
        <v>1290</v>
      </c>
      <c r="D74" s="14" t="s">
        <v>1291</v>
      </c>
      <c r="E74" s="14" t="s">
        <v>1292</v>
      </c>
      <c r="F74" s="14" t="s">
        <v>1293</v>
      </c>
      <c r="G74" s="14" t="s">
        <v>1294</v>
      </c>
      <c r="H74" s="14" t="s">
        <v>1295</v>
      </c>
      <c r="I74" s="17" t="str">
        <f t="shared" si="4"/>
        <v>PDE→EQ</v>
      </c>
      <c r="J74" s="18" t="str">
        <f>IFERROR(__xludf.DUMMYFUNCTION("TEXT(VALUE(REGEXEXTRACT(B74,""^[+-]?[0-9]*\.?[0-9]+""))*100,""0.00"")&amp;"" +/- ""&amp;TEXT(VALUE(REGEXEXTRACT(B74,""[0-9]*\.?[0-9]+$""))*100,""0.00"")"),"46.88 +/- 1.72")</f>
        <v>46.88 +/- 1.72</v>
      </c>
      <c r="K74" s="18" t="str">
        <f>IFERROR(__xludf.DUMMYFUNCTION("TEXT(VALUE(REGEXEXTRACT(C74,""^[+-]?[0-9]*\.?[0-9]+""))*100,""0.00"")&amp;"" +/- ""&amp;TEXT(VALUE(REGEXEXTRACT(C74,""[0-9]*\.?[0-9]+$""))*100,""0.00"")"),"31.72 +/- 1.49")</f>
        <v>31.72 +/- 1.49</v>
      </c>
      <c r="L74" s="18" t="str">
        <f>IFERROR(__xludf.DUMMYFUNCTION("TEXT(VALUE(REGEXEXTRACT(D74,""^[+-]?[0-9]*\.?[0-9]+""))*100,""0.00"")&amp;"" +/- ""&amp;TEXT(VALUE(REGEXEXTRACT(D74,""[0-9]*\.?[0-9]+$""))*100,""0.00"")"),"31.96 +/- 2.75")</f>
        <v>31.96 +/- 2.75</v>
      </c>
      <c r="M74" s="18" t="str">
        <f>IFERROR(__xludf.DUMMYFUNCTION("TEXT(VALUE(REGEXEXTRACT(E74,""^[+-]?[0-9]*\.?[0-9]+""))*100,""0.00"")&amp;"" +/- ""&amp;TEXT(VALUE(REGEXEXTRACT(E74,""[0-9]*\.?[0-9]+$""))*100,""0.00"")"),"36.29 +/- 1.39")</f>
        <v>36.29 +/- 1.39</v>
      </c>
      <c r="N74" s="19" t="str">
        <f>IFERROR(__xludf.DUMMYFUNCTION("TEXT(VALUE(REGEXEXTRACT(F74,""^[+-]?[0-9]*\.?[0-9]+""))*100,""0.00"")&amp;"" +/- ""&amp;TEXT(VALUE(REGEXEXTRACT(F74,""[0-9]*\.?[0-9]+$""))*100,""0.00"")"),"51.69 +/- 2.16")</f>
        <v>51.69 +/- 2.16</v>
      </c>
      <c r="O74" s="18" t="str">
        <f>IFERROR(__xludf.DUMMYFUNCTION("TEXT(VALUE(REGEXEXTRACT(G74,""^[+-]?[0-9]*\.?[0-9]+""))*100,""0.00"")&amp;"" +/- ""&amp;TEXT(VALUE(REGEXEXTRACT(G74,""[0-9]*\.?[0-9]+$""))*100,""0.00"")"),"49.44 +/- 2.22")</f>
        <v>49.44 +/- 2.22</v>
      </c>
      <c r="P74" s="18" t="str">
        <f>IFERROR(__xludf.DUMMYFUNCTION("TEXT(VALUE(REGEXEXTRACT(H74,""^[+-]?[0-9]*\.?[0-9]+""))*100,""0.00"")&amp;"" +/- ""&amp;TEXT(VALUE(REGEXEXTRACT(H74,""[0-9]*\.?[0-9]+$""))*100,""0.00"")"),"37.54 +/- 3.34")</f>
        <v>37.54 +/- 3.34</v>
      </c>
    </row>
    <row r="75">
      <c r="A75" s="6" t="s">
        <v>1303</v>
      </c>
      <c r="B75" s="14" t="s">
        <v>1304</v>
      </c>
      <c r="C75" s="14" t="s">
        <v>1305</v>
      </c>
      <c r="D75" s="14" t="s">
        <v>1306</v>
      </c>
      <c r="E75" s="14" t="s">
        <v>1307</v>
      </c>
      <c r="F75" s="14" t="s">
        <v>1308</v>
      </c>
      <c r="G75" s="14" t="s">
        <v>1309</v>
      </c>
      <c r="H75" s="14" t="s">
        <v>1310</v>
      </c>
      <c r="I75" s="17" t="str">
        <f t="shared" si="4"/>
        <v>PDE→JDT</v>
      </c>
      <c r="J75" s="19" t="str">
        <f>IFERROR(__xludf.DUMMYFUNCTION("TEXT(VALUE(REGEXEXTRACT(B75,""^[+-]?[0-9]*\.?[0-9]+""))*100,""0.00"")&amp;"" +/- ""&amp;TEXT(VALUE(REGEXEXTRACT(B75,""[0-9]*\.?[0-9]+$""))*100,""0.00"")"),"67.88 +/- 1.15")</f>
        <v>67.88 +/- 1.15</v>
      </c>
      <c r="K75" s="18" t="str">
        <f>IFERROR(__xludf.DUMMYFUNCTION("TEXT(VALUE(REGEXEXTRACT(C75,""^[+-]?[0-9]*\.?[0-9]+""))*100,""0.00"")&amp;"" +/- ""&amp;TEXT(VALUE(REGEXEXTRACT(C75,""[0-9]*\.?[0-9]+$""))*100,""0.00"")"),"38.41 +/- 1.85")</f>
        <v>38.41 +/- 1.85</v>
      </c>
      <c r="L75" s="18" t="str">
        <f>IFERROR(__xludf.DUMMYFUNCTION("TEXT(VALUE(REGEXEXTRACT(D75,""^[+-]?[0-9]*\.?[0-9]+""))*100,""0.00"")&amp;"" +/- ""&amp;TEXT(VALUE(REGEXEXTRACT(D75,""[0-9]*\.?[0-9]+$""))*100,""0.00"")"),"40.82 +/- 1.86")</f>
        <v>40.82 +/- 1.86</v>
      </c>
      <c r="M75" s="18" t="str">
        <f>IFERROR(__xludf.DUMMYFUNCTION("TEXT(VALUE(REGEXEXTRACT(E75,""^[+-]?[0-9]*\.?[0-9]+""))*100,""0.00"")&amp;"" +/- ""&amp;TEXT(VALUE(REGEXEXTRACT(E75,""[0-9]*\.?[0-9]+$""))*100,""0.00"")"),"52.42 +/- 1.75")</f>
        <v>52.42 +/- 1.75</v>
      </c>
      <c r="N75" s="18" t="str">
        <f>IFERROR(__xludf.DUMMYFUNCTION("TEXT(VALUE(REGEXEXTRACT(F75,""^[+-]?[0-9]*\.?[0-9]+""))*100,""0.00"")&amp;"" +/- ""&amp;TEXT(VALUE(REGEXEXTRACT(F75,""[0-9]*\.?[0-9]+$""))*100,""0.00"")"),"64.46 +/- 1.21")</f>
        <v>64.46 +/- 1.21</v>
      </c>
      <c r="O75" s="18" t="str">
        <f>IFERROR(__xludf.DUMMYFUNCTION("TEXT(VALUE(REGEXEXTRACT(G75,""^[+-]?[0-9]*\.?[0-9]+""))*100,""0.00"")&amp;"" +/- ""&amp;TEXT(VALUE(REGEXEXTRACT(G75,""[0-9]*\.?[0-9]+$""))*100,""0.00"")"),"65.21 +/- 1.48")</f>
        <v>65.21 +/- 1.48</v>
      </c>
      <c r="P75" s="18" t="str">
        <f>IFERROR(__xludf.DUMMYFUNCTION("TEXT(VALUE(REGEXEXTRACT(H75,""^[+-]?[0-9]*\.?[0-9]+""))*100,""0.00"")&amp;"" +/- ""&amp;TEXT(VALUE(REGEXEXTRACT(H75,""[0-9]*\.?[0-9]+$""))*100,""0.00"")"),"55.83 +/- 2.37")</f>
        <v>55.83 +/- 2.37</v>
      </c>
    </row>
    <row r="76">
      <c r="A76" s="6" t="s">
        <v>1311</v>
      </c>
      <c r="B76" s="14" t="s">
        <v>1312</v>
      </c>
      <c r="C76" s="14" t="s">
        <v>1313</v>
      </c>
      <c r="D76" s="14" t="s">
        <v>1314</v>
      </c>
      <c r="E76" s="14" t="s">
        <v>1315</v>
      </c>
      <c r="F76" s="14" t="s">
        <v>1316</v>
      </c>
      <c r="G76" s="14" t="s">
        <v>1317</v>
      </c>
      <c r="H76" s="14" t="s">
        <v>1318</v>
      </c>
      <c r="I76" s="17" t="str">
        <f t="shared" si="4"/>
        <v>PDE→LC</v>
      </c>
      <c r="J76" s="18" t="str">
        <f>IFERROR(__xludf.DUMMYFUNCTION("TEXT(VALUE(REGEXEXTRACT(B76,""^[+-]?[0-9]*\.?[0-9]+""))*100,""0.00"")&amp;"" +/- ""&amp;TEXT(VALUE(REGEXEXTRACT(B76,""[0-9]*\.?[0-9]+$""))*100,""0.00"")"),"60.97 +/- 1.96")</f>
        <v>60.97 +/- 1.96</v>
      </c>
      <c r="K76" s="18" t="str">
        <f>IFERROR(__xludf.DUMMYFUNCTION("TEXT(VALUE(REGEXEXTRACT(C76,""^[+-]?[0-9]*\.?[0-9]+""))*100,""0.00"")&amp;"" +/- ""&amp;TEXT(VALUE(REGEXEXTRACT(C76,""[0-9]*\.?[0-9]+$""))*100,""0.00"")"),"42.47 +/- 2.31")</f>
        <v>42.47 +/- 2.31</v>
      </c>
      <c r="L76" s="18" t="str">
        <f>IFERROR(__xludf.DUMMYFUNCTION("TEXT(VALUE(REGEXEXTRACT(D76,""^[+-]?[0-9]*\.?[0-9]+""))*100,""0.00"")&amp;"" +/- ""&amp;TEXT(VALUE(REGEXEXTRACT(D76,""[0-9]*\.?[0-9]+$""))*100,""0.00"")"),"48.86 +/- 3.12")</f>
        <v>48.86 +/- 3.12</v>
      </c>
      <c r="M76" s="18" t="str">
        <f>IFERROR(__xludf.DUMMYFUNCTION("TEXT(VALUE(REGEXEXTRACT(E76,""^[+-]?[0-9]*\.?[0-9]+""))*100,""0.00"")&amp;"" +/- ""&amp;TEXT(VALUE(REGEXEXTRACT(E76,""[0-9]*\.?[0-9]+$""))*100,""0.00"")"),"43.86 +/- 3.57")</f>
        <v>43.86 +/- 3.57</v>
      </c>
      <c r="N76" s="18" t="str">
        <f>IFERROR(__xludf.DUMMYFUNCTION("TEXT(VALUE(REGEXEXTRACT(F76,""^[+-]?[0-9]*\.?[0-9]+""))*100,""0.00"")&amp;"" +/- ""&amp;TEXT(VALUE(REGEXEXTRACT(F76,""[0-9]*\.?[0-9]+$""))*100,""0.00"")"),"55.72 +/- 2.33")</f>
        <v>55.72 +/- 2.33</v>
      </c>
      <c r="O76" s="18" t="str">
        <f>IFERROR(__xludf.DUMMYFUNCTION("TEXT(VALUE(REGEXEXTRACT(G76,""^[+-]?[0-9]*\.?[0-9]+""))*100,""0.00"")&amp;"" +/- ""&amp;TEXT(VALUE(REGEXEXTRACT(G76,""[0-9]*\.?[0-9]+$""))*100,""0.00"")"),"56.31 +/- 1.88")</f>
        <v>56.31 +/- 1.88</v>
      </c>
      <c r="P76" s="19" t="str">
        <f>IFERROR(__xludf.DUMMYFUNCTION("TEXT(VALUE(REGEXEXTRACT(H76,""^[+-]?[0-9]*\.?[0-9]+""))*100,""0.00"")&amp;"" +/- ""&amp;TEXT(VALUE(REGEXEXTRACT(H76,""[0-9]*\.?[0-9]+$""))*100,""0.00"")"),"63.39 +/- 2.35")</f>
        <v>63.39 +/- 2.35</v>
      </c>
    </row>
    <row r="77">
      <c r="A77" s="6" t="s">
        <v>1319</v>
      </c>
      <c r="B77" s="14" t="s">
        <v>1320</v>
      </c>
      <c r="C77" s="14" t="s">
        <v>1321</v>
      </c>
      <c r="D77" s="14" t="s">
        <v>1322</v>
      </c>
      <c r="E77" s="14" t="s">
        <v>1323</v>
      </c>
      <c r="F77" s="14" t="s">
        <v>1324</v>
      </c>
      <c r="G77" s="14" t="s">
        <v>1325</v>
      </c>
      <c r="H77" s="14" t="s">
        <v>1326</v>
      </c>
      <c r="I77" s="17" t="str">
        <f t="shared" si="4"/>
        <v>PDE→ML</v>
      </c>
      <c r="J77" s="19" t="str">
        <f>IFERROR(__xludf.DUMMYFUNCTION("TEXT(VALUE(REGEXEXTRACT(B77,""^[+-]?[0-9]*\.?[0-9]+""))*100,""0.00"")&amp;"" +/- ""&amp;TEXT(VALUE(REGEXEXTRACT(B77,""[0-9]*\.?[0-9]+$""))*100,""0.00"")"),"57.81 +/- 0.77")</f>
        <v>57.81 +/- 0.77</v>
      </c>
      <c r="K77" s="18" t="str">
        <f>IFERROR(__xludf.DUMMYFUNCTION("TEXT(VALUE(REGEXEXTRACT(C77,""^[+-]?[0-9]*\.?[0-9]+""))*100,""0.00"")&amp;"" +/- ""&amp;TEXT(VALUE(REGEXEXTRACT(C77,""[0-9]*\.?[0-9]+$""))*100,""0.00"")"),"31.99 +/- 1.27")</f>
        <v>31.99 +/- 1.27</v>
      </c>
      <c r="L77" s="18" t="str">
        <f>IFERROR(__xludf.DUMMYFUNCTION("TEXT(VALUE(REGEXEXTRACT(D77,""^[+-]?[0-9]*\.?[0-9]+""))*100,""0.00"")&amp;"" +/- ""&amp;TEXT(VALUE(REGEXEXTRACT(D77,""[0-9]*\.?[0-9]+$""))*100,""0.00"")"),"34.33 +/- 2.07")</f>
        <v>34.33 +/- 2.07</v>
      </c>
      <c r="M77" s="18" t="str">
        <f>IFERROR(__xludf.DUMMYFUNCTION("TEXT(VALUE(REGEXEXTRACT(E77,""^[+-]?[0-9]*\.?[0-9]+""))*100,""0.00"")&amp;"" +/- ""&amp;TEXT(VALUE(REGEXEXTRACT(E77,""[0-9]*\.?[0-9]+$""))*100,""0.00"")"),"45.39 +/- 1.53")</f>
        <v>45.39 +/- 1.53</v>
      </c>
      <c r="N77" s="18" t="str">
        <f>IFERROR(__xludf.DUMMYFUNCTION("TEXT(VALUE(REGEXEXTRACT(F77,""^[+-]?[0-9]*\.?[0-9]+""))*100,""0.00"")&amp;"" +/- ""&amp;TEXT(VALUE(REGEXEXTRACT(F77,""[0-9]*\.?[0-9]+$""))*100,""0.00"")"),"55.39 +/- 1.02")</f>
        <v>55.39 +/- 1.02</v>
      </c>
      <c r="O77" s="18" t="str">
        <f>IFERROR(__xludf.DUMMYFUNCTION("TEXT(VALUE(REGEXEXTRACT(G77,""^[+-]?[0-9]*\.?[0-9]+""))*100,""0.00"")&amp;"" +/- ""&amp;TEXT(VALUE(REGEXEXTRACT(G77,""[0-9]*\.?[0-9]+$""))*100,""0.00"")"),"55.41 +/- 0.88")</f>
        <v>55.41 +/- 0.88</v>
      </c>
      <c r="P77" s="18" t="str">
        <f>IFERROR(__xludf.DUMMYFUNCTION("TEXT(VALUE(REGEXEXTRACT(H77,""^[+-]?[0-9]*\.?[0-9]+""))*100,""0.00"")&amp;"" +/- ""&amp;TEXT(VALUE(REGEXEXTRACT(H77,""[0-9]*\.?[0-9]+$""))*100,""0.00"")"),"57.79 +/- 4.06")</f>
        <v>57.79 +/- 4.06</v>
      </c>
    </row>
    <row r="78">
      <c r="A78" s="6" t="s">
        <v>371</v>
      </c>
      <c r="B78" s="14"/>
      <c r="C78" s="27" t="s">
        <v>473</v>
      </c>
      <c r="D78" s="27" t="s">
        <v>473</v>
      </c>
      <c r="E78" s="27" t="s">
        <v>487</v>
      </c>
      <c r="F78" s="27" t="s">
        <v>392</v>
      </c>
      <c r="G78" s="27" t="s">
        <v>392</v>
      </c>
      <c r="H78" s="27" t="s">
        <v>1096</v>
      </c>
      <c r="I78" s="17" t="str">
        <f t="shared" si="4"/>
        <v>W/T/L</v>
      </c>
      <c r="J78" s="18"/>
      <c r="K78" s="22" t="str">
        <f>IFERROR(__xludf.DUMMYFUNCTION("SUM(ARRAYFORMULA(IFERROR(
  (VALUE(REGEXEXTRACT($J$58:$J$77,""^[+-]?[0-9]*\.?[0-9]+""))&gt;
   VALUE(REGEXEXTRACT(K$58:K$77,""^[+-]?[0-9]*\.?[0-9]+"")))*1,0)))
&amp;""/""&amp;
SUM(ARRAYFORMULA(IFERROR(
  (VALUE(REGEXEXTRACT($J$58:$J$77,""^[+-]?[0-9]*\.?[0-9]+""))=
 "&amp;"  VALUE(REGEXEXTRACT(K$58:K$77,""^[+-]?[0-9]*\.?[0-9]+"")))*1,0)))
&amp;""/""&amp;
SUM(ARRAYFORMULA(IFERROR(
  (VALUE(REGEXEXTRACT($J$58:$J$77,""^[+-]?[0-9]*\.?[0-9]+""))&lt;
   VALUE(REGEXEXTRACT(K$58:K$77,""^[+-]?[0-9]*\.?[0-9]+"")))*1,0)))"),"18/0/2")</f>
        <v>18/0/2</v>
      </c>
      <c r="L78" s="22" t="str">
        <f>IFERROR(__xludf.DUMMYFUNCTION("SUM(ARRAYFORMULA(IFERROR(
  (VALUE(REGEXEXTRACT($J$58:$J$77,""^[+-]?[0-9]*\.?[0-9]+""))&gt;
   VALUE(REGEXEXTRACT(L$58:L$77,""^[+-]?[0-9]*\.?[0-9]+"")))*1,0)))
&amp;""/""&amp;
SUM(ARRAYFORMULA(IFERROR(
  (VALUE(REGEXEXTRACT($J$58:$J$77,""^[+-]?[0-9]*\.?[0-9]+""))=
 "&amp;"  VALUE(REGEXEXTRACT(L$58:L$77,""^[+-]?[0-9]*\.?[0-9]+"")))*1,0)))
&amp;""/""&amp;
SUM(ARRAYFORMULA(IFERROR(
  (VALUE(REGEXEXTRACT($J$58:$J$77,""^[+-]?[0-9]*\.?[0-9]+""))&lt;
   VALUE(REGEXEXTRACT(L$58:L$77,""^[+-]?[0-9]*\.?[0-9]+"")))*1,0)))"),"18/0/2")</f>
        <v>18/0/2</v>
      </c>
      <c r="M78" s="22" t="str">
        <f>IFERROR(__xludf.DUMMYFUNCTION("SUM(ARRAYFORMULA(IFERROR(
  (VALUE(REGEXEXTRACT($J$58:$J$77,""^[+-]?[0-9]*\.?[0-9]+""))&gt;
   VALUE(REGEXEXTRACT(M$58:M$77,""^[+-]?[0-9]*\.?[0-9]+"")))*1,0)))
&amp;""/""&amp;
SUM(ARRAYFORMULA(IFERROR(
  (VALUE(REGEXEXTRACT($J$58:$J$77,""^[+-]?[0-9]*\.?[0-9]+""))=
 "&amp;"  VALUE(REGEXEXTRACT(M$58:M$77,""^[+-]?[0-9]*\.?[0-9]+"")))*1,0)))
&amp;""/""&amp;
SUM(ARRAYFORMULA(IFERROR(
  (VALUE(REGEXEXTRACT($J$58:$J$77,""^[+-]?[0-9]*\.?[0-9]+""))&lt;
   VALUE(REGEXEXTRACT(M$58:M$77,""^[+-]?[0-9]*\.?[0-9]+"")))*1,0)))"),"20/0/0")</f>
        <v>20/0/0</v>
      </c>
      <c r="N78" s="22" t="str">
        <f>IFERROR(__xludf.DUMMYFUNCTION("SUM(ARRAYFORMULA(IFERROR(
  (VALUE(REGEXEXTRACT($J$58:$J$77,""^[+-]?[0-9]*\.?[0-9]+""))&gt;
   VALUE(REGEXEXTRACT(N$58:N$77,""^[+-]?[0-9]*\.?[0-9]+"")))*1,0)))
&amp;""/""&amp;
SUM(ARRAYFORMULA(IFERROR(
  (VALUE(REGEXEXTRACT($J$58:$J$77,""^[+-]?[0-9]*\.?[0-9]+""))=
 "&amp;"  VALUE(REGEXEXTRACT(N$58:N$77,""^[+-]?[0-9]*\.?[0-9]+"")))*1,0)))
&amp;""/""&amp;
SUM(ARRAYFORMULA(IFERROR(
  (VALUE(REGEXEXTRACT($J$58:$J$77,""^[+-]?[0-9]*\.?[0-9]+""))&lt;
   VALUE(REGEXEXTRACT(N$58:N$77,""^[+-]?[0-9]*\.?[0-9]+"")))*1,0)))"),"14/0/6")</f>
        <v>14/0/6</v>
      </c>
      <c r="O78" s="22" t="str">
        <f>IFERROR(__xludf.DUMMYFUNCTION("SUM(ARRAYFORMULA(IFERROR(
  (VALUE(REGEXEXTRACT($J$58:$J$77,""^[+-]?[0-9]*\.?[0-9]+""))&gt;
   VALUE(REGEXEXTRACT(O$58:O$77,""^[+-]?[0-9]*\.?[0-9]+"")))*1,0)))
&amp;""/""&amp;
SUM(ARRAYFORMULA(IFERROR(
  (VALUE(REGEXEXTRACT($J$58:$J$77,""^[+-]?[0-9]*\.?[0-9]+""))=
 "&amp;"  VALUE(REGEXEXTRACT(O$58:O$77,""^[+-]?[0-9]*\.?[0-9]+"")))*1,0)))
&amp;""/""&amp;
SUM(ARRAYFORMULA(IFERROR(
  (VALUE(REGEXEXTRACT($J$58:$J$77,""^[+-]?[0-9]*\.?[0-9]+""))&lt;
   VALUE(REGEXEXTRACT(O$58:O$77,""^[+-]?[0-9]*\.?[0-9]+"")))*1,0)))"),"14/0/6")</f>
        <v>14/0/6</v>
      </c>
      <c r="P78" s="22" t="str">
        <f>IFERROR(__xludf.DUMMYFUNCTION("SUM(ARRAYFORMULA(IFERROR(
  (VALUE(REGEXEXTRACT($J$58:$J$77,""^[+-]?[0-9]*\.?[0-9]+""))&gt;
   VALUE(REGEXEXTRACT(P$58:P$77,""^[+-]?[0-9]*\.?[0-9]+"")))*1,0)))
&amp;""/""&amp;
SUM(ARRAYFORMULA(IFERROR(
  (VALUE(REGEXEXTRACT($J$58:$J$77,""^[+-]?[0-9]*\.?[0-9]+""))=
 "&amp;"  VALUE(REGEXEXTRACT(P$58:P$77,""^[+-]?[0-9]*\.?[0-9]+"")))*1,0)))
&amp;""/""&amp;
SUM(ARRAYFORMULA(IFERROR(
  (VALUE(REGEXEXTRACT($J$58:$J$77,""^[+-]?[0-9]*\.?[0-9]+""))&lt;
   VALUE(REGEXEXTRACT(P$58:P$77,""^[+-]?[0-9]*\.?[0-9]+"")))*1,0)))"),"15/0/5")</f>
        <v>15/0/5</v>
      </c>
    </row>
    <row r="79">
      <c r="A79" s="6" t="s">
        <v>489</v>
      </c>
      <c r="B79" s="24" t="s">
        <v>1327</v>
      </c>
      <c r="C79" s="24" t="s">
        <v>1328</v>
      </c>
      <c r="D79" s="24" t="s">
        <v>1329</v>
      </c>
      <c r="E79" s="24" t="s">
        <v>1330</v>
      </c>
      <c r="F79" s="24" t="s">
        <v>1331</v>
      </c>
      <c r="G79" s="24" t="s">
        <v>1332</v>
      </c>
      <c r="H79" s="24" t="s">
        <v>1333</v>
      </c>
      <c r="I79" s="17" t="str">
        <f t="shared" si="4"/>
        <v>Average (%)</v>
      </c>
      <c r="J79" s="24">
        <f>IFERROR(__xludf.DUMMYFUNCTION("ROUND(AVERAGE(ARRAYFORMULA(IFERROR(VALUE(REGEXEXTRACT(J$58:J$77,""^[+-]?[0-9]*\.?[0-9]+"")),""""))),2)"),61.12)</f>
        <v>61.12</v>
      </c>
      <c r="K79" s="24">
        <f>IFERROR(__xludf.DUMMYFUNCTION("ROUND(AVERAGE(ARRAYFORMULA(IFERROR(VALUE(REGEXEXTRACT(K$58:K$77,""^[+-]?[0-9]*\.?[0-9]+"")),""""))),2)"),45.05)</f>
        <v>45.05</v>
      </c>
      <c r="L79" s="24">
        <f>IFERROR(__xludf.DUMMYFUNCTION("ROUND(AVERAGE(ARRAYFORMULA(IFERROR(VALUE(REGEXEXTRACT(L$58:L$77,""^[+-]?[0-9]*\.?[0-9]+"")),""""))),2)"),44.43)</f>
        <v>44.43</v>
      </c>
      <c r="M79" s="24">
        <f>IFERROR(__xludf.DUMMYFUNCTION("ROUND(AVERAGE(ARRAYFORMULA(IFERROR(VALUE(REGEXEXTRACT(M$58:M$77,""^[+-]?[0-9]*\.?[0-9]+"")),""""))),2)"),52.0)</f>
        <v>52</v>
      </c>
      <c r="N79" s="24">
        <f>IFERROR(__xludf.DUMMYFUNCTION("ROUND(AVERAGE(ARRAYFORMULA(IFERROR(VALUE(REGEXEXTRACT(N$58:N$77,""^[+-]?[0-9]*\.?[0-9]+"")),""""))),2)"),58.86)</f>
        <v>58.86</v>
      </c>
      <c r="O79" s="24">
        <f>IFERROR(__xludf.DUMMYFUNCTION("ROUND(AVERAGE(ARRAYFORMULA(IFERROR(VALUE(REGEXEXTRACT(O$58:O$77,""^[+-]?[0-9]*\.?[0-9]+"")),""""))),2)"),59.56)</f>
        <v>59.56</v>
      </c>
      <c r="P79" s="24">
        <f>IFERROR(__xludf.DUMMYFUNCTION("ROUND(AVERAGE(ARRAYFORMULA(IFERROR(VALUE(REGEXEXTRACT(P$58:P$77,""^[+-]?[0-9]*\.?[0-9]+"")),""""))),2)"),51.65)</f>
        <v>51.65</v>
      </c>
    </row>
    <row r="80">
      <c r="A80" s="6" t="s">
        <v>1334</v>
      </c>
      <c r="B80" s="14"/>
      <c r="C80" s="29" t="s">
        <v>1335</v>
      </c>
      <c r="D80" s="29" t="s">
        <v>1336</v>
      </c>
      <c r="E80" s="29" t="s">
        <v>1337</v>
      </c>
      <c r="F80" s="29" t="s">
        <v>1338</v>
      </c>
      <c r="G80" s="29" t="s">
        <v>1339</v>
      </c>
      <c r="H80" s="29" t="s">
        <v>1340</v>
      </c>
      <c r="I80" s="17" t="str">
        <f t="shared" si="4"/>
        <v>Overall W/T/L</v>
      </c>
      <c r="J80" s="18"/>
      <c r="K80" s="29" t="str">
        <f>IFERROR(__xludf.DUMMYFUNCTION("SUM(ARRAYFORMULA(IFERROR(REGEXMATCH($A$3:$A$77,""→"")*(VALUE(REGEXEXTRACT($J$3:$J$77,""^[+-]?[0-9]*\.?[0-9]+""))&gt;VALUE(REGEXEXTRACT(K$3:K$77,""^[+-]?[0-9]*\.?[0-9]+""))),0)))
&amp;""/""&amp;
SUM(ARRAYFORMULA(IFERROR(REGEXMATCH($A$3:$A$77,""→"")*(VALUE(REGEXEXTRAC"&amp;"T($J$3:$J$77,""^[+-]?[0-9]*\.?[0-9]+""))=VALUE(REGEXEXTRACT(K$3:K$77,""^[+-]?[0-9]*\.?[0-9]+""))),0)))
&amp;""/""&amp;
SUM(ARRAYFORMULA(IFERROR(REGEXMATCH($A$3:$A$77,""→"")*(VALUE(REGEXEXTRACT($J$3:$J$77,""^[+-]?[0-9]*\.?[0-9]+""))&lt;VALUE(REGEXEXTRACT(K$3:K$77,""^"&amp;"[+-]?[0-9]*\.?[0-9]+""))),0)))"),"56/2/8")</f>
        <v>56/2/8</v>
      </c>
      <c r="L80" s="29" t="str">
        <f>IFERROR(__xludf.DUMMYFUNCTION("SUM(ARRAYFORMULA(IFERROR(REGEXMATCH($A$3:$A$77,""→"")*(VALUE(REGEXEXTRACT($J$3:$J$77,""^[+-]?[0-9]*\.?[0-9]+""))&gt;VALUE(REGEXEXTRACT(L$3:L$77,""^[+-]?[0-9]*\.?[0-9]+""))),0)))
&amp;""/""&amp;
SUM(ARRAYFORMULA(IFERROR(REGEXMATCH($A$3:$A$77,""→"")*(VALUE(REGEXEXTRAC"&amp;"T($J$3:$J$77,""^[+-]?[0-9]*\.?[0-9]+""))=VALUE(REGEXEXTRACT(L$3:L$77,""^[+-]?[0-9]*\.?[0-9]+""))),0)))
&amp;""/""&amp;
SUM(ARRAYFORMULA(IFERROR(REGEXMATCH($A$3:$A$77,""→"")*(VALUE(REGEXEXTRACT($J$3:$J$77,""^[+-]?[0-9]*\.?[0-9]+""))&lt;VALUE(REGEXEXTRACT(L$3:L$77,""^"&amp;"[+-]?[0-9]*\.?[0-9]+""))),0)))"),"64/0/2")</f>
        <v>64/0/2</v>
      </c>
      <c r="M80" s="29" t="str">
        <f>IFERROR(__xludf.DUMMYFUNCTION("SUM(ARRAYFORMULA(IFERROR(REGEXMATCH($A$3:$A$77,""→"")*(VALUE(REGEXEXTRACT($J$3:$J$77,""^[+-]?[0-9]*\.?[0-9]+""))&gt;VALUE(REGEXEXTRACT(M$3:M$77,""^[+-]?[0-9]*\.?[0-9]+""))),0)))
&amp;""/""&amp;
SUM(ARRAYFORMULA(IFERROR(REGEXMATCH($A$3:$A$77,""→"")*(VALUE(REGEXEXTRAC"&amp;"T($J$3:$J$77,""^[+-]?[0-9]*\.?[0-9]+""))=VALUE(REGEXEXTRACT(M$3:M$77,""^[+-]?[0-9]*\.?[0-9]+""))),0)))
&amp;""/""&amp;
SUM(ARRAYFORMULA(IFERROR(REGEXMATCH($A$3:$A$77,""→"")*(VALUE(REGEXEXTRACT($J$3:$J$77,""^[+-]?[0-9]*\.?[0-9]+""))&lt;VALUE(REGEXEXTRACT(M$3:M$77,""^"&amp;"[+-]?[0-9]*\.?[0-9]+""))),0)))"),"57/2/7")</f>
        <v>57/2/7</v>
      </c>
      <c r="N80" s="29" t="str">
        <f>IFERROR(__xludf.DUMMYFUNCTION("SUM(ARRAYFORMULA(IFERROR(REGEXMATCH($A$3:$A$77,""→"")*(VALUE(REGEXEXTRACT($J$3:$J$77,""^[+-]?[0-9]*\.?[0-9]+""))&gt;VALUE(REGEXEXTRACT(N$3:N$77,""^[+-]?[0-9]*\.?[0-9]+""))),0)))
&amp;""/""&amp;
SUM(ARRAYFORMULA(IFERROR(REGEXMATCH($A$3:$A$77,""→"")*(VALUE(REGEXEXTRAC"&amp;"T($J$3:$J$77,""^[+-]?[0-9]*\.?[0-9]+""))=VALUE(REGEXEXTRACT(N$3:N$77,""^[+-]?[0-9]*\.?[0-9]+""))),0)))
&amp;""/""&amp;
SUM(ARRAYFORMULA(IFERROR(REGEXMATCH($A$3:$A$77,""→"")*(VALUE(REGEXEXTRACT($J$3:$J$77,""^[+-]?[0-9]*\.?[0-9]+""))&lt;VALUE(REGEXEXTRACT(N$3:N$77,""^"&amp;"[+-]?[0-9]*\.?[0-9]+""))),0)))"),"34/2/30")</f>
        <v>34/2/30</v>
      </c>
      <c r="O80" s="29" t="str">
        <f>IFERROR(__xludf.DUMMYFUNCTION("SUM(ARRAYFORMULA(IFERROR(REGEXMATCH($A$3:$A$77,""→"")*(VALUE(REGEXEXTRACT($J$3:$J$77,""^[+-]?[0-9]*\.?[0-9]+""))&gt;VALUE(REGEXEXTRACT(O$3:O$77,""^[+-]?[0-9]*\.?[0-9]+""))),0)))
&amp;""/""&amp;
SUM(ARRAYFORMULA(IFERROR(REGEXMATCH($A$3:$A$77,""→"")*(VALUE(REGEXEXTRAC"&amp;"T($J$3:$J$77,""^[+-]?[0-9]*\.?[0-9]+""))=VALUE(REGEXEXTRACT(O$3:O$77,""^[+-]?[0-9]*\.?[0-9]+""))),0)))
&amp;""/""&amp;
SUM(ARRAYFORMULA(IFERROR(REGEXMATCH($A$3:$A$77,""→"")*(VALUE(REGEXEXTRACT($J$3:$J$77,""^[+-]?[0-9]*\.?[0-9]+""))&lt;VALUE(REGEXEXTRACT(O$3:O$77,""^"&amp;"[+-]?[0-9]*\.?[0-9]+""))),0)))"),"41/2/23")</f>
        <v>41/2/23</v>
      </c>
      <c r="P80" s="29" t="str">
        <f>IFERROR(__xludf.DUMMYFUNCTION("SUM(ARRAYFORMULA(IFERROR(REGEXMATCH($A$3:$A$77,""→"")*(VALUE(REGEXEXTRACT($J$3:$J$77,""^[+-]?[0-9]*\.?[0-9]+""))&gt;VALUE(REGEXEXTRACT(P$3:P$77,""^[+-]?[0-9]*\.?[0-9]+""))),0)))
&amp;""/""&amp;
SUM(ARRAYFORMULA(IFERROR(REGEXMATCH($A$3:$A$77,""→"")*(VALUE(REGEXEXTRAC"&amp;"T($J$3:$J$77,""^[+-]?[0-9]*\.?[0-9]+""))=VALUE(REGEXEXTRACT(P$3:P$77,""^[+-]?[0-9]*\.?[0-9]+""))),0)))
&amp;""/""&amp;
SUM(ARRAYFORMULA(IFERROR(REGEXMATCH($A$3:$A$77,""→"")*(VALUE(REGEXEXTRACT($J$3:$J$77,""^[+-]?[0-9]*\.?[0-9]+""))&lt;VALUE(REGEXEXTRACT(P$3:P$77,""^"&amp;"[+-]?[0-9]*\.?[0-9]+""))),0)))"),"42/2/22")</f>
        <v>42/2/22</v>
      </c>
    </row>
    <row r="81">
      <c r="A81" s="6" t="s">
        <v>1348</v>
      </c>
      <c r="B81" s="30">
        <v>60.7</v>
      </c>
      <c r="C81" s="30">
        <v>38.55</v>
      </c>
      <c r="D81" s="30">
        <v>26.89</v>
      </c>
      <c r="E81" s="30">
        <v>50.98</v>
      </c>
      <c r="F81" s="30">
        <v>59.75</v>
      </c>
      <c r="G81" s="30">
        <v>59.68</v>
      </c>
      <c r="H81" s="30">
        <v>56.29</v>
      </c>
      <c r="I81" s="17" t="str">
        <f t="shared" si="4"/>
        <v>Overall Average (%)</v>
      </c>
      <c r="J81" s="18">
        <f>IFERROR(__xludf.DUMMYFUNCTION("ROUND(AVERAGE(ARRAYFORMULA(IFERROR(VALUE(REGEXEXTRACT(FILTER(J$3:J$77,REGEXMATCH($A$3:$A$77,""→"")),""^[+-]?[0-9]*\.?[0-9]+"")),""""))),2)"),60.7)</f>
        <v>60.7</v>
      </c>
      <c r="K81" s="18">
        <f>IFERROR(__xludf.DUMMYFUNCTION("ROUND(AVERAGE(ARRAYFORMULA(IFERROR(VALUE(REGEXEXTRACT(FILTER(K$3:K$77,REGEXMATCH($A$3:$A$77,""→"")),""^[+-]?[0-9]*\.?[0-9]+"")),""""))),2)"),38.55)</f>
        <v>38.55</v>
      </c>
      <c r="L81" s="18">
        <f>IFERROR(__xludf.DUMMYFUNCTION("ROUND(AVERAGE(ARRAYFORMULA(IFERROR(VALUE(REGEXEXTRACT(FILTER(L$3:L$77,REGEXMATCH($A$3:$A$77,""→"")),""^[+-]?[0-9]*\.?[0-9]+"")),""""))),2)"),26.89)</f>
        <v>26.89</v>
      </c>
      <c r="M81" s="18">
        <f>IFERROR(__xludf.DUMMYFUNCTION("ROUND(AVERAGE(ARRAYFORMULA(IFERROR(VALUE(REGEXEXTRACT(FILTER(M$3:M$77,REGEXMATCH($A$3:$A$77,""→"")),""^[+-]?[0-9]*\.?[0-9]+"")),""""))),2)"),50.98)</f>
        <v>50.98</v>
      </c>
      <c r="N81" s="18">
        <f>IFERROR(__xludf.DUMMYFUNCTION("ROUND(AVERAGE(ARRAYFORMULA(IFERROR(VALUE(REGEXEXTRACT(FILTER(N$3:N$77,REGEXMATCH($A$3:$A$77,""→"")),""^[+-]?[0-9]*\.?[0-9]+"")),""""))),2)"),59.76)</f>
        <v>59.76</v>
      </c>
      <c r="O81" s="18">
        <f>IFERROR(__xludf.DUMMYFUNCTION("ROUND(AVERAGE(ARRAYFORMULA(IFERROR(VALUE(REGEXEXTRACT(FILTER(O$3:O$77,REGEXMATCH($A$3:$A$77,""→"")),""^[+-]?[0-9]*\.?[0-9]+"")),""""))),2)"),59.68)</f>
        <v>59.68</v>
      </c>
      <c r="P81" s="18">
        <f>IFERROR(__xludf.DUMMYFUNCTION("ROUND(AVERAGE(ARRAYFORMULA(IFERROR(VALUE(REGEXEXTRACT(FILTER(P$3:P$77,REGEXMATCH($A$3:$A$77,""→"")),""^[+-]?[0-9]*\.?[0-9]+"")),""""))),2)"),56.29)</f>
        <v>56.29</v>
      </c>
    </row>
    <row r="82">
      <c r="A82" s="31"/>
      <c r="B82" s="32"/>
      <c r="C82" s="28"/>
      <c r="D82" s="28"/>
      <c r="E82" s="28"/>
      <c r="F82" s="28"/>
      <c r="G82" s="28"/>
      <c r="H82" s="28"/>
      <c r="I82" s="33"/>
      <c r="J82" s="30"/>
      <c r="K82" s="30"/>
      <c r="L82" s="30"/>
      <c r="M82" s="30"/>
      <c r="N82" s="30"/>
      <c r="O82" s="30"/>
      <c r="P82" s="30"/>
    </row>
    <row r="83">
      <c r="A83" s="10"/>
      <c r="B83" s="32"/>
      <c r="C83" s="28"/>
      <c r="D83" s="28"/>
      <c r="E83" s="28"/>
      <c r="F83" s="28"/>
      <c r="G83" s="28"/>
      <c r="H83" s="28"/>
      <c r="I83" s="33"/>
      <c r="J83" s="18"/>
      <c r="K83" s="30"/>
      <c r="L83" s="30"/>
      <c r="M83" s="30"/>
      <c r="N83" s="18"/>
      <c r="O83" s="18"/>
      <c r="P83" s="18"/>
    </row>
    <row r="84">
      <c r="A84" s="10"/>
      <c r="I84" s="10"/>
    </row>
    <row r="85">
      <c r="A85" s="10"/>
      <c r="I85" s="10"/>
    </row>
    <row r="86">
      <c r="A86" s="10"/>
      <c r="I86" s="10"/>
    </row>
    <row r="87">
      <c r="A87" s="10"/>
      <c r="I87" s="10"/>
    </row>
    <row r="88">
      <c r="A88" s="10"/>
      <c r="I88" s="10"/>
    </row>
    <row r="89">
      <c r="A89" s="10"/>
      <c r="I89" s="10"/>
    </row>
    <row r="90">
      <c r="A90" s="10"/>
      <c r="I90" s="10"/>
    </row>
    <row r="91">
      <c r="A91" s="10"/>
      <c r="I91" s="10"/>
    </row>
    <row r="92">
      <c r="A92" s="10"/>
      <c r="I92" s="10"/>
    </row>
    <row r="93">
      <c r="A93" s="10"/>
      <c r="I93" s="10"/>
    </row>
    <row r="94">
      <c r="A94" s="10"/>
      <c r="I94" s="10"/>
    </row>
    <row r="95">
      <c r="A95" s="10"/>
      <c r="I95" s="10"/>
    </row>
    <row r="96">
      <c r="A96" s="10"/>
      <c r="I96" s="10"/>
    </row>
    <row r="97">
      <c r="A97" s="10"/>
      <c r="I97" s="10"/>
    </row>
    <row r="98">
      <c r="A98" s="10"/>
      <c r="I98" s="10"/>
    </row>
    <row r="99">
      <c r="A99" s="10"/>
      <c r="I99" s="10"/>
    </row>
    <row r="100">
      <c r="A100" s="10"/>
      <c r="I100" s="10"/>
    </row>
    <row r="101">
      <c r="A101" s="10"/>
      <c r="I101" s="10"/>
    </row>
    <row r="102">
      <c r="A102" s="10"/>
      <c r="I102" s="10"/>
    </row>
    <row r="103">
      <c r="A103" s="10"/>
      <c r="I103" s="10"/>
    </row>
    <row r="104">
      <c r="A104" s="10"/>
      <c r="I104" s="10"/>
    </row>
    <row r="105">
      <c r="A105" s="10"/>
      <c r="I105" s="10"/>
    </row>
    <row r="106">
      <c r="A106" s="10"/>
      <c r="I106" s="10"/>
    </row>
    <row r="107">
      <c r="A107" s="10"/>
      <c r="I107" s="10"/>
    </row>
    <row r="108">
      <c r="A108" s="10"/>
      <c r="I108" s="10"/>
    </row>
    <row r="109">
      <c r="A109" s="10"/>
      <c r="I109" s="10"/>
    </row>
    <row r="110">
      <c r="A110" s="10"/>
      <c r="I110" s="10"/>
    </row>
    <row r="111">
      <c r="A111" s="10"/>
      <c r="I111" s="10"/>
    </row>
    <row r="112">
      <c r="A112" s="10"/>
      <c r="I112" s="10"/>
    </row>
    <row r="113">
      <c r="A113" s="10"/>
      <c r="I113" s="10"/>
    </row>
    <row r="114">
      <c r="A114" s="10"/>
      <c r="I114" s="10"/>
    </row>
    <row r="115">
      <c r="A115" s="10"/>
      <c r="I115" s="10"/>
    </row>
    <row r="116">
      <c r="A116" s="10"/>
      <c r="I116" s="10"/>
    </row>
    <row r="117">
      <c r="A117" s="10"/>
      <c r="I117" s="10"/>
    </row>
    <row r="118">
      <c r="A118" s="10"/>
      <c r="I118" s="10"/>
    </row>
    <row r="119">
      <c r="A119" s="10"/>
      <c r="I119" s="10"/>
    </row>
    <row r="120">
      <c r="A120" s="10"/>
      <c r="I120" s="10"/>
    </row>
    <row r="121">
      <c r="A121" s="10"/>
      <c r="I121" s="10"/>
    </row>
    <row r="122">
      <c r="A122" s="10"/>
      <c r="I122" s="10"/>
    </row>
    <row r="123">
      <c r="A123" s="10"/>
      <c r="I123" s="10"/>
    </row>
    <row r="124">
      <c r="A124" s="10"/>
      <c r="I124" s="10"/>
    </row>
    <row r="125">
      <c r="A125" s="10"/>
      <c r="I125" s="10"/>
    </row>
    <row r="126">
      <c r="A126" s="10"/>
      <c r="I126" s="10"/>
    </row>
    <row r="127">
      <c r="A127" s="10"/>
      <c r="I127" s="10"/>
    </row>
    <row r="128">
      <c r="A128" s="10"/>
      <c r="I128" s="10"/>
    </row>
    <row r="129">
      <c r="A129" s="10"/>
      <c r="I129" s="10"/>
    </row>
    <row r="130">
      <c r="A130" s="10"/>
      <c r="I130" s="10"/>
    </row>
    <row r="131">
      <c r="A131" s="10"/>
      <c r="I131" s="10"/>
    </row>
    <row r="132">
      <c r="A132" s="10"/>
      <c r="I132" s="10"/>
    </row>
    <row r="133">
      <c r="A133" s="10"/>
      <c r="I133" s="10"/>
    </row>
    <row r="134">
      <c r="A134" s="10"/>
      <c r="I134" s="10"/>
    </row>
    <row r="135">
      <c r="A135" s="10"/>
      <c r="I135" s="10"/>
    </row>
    <row r="136">
      <c r="A136" s="10"/>
      <c r="I136" s="10"/>
    </row>
    <row r="137">
      <c r="A137" s="10"/>
      <c r="I137" s="10"/>
    </row>
    <row r="138">
      <c r="A138" s="10"/>
      <c r="I138" s="10"/>
    </row>
    <row r="139">
      <c r="A139" s="10"/>
      <c r="I139" s="10"/>
    </row>
    <row r="140">
      <c r="A140" s="10"/>
      <c r="I140" s="10"/>
    </row>
    <row r="141">
      <c r="A141" s="10"/>
      <c r="I141" s="10"/>
    </row>
    <row r="142">
      <c r="A142" s="10"/>
      <c r="I142" s="10"/>
    </row>
    <row r="143">
      <c r="A143" s="10"/>
      <c r="I143" s="10"/>
    </row>
    <row r="144">
      <c r="A144" s="10"/>
      <c r="I144" s="10"/>
    </row>
    <row r="145">
      <c r="A145" s="10"/>
      <c r="I145" s="10"/>
    </row>
    <row r="146">
      <c r="A146" s="10"/>
      <c r="I146" s="10"/>
    </row>
    <row r="147">
      <c r="A147" s="10"/>
      <c r="I147" s="10"/>
    </row>
    <row r="148">
      <c r="A148" s="10"/>
      <c r="I148" s="10"/>
    </row>
    <row r="149">
      <c r="A149" s="10"/>
      <c r="I149" s="10"/>
    </row>
    <row r="150">
      <c r="A150" s="10"/>
      <c r="I150" s="10"/>
    </row>
    <row r="151">
      <c r="A151" s="10"/>
      <c r="I151" s="10"/>
    </row>
    <row r="152">
      <c r="A152" s="10"/>
      <c r="I152" s="10"/>
    </row>
    <row r="153">
      <c r="A153" s="10"/>
      <c r="I153" s="10"/>
    </row>
    <row r="154">
      <c r="A154" s="10"/>
      <c r="I154" s="10"/>
    </row>
    <row r="155">
      <c r="A155" s="10"/>
      <c r="I155" s="10"/>
    </row>
    <row r="156">
      <c r="A156" s="10"/>
      <c r="I156" s="10"/>
    </row>
    <row r="157">
      <c r="A157" s="10"/>
      <c r="I157" s="10"/>
    </row>
    <row r="158">
      <c r="A158" s="10"/>
      <c r="I158" s="10"/>
    </row>
    <row r="159">
      <c r="A159" s="10"/>
      <c r="I159" s="10"/>
    </row>
    <row r="160">
      <c r="A160" s="10"/>
      <c r="I160" s="10"/>
    </row>
    <row r="161">
      <c r="A161" s="10"/>
      <c r="I161" s="10"/>
    </row>
    <row r="162">
      <c r="A162" s="10"/>
      <c r="I162" s="10"/>
    </row>
    <row r="163">
      <c r="A163" s="10"/>
      <c r="I163" s="10"/>
    </row>
    <row r="164">
      <c r="A164" s="10"/>
      <c r="I164" s="10"/>
    </row>
    <row r="165">
      <c r="A165" s="10"/>
      <c r="I165" s="10"/>
    </row>
    <row r="166">
      <c r="A166" s="10"/>
      <c r="I166" s="10"/>
    </row>
    <row r="167">
      <c r="A167" s="10"/>
      <c r="I167" s="10"/>
    </row>
    <row r="168">
      <c r="A168" s="10"/>
      <c r="I168" s="10"/>
    </row>
    <row r="169">
      <c r="A169" s="10"/>
      <c r="I169" s="10"/>
    </row>
    <row r="170">
      <c r="A170" s="10"/>
      <c r="I170" s="10"/>
    </row>
    <row r="171">
      <c r="A171" s="10"/>
      <c r="I171" s="10"/>
    </row>
    <row r="172">
      <c r="A172" s="10"/>
      <c r="I172" s="10"/>
    </row>
    <row r="173">
      <c r="A173" s="10"/>
      <c r="I173" s="10"/>
    </row>
    <row r="174">
      <c r="A174" s="10"/>
      <c r="I174" s="10"/>
    </row>
    <row r="175">
      <c r="A175" s="10"/>
      <c r="I175" s="10"/>
    </row>
    <row r="176">
      <c r="A176" s="10"/>
      <c r="I176" s="10"/>
    </row>
    <row r="177">
      <c r="A177" s="10"/>
      <c r="I177" s="10"/>
    </row>
    <row r="178">
      <c r="A178" s="10"/>
      <c r="I178" s="10"/>
    </row>
    <row r="179">
      <c r="A179" s="10"/>
      <c r="I179" s="10"/>
    </row>
    <row r="180">
      <c r="A180" s="10"/>
      <c r="I180" s="10"/>
    </row>
    <row r="181">
      <c r="A181" s="10"/>
      <c r="I181" s="10"/>
    </row>
    <row r="182">
      <c r="A182" s="10"/>
      <c r="I182" s="10"/>
    </row>
    <row r="183">
      <c r="A183" s="10"/>
      <c r="I183" s="10"/>
    </row>
    <row r="184">
      <c r="A184" s="10"/>
      <c r="I184" s="10"/>
    </row>
    <row r="185">
      <c r="A185" s="10"/>
      <c r="I185" s="10"/>
    </row>
    <row r="186">
      <c r="A186" s="10"/>
      <c r="I186" s="10"/>
    </row>
    <row r="187">
      <c r="A187" s="10"/>
      <c r="I187" s="10"/>
    </row>
    <row r="188">
      <c r="A188" s="10"/>
      <c r="I188" s="10"/>
    </row>
    <row r="189">
      <c r="A189" s="10"/>
      <c r="I189" s="10"/>
    </row>
    <row r="190">
      <c r="A190" s="10"/>
      <c r="I190" s="10"/>
    </row>
    <row r="191">
      <c r="A191" s="10"/>
      <c r="I191" s="10"/>
    </row>
    <row r="192">
      <c r="A192" s="10"/>
      <c r="I192" s="10"/>
    </row>
    <row r="193">
      <c r="A193" s="10"/>
      <c r="I193" s="10"/>
    </row>
    <row r="194">
      <c r="A194" s="10"/>
      <c r="I194" s="10"/>
    </row>
    <row r="195">
      <c r="A195" s="10"/>
      <c r="I195" s="10"/>
    </row>
    <row r="196">
      <c r="A196" s="10"/>
      <c r="I196" s="10"/>
    </row>
    <row r="197">
      <c r="A197" s="10"/>
      <c r="I197" s="10"/>
    </row>
    <row r="198">
      <c r="A198" s="10"/>
      <c r="I198" s="10"/>
    </row>
    <row r="199">
      <c r="A199" s="10"/>
      <c r="I199" s="10"/>
    </row>
    <row r="200">
      <c r="A200" s="10"/>
      <c r="I200" s="10"/>
    </row>
    <row r="201">
      <c r="A201" s="10"/>
      <c r="I201" s="10"/>
    </row>
    <row r="202">
      <c r="A202" s="10"/>
      <c r="I202" s="10"/>
    </row>
    <row r="203">
      <c r="A203" s="10"/>
      <c r="I203" s="10"/>
    </row>
    <row r="204">
      <c r="A204" s="10"/>
      <c r="I204" s="10"/>
    </row>
    <row r="205">
      <c r="A205" s="10"/>
      <c r="I205" s="10"/>
    </row>
    <row r="206">
      <c r="A206" s="10"/>
      <c r="I206" s="10"/>
    </row>
    <row r="207">
      <c r="A207" s="10"/>
      <c r="I207" s="10"/>
    </row>
    <row r="208">
      <c r="A208" s="10"/>
      <c r="I208" s="10"/>
    </row>
    <row r="209">
      <c r="A209" s="10"/>
      <c r="I209" s="10"/>
    </row>
    <row r="210">
      <c r="A210" s="10"/>
      <c r="I210" s="10"/>
    </row>
    <row r="211">
      <c r="A211" s="10"/>
      <c r="I211" s="10"/>
    </row>
    <row r="212">
      <c r="A212" s="10"/>
      <c r="I212" s="10"/>
    </row>
    <row r="213">
      <c r="A213" s="10"/>
      <c r="I213" s="10"/>
    </row>
    <row r="214">
      <c r="A214" s="10"/>
      <c r="I214" s="10"/>
    </row>
    <row r="215">
      <c r="A215" s="10"/>
      <c r="I215" s="10"/>
    </row>
    <row r="216">
      <c r="A216" s="10"/>
      <c r="I216" s="10"/>
    </row>
    <row r="217">
      <c r="A217" s="10"/>
      <c r="I217" s="10"/>
    </row>
    <row r="218">
      <c r="A218" s="10"/>
      <c r="I218" s="10"/>
    </row>
    <row r="219">
      <c r="A219" s="10"/>
      <c r="I219" s="10"/>
    </row>
    <row r="220">
      <c r="A220" s="10"/>
      <c r="I220" s="10"/>
    </row>
    <row r="221">
      <c r="A221" s="10"/>
      <c r="I221" s="10"/>
    </row>
    <row r="222">
      <c r="A222" s="10"/>
      <c r="I222" s="10"/>
    </row>
    <row r="223">
      <c r="A223" s="10"/>
      <c r="I223" s="10"/>
    </row>
    <row r="224">
      <c r="A224" s="10"/>
      <c r="I224" s="10"/>
    </row>
    <row r="225">
      <c r="A225" s="10"/>
      <c r="I225" s="10"/>
    </row>
    <row r="226">
      <c r="A226" s="10"/>
      <c r="I226" s="10"/>
    </row>
    <row r="227">
      <c r="A227" s="10"/>
      <c r="I227" s="10"/>
    </row>
    <row r="228">
      <c r="A228" s="10"/>
      <c r="I228" s="10"/>
    </row>
    <row r="229">
      <c r="A229" s="10"/>
      <c r="I229" s="10"/>
    </row>
    <row r="230">
      <c r="A230" s="10"/>
      <c r="I230" s="10"/>
    </row>
    <row r="231">
      <c r="A231" s="10"/>
      <c r="I231" s="10"/>
    </row>
    <row r="232">
      <c r="A232" s="10"/>
      <c r="I232" s="10"/>
    </row>
    <row r="233">
      <c r="A233" s="10"/>
      <c r="I233" s="10"/>
    </row>
    <row r="234">
      <c r="A234" s="10"/>
      <c r="I234" s="10"/>
    </row>
    <row r="235">
      <c r="A235" s="10"/>
      <c r="I235" s="10"/>
    </row>
    <row r="236">
      <c r="A236" s="10"/>
      <c r="I236" s="10"/>
    </row>
    <row r="237">
      <c r="A237" s="10"/>
      <c r="I237" s="10"/>
    </row>
    <row r="238">
      <c r="A238" s="10"/>
      <c r="I238" s="10"/>
    </row>
    <row r="239">
      <c r="A239" s="10"/>
      <c r="I239" s="10"/>
    </row>
    <row r="240">
      <c r="A240" s="10"/>
      <c r="I240" s="10"/>
    </row>
    <row r="241">
      <c r="A241" s="10"/>
      <c r="I241" s="10"/>
    </row>
    <row r="242">
      <c r="A242" s="10"/>
      <c r="I242" s="10"/>
    </row>
    <row r="243">
      <c r="A243" s="10"/>
      <c r="I243" s="10"/>
    </row>
    <row r="244">
      <c r="A244" s="10"/>
      <c r="I244" s="10"/>
    </row>
    <row r="245">
      <c r="A245" s="10"/>
      <c r="I245" s="10"/>
    </row>
    <row r="246">
      <c r="A246" s="10"/>
      <c r="I246" s="10"/>
    </row>
    <row r="247">
      <c r="A247" s="10"/>
      <c r="I247" s="10"/>
    </row>
    <row r="248">
      <c r="A248" s="10"/>
      <c r="I248" s="10"/>
    </row>
    <row r="249">
      <c r="A249" s="10"/>
      <c r="I249" s="10"/>
    </row>
    <row r="250">
      <c r="A250" s="10"/>
      <c r="I250" s="10"/>
    </row>
    <row r="251">
      <c r="A251" s="10"/>
      <c r="I251" s="10"/>
    </row>
    <row r="252">
      <c r="A252" s="10"/>
      <c r="I252" s="10"/>
    </row>
    <row r="253">
      <c r="A253" s="10"/>
      <c r="I253" s="10"/>
    </row>
    <row r="254">
      <c r="A254" s="10"/>
      <c r="I254" s="10"/>
    </row>
    <row r="255">
      <c r="A255" s="10"/>
      <c r="I255" s="10"/>
    </row>
    <row r="256">
      <c r="A256" s="10"/>
      <c r="I256" s="10"/>
    </row>
    <row r="257">
      <c r="A257" s="10"/>
      <c r="I257" s="10"/>
    </row>
    <row r="258">
      <c r="A258" s="10"/>
      <c r="I258" s="10"/>
    </row>
    <row r="259">
      <c r="A259" s="10"/>
      <c r="I259" s="10"/>
    </row>
    <row r="260">
      <c r="A260" s="10"/>
      <c r="I260" s="10"/>
    </row>
    <row r="261">
      <c r="A261" s="10"/>
      <c r="I261" s="10"/>
    </row>
    <row r="262">
      <c r="A262" s="10"/>
      <c r="I262" s="10"/>
    </row>
    <row r="263">
      <c r="A263" s="10"/>
      <c r="I263" s="10"/>
    </row>
    <row r="264">
      <c r="A264" s="10"/>
      <c r="I264" s="10"/>
    </row>
    <row r="265">
      <c r="A265" s="10"/>
      <c r="I265" s="10"/>
    </row>
    <row r="266">
      <c r="A266" s="10"/>
      <c r="I266" s="10"/>
    </row>
    <row r="267">
      <c r="A267" s="10"/>
      <c r="I267" s="10"/>
    </row>
    <row r="268">
      <c r="A268" s="10"/>
      <c r="I268" s="10"/>
    </row>
    <row r="269">
      <c r="A269" s="10"/>
      <c r="I269" s="10"/>
    </row>
    <row r="270">
      <c r="A270" s="10"/>
      <c r="I270" s="10"/>
    </row>
    <row r="271">
      <c r="A271" s="10"/>
      <c r="I271" s="10"/>
    </row>
    <row r="272">
      <c r="A272" s="10"/>
      <c r="I272" s="10"/>
    </row>
    <row r="273">
      <c r="A273" s="10"/>
      <c r="I273" s="10"/>
    </row>
    <row r="274">
      <c r="A274" s="10"/>
      <c r="I274" s="10"/>
    </row>
    <row r="275">
      <c r="A275" s="10"/>
      <c r="I275" s="10"/>
    </row>
    <row r="276">
      <c r="A276" s="10"/>
      <c r="I276" s="10"/>
    </row>
    <row r="277">
      <c r="A277" s="10"/>
      <c r="I277" s="10"/>
    </row>
    <row r="278">
      <c r="A278" s="10"/>
      <c r="I278" s="10"/>
    </row>
    <row r="279">
      <c r="A279" s="10"/>
      <c r="I279" s="10"/>
    </row>
    <row r="280">
      <c r="A280" s="10"/>
      <c r="I280" s="10"/>
    </row>
    <row r="281">
      <c r="A281" s="10"/>
      <c r="I281" s="10"/>
    </row>
    <row r="282">
      <c r="A282" s="10"/>
      <c r="I282" s="10"/>
    </row>
    <row r="283">
      <c r="A283" s="10"/>
      <c r="I283" s="10"/>
    </row>
    <row r="284">
      <c r="A284" s="10"/>
      <c r="I284" s="10"/>
    </row>
    <row r="285">
      <c r="A285" s="10"/>
      <c r="I285" s="10"/>
    </row>
    <row r="286">
      <c r="A286" s="10"/>
      <c r="I286" s="10"/>
    </row>
    <row r="287">
      <c r="A287" s="10"/>
      <c r="I287" s="10"/>
    </row>
    <row r="288">
      <c r="A288" s="10"/>
      <c r="I288" s="10"/>
    </row>
    <row r="289">
      <c r="A289" s="10"/>
      <c r="I289" s="10"/>
    </row>
    <row r="290">
      <c r="A290" s="10"/>
      <c r="I290" s="10"/>
    </row>
    <row r="291">
      <c r="A291" s="10"/>
      <c r="I291" s="10"/>
    </row>
    <row r="292">
      <c r="A292" s="10"/>
      <c r="I292" s="10"/>
    </row>
    <row r="293">
      <c r="A293" s="10"/>
      <c r="I293" s="10"/>
    </row>
    <row r="294">
      <c r="A294" s="10"/>
      <c r="I294" s="10"/>
    </row>
    <row r="295">
      <c r="A295" s="10"/>
      <c r="I295" s="10"/>
    </row>
    <row r="296">
      <c r="A296" s="10"/>
      <c r="I296" s="10"/>
    </row>
    <row r="297">
      <c r="A297" s="10"/>
      <c r="I297" s="10"/>
    </row>
    <row r="298">
      <c r="A298" s="10"/>
      <c r="I298" s="10"/>
    </row>
    <row r="299">
      <c r="A299" s="10"/>
      <c r="I299" s="10"/>
    </row>
    <row r="300">
      <c r="A300" s="10"/>
      <c r="I300" s="10"/>
    </row>
    <row r="301">
      <c r="A301" s="10"/>
      <c r="I301" s="10"/>
    </row>
    <row r="302">
      <c r="A302" s="10"/>
      <c r="I302" s="10"/>
    </row>
    <row r="303">
      <c r="A303" s="10"/>
      <c r="I303" s="10"/>
    </row>
    <row r="304">
      <c r="A304" s="10"/>
      <c r="I304" s="10"/>
    </row>
    <row r="305">
      <c r="A305" s="10"/>
      <c r="I305" s="10"/>
    </row>
    <row r="306">
      <c r="A306" s="10"/>
      <c r="I306" s="10"/>
    </row>
    <row r="307">
      <c r="A307" s="10"/>
      <c r="I307" s="10"/>
    </row>
    <row r="308">
      <c r="A308" s="10"/>
      <c r="I308" s="10"/>
    </row>
    <row r="309">
      <c r="A309" s="10"/>
      <c r="I309" s="10"/>
    </row>
    <row r="310">
      <c r="A310" s="10"/>
      <c r="I310" s="10"/>
    </row>
    <row r="311">
      <c r="A311" s="10"/>
      <c r="I311" s="10"/>
    </row>
    <row r="312">
      <c r="A312" s="10"/>
      <c r="I312" s="10"/>
    </row>
    <row r="313">
      <c r="A313" s="10"/>
      <c r="I313" s="10"/>
    </row>
    <row r="314">
      <c r="A314" s="10"/>
      <c r="I314" s="10"/>
    </row>
    <row r="315">
      <c r="A315" s="10"/>
      <c r="I315" s="10"/>
    </row>
    <row r="316">
      <c r="A316" s="10"/>
      <c r="I316" s="10"/>
    </row>
    <row r="317">
      <c r="A317" s="10"/>
      <c r="I317" s="10"/>
    </row>
    <row r="318">
      <c r="A318" s="10"/>
      <c r="I318" s="10"/>
    </row>
    <row r="319">
      <c r="A319" s="10"/>
      <c r="I319" s="10"/>
    </row>
    <row r="320">
      <c r="A320" s="10"/>
      <c r="I320" s="10"/>
    </row>
    <row r="321">
      <c r="A321" s="10"/>
      <c r="I321" s="10"/>
    </row>
    <row r="322">
      <c r="A322" s="10"/>
      <c r="I322" s="10"/>
    </row>
    <row r="323">
      <c r="A323" s="10"/>
      <c r="I323" s="10"/>
    </row>
    <row r="324">
      <c r="A324" s="10"/>
      <c r="I324" s="10"/>
    </row>
    <row r="325">
      <c r="A325" s="10"/>
      <c r="I325" s="10"/>
    </row>
    <row r="326">
      <c r="A326" s="10"/>
      <c r="I326" s="10"/>
    </row>
    <row r="327">
      <c r="A327" s="10"/>
      <c r="I327" s="10"/>
    </row>
    <row r="328">
      <c r="A328" s="10"/>
      <c r="I328" s="10"/>
    </row>
    <row r="329">
      <c r="A329" s="10"/>
      <c r="I329" s="10"/>
    </row>
    <row r="330">
      <c r="A330" s="10"/>
      <c r="I330" s="10"/>
    </row>
    <row r="331">
      <c r="A331" s="10"/>
      <c r="I331" s="10"/>
    </row>
    <row r="332">
      <c r="A332" s="10"/>
      <c r="I332" s="10"/>
    </row>
    <row r="333">
      <c r="A333" s="10"/>
      <c r="I333" s="10"/>
    </row>
    <row r="334">
      <c r="A334" s="10"/>
      <c r="I334" s="10"/>
    </row>
    <row r="335">
      <c r="A335" s="10"/>
      <c r="I335" s="10"/>
    </row>
    <row r="336">
      <c r="A336" s="10"/>
      <c r="I336" s="10"/>
    </row>
    <row r="337">
      <c r="A337" s="10"/>
      <c r="I337" s="10"/>
    </row>
    <row r="338">
      <c r="A338" s="10"/>
      <c r="I338" s="10"/>
    </row>
    <row r="339">
      <c r="A339" s="10"/>
      <c r="I339" s="10"/>
    </row>
    <row r="340">
      <c r="A340" s="10"/>
      <c r="I340" s="10"/>
    </row>
    <row r="341">
      <c r="A341" s="10"/>
      <c r="I341" s="10"/>
    </row>
    <row r="342">
      <c r="A342" s="10"/>
      <c r="I342" s="10"/>
    </row>
    <row r="343">
      <c r="A343" s="10"/>
      <c r="I343" s="10"/>
    </row>
    <row r="344">
      <c r="A344" s="10"/>
      <c r="I344" s="10"/>
    </row>
    <row r="345">
      <c r="A345" s="10"/>
      <c r="I345" s="10"/>
    </row>
    <row r="346">
      <c r="A346" s="10"/>
      <c r="I346" s="10"/>
    </row>
    <row r="347">
      <c r="A347" s="10"/>
      <c r="I347" s="10"/>
    </row>
    <row r="348">
      <c r="A348" s="10"/>
      <c r="I348" s="10"/>
    </row>
    <row r="349">
      <c r="A349" s="10"/>
      <c r="I349" s="10"/>
    </row>
    <row r="350">
      <c r="A350" s="10"/>
      <c r="I350" s="10"/>
    </row>
    <row r="351">
      <c r="A351" s="10"/>
      <c r="I351" s="10"/>
    </row>
    <row r="352">
      <c r="A352" s="10"/>
      <c r="I352" s="10"/>
    </row>
    <row r="353">
      <c r="A353" s="10"/>
      <c r="I353" s="10"/>
    </row>
    <row r="354">
      <c r="A354" s="10"/>
      <c r="I354" s="10"/>
    </row>
    <row r="355">
      <c r="A355" s="10"/>
      <c r="I355" s="10"/>
    </row>
    <row r="356">
      <c r="A356" s="10"/>
      <c r="I356" s="10"/>
    </row>
    <row r="357">
      <c r="A357" s="10"/>
      <c r="I357" s="10"/>
    </row>
    <row r="358">
      <c r="A358" s="10"/>
      <c r="I358" s="10"/>
    </row>
    <row r="359">
      <c r="A359" s="10"/>
      <c r="I359" s="10"/>
    </row>
    <row r="360">
      <c r="A360" s="10"/>
      <c r="I360" s="10"/>
    </row>
    <row r="361">
      <c r="A361" s="10"/>
      <c r="I361" s="10"/>
    </row>
    <row r="362">
      <c r="A362" s="10"/>
      <c r="I362" s="10"/>
    </row>
    <row r="363">
      <c r="A363" s="10"/>
      <c r="I363" s="10"/>
    </row>
    <row r="364">
      <c r="A364" s="10"/>
      <c r="I364" s="10"/>
    </row>
    <row r="365">
      <c r="A365" s="10"/>
      <c r="I365" s="10"/>
    </row>
    <row r="366">
      <c r="A366" s="10"/>
      <c r="I366" s="10"/>
    </row>
    <row r="367">
      <c r="A367" s="10"/>
      <c r="I367" s="10"/>
    </row>
    <row r="368">
      <c r="A368" s="10"/>
      <c r="I368" s="10"/>
    </row>
    <row r="369">
      <c r="A369" s="10"/>
      <c r="I369" s="10"/>
    </row>
    <row r="370">
      <c r="A370" s="10"/>
      <c r="I370" s="10"/>
    </row>
    <row r="371">
      <c r="A371" s="10"/>
      <c r="I371" s="10"/>
    </row>
    <row r="372">
      <c r="A372" s="10"/>
      <c r="I372" s="10"/>
    </row>
    <row r="373">
      <c r="A373" s="10"/>
      <c r="I373" s="10"/>
    </row>
    <row r="374">
      <c r="A374" s="10"/>
      <c r="I374" s="10"/>
    </row>
    <row r="375">
      <c r="A375" s="10"/>
      <c r="I375" s="10"/>
    </row>
    <row r="376">
      <c r="A376" s="10"/>
      <c r="I376" s="10"/>
    </row>
    <row r="377">
      <c r="A377" s="10"/>
      <c r="I377" s="10"/>
    </row>
    <row r="378">
      <c r="A378" s="10"/>
      <c r="I378" s="10"/>
    </row>
    <row r="379">
      <c r="A379" s="10"/>
      <c r="I379" s="10"/>
    </row>
    <row r="380">
      <c r="A380" s="10"/>
      <c r="I380" s="10"/>
    </row>
    <row r="381">
      <c r="A381" s="10"/>
      <c r="I381" s="10"/>
    </row>
    <row r="382">
      <c r="A382" s="10"/>
      <c r="I382" s="10"/>
    </row>
    <row r="383">
      <c r="A383" s="10"/>
      <c r="I383" s="10"/>
    </row>
    <row r="384">
      <c r="A384" s="10"/>
      <c r="I384" s="10"/>
    </row>
    <row r="385">
      <c r="A385" s="10"/>
      <c r="I385" s="10"/>
    </row>
    <row r="386">
      <c r="A386" s="10"/>
      <c r="I386" s="10"/>
    </row>
    <row r="387">
      <c r="A387" s="10"/>
      <c r="I387" s="10"/>
    </row>
    <row r="388">
      <c r="A388" s="10"/>
      <c r="I388" s="10"/>
    </row>
    <row r="389">
      <c r="A389" s="10"/>
      <c r="I389" s="10"/>
    </row>
    <row r="390">
      <c r="A390" s="10"/>
      <c r="I390" s="10"/>
    </row>
    <row r="391">
      <c r="A391" s="10"/>
      <c r="I391" s="10"/>
    </row>
    <row r="392">
      <c r="A392" s="10"/>
      <c r="I392" s="10"/>
    </row>
    <row r="393">
      <c r="A393" s="10"/>
      <c r="I393" s="10"/>
    </row>
    <row r="394">
      <c r="A394" s="10"/>
      <c r="I394" s="10"/>
    </row>
    <row r="395">
      <c r="A395" s="10"/>
      <c r="I395" s="10"/>
    </row>
    <row r="396">
      <c r="A396" s="10"/>
      <c r="I396" s="10"/>
    </row>
    <row r="397">
      <c r="A397" s="10"/>
      <c r="I397" s="10"/>
    </row>
    <row r="398">
      <c r="A398" s="10"/>
      <c r="I398" s="10"/>
    </row>
    <row r="399">
      <c r="A399" s="10"/>
      <c r="I399" s="10"/>
    </row>
    <row r="400">
      <c r="A400" s="10"/>
      <c r="I400" s="10"/>
    </row>
    <row r="401">
      <c r="A401" s="10"/>
      <c r="I401" s="10"/>
    </row>
    <row r="402">
      <c r="A402" s="10"/>
      <c r="I402" s="10"/>
    </row>
    <row r="403">
      <c r="A403" s="10"/>
      <c r="I403" s="10"/>
    </row>
    <row r="404">
      <c r="A404" s="10"/>
      <c r="I404" s="10"/>
    </row>
    <row r="405">
      <c r="A405" s="10"/>
      <c r="I405" s="10"/>
    </row>
    <row r="406">
      <c r="A406" s="10"/>
      <c r="I406" s="10"/>
    </row>
    <row r="407">
      <c r="A407" s="10"/>
      <c r="I407" s="10"/>
    </row>
    <row r="408">
      <c r="A408" s="10"/>
      <c r="I408" s="10"/>
    </row>
    <row r="409">
      <c r="A409" s="10"/>
      <c r="I409" s="10"/>
    </row>
    <row r="410">
      <c r="A410" s="10"/>
      <c r="I410" s="10"/>
    </row>
    <row r="411">
      <c r="A411" s="10"/>
      <c r="I411" s="10"/>
    </row>
    <row r="412">
      <c r="A412" s="10"/>
      <c r="I412" s="10"/>
    </row>
    <row r="413">
      <c r="A413" s="10"/>
      <c r="I413" s="10"/>
    </row>
    <row r="414">
      <c r="A414" s="10"/>
      <c r="I414" s="10"/>
    </row>
    <row r="415">
      <c r="A415" s="10"/>
      <c r="I415" s="10"/>
    </row>
    <row r="416">
      <c r="A416" s="10"/>
      <c r="I416" s="10"/>
    </row>
    <row r="417">
      <c r="A417" s="10"/>
      <c r="I417" s="10"/>
    </row>
    <row r="418">
      <c r="A418" s="10"/>
      <c r="I418" s="10"/>
    </row>
    <row r="419">
      <c r="A419" s="10"/>
      <c r="I419" s="10"/>
    </row>
    <row r="420">
      <c r="A420" s="10"/>
      <c r="I420" s="10"/>
    </row>
    <row r="421">
      <c r="A421" s="10"/>
      <c r="I421" s="10"/>
    </row>
    <row r="422">
      <c r="A422" s="10"/>
      <c r="I422" s="10"/>
    </row>
    <row r="423">
      <c r="A423" s="10"/>
      <c r="I423" s="10"/>
    </row>
    <row r="424">
      <c r="A424" s="10"/>
      <c r="I424" s="10"/>
    </row>
    <row r="425">
      <c r="A425" s="10"/>
      <c r="I425" s="10"/>
    </row>
    <row r="426">
      <c r="A426" s="10"/>
      <c r="I426" s="10"/>
    </row>
    <row r="427">
      <c r="A427" s="10"/>
      <c r="I427" s="10"/>
    </row>
    <row r="428">
      <c r="A428" s="10"/>
      <c r="I428" s="10"/>
    </row>
    <row r="429">
      <c r="A429" s="10"/>
      <c r="I429" s="10"/>
    </row>
    <row r="430">
      <c r="A430" s="10"/>
      <c r="I430" s="10"/>
    </row>
    <row r="431">
      <c r="A431" s="10"/>
      <c r="I431" s="10"/>
    </row>
    <row r="432">
      <c r="A432" s="10"/>
      <c r="I432" s="10"/>
    </row>
    <row r="433">
      <c r="A433" s="10"/>
      <c r="I433" s="10"/>
    </row>
    <row r="434">
      <c r="A434" s="10"/>
      <c r="I434" s="10"/>
    </row>
    <row r="435">
      <c r="A435" s="10"/>
      <c r="I435" s="10"/>
    </row>
    <row r="436">
      <c r="A436" s="10"/>
      <c r="I436" s="10"/>
    </row>
    <row r="437">
      <c r="A437" s="10"/>
      <c r="I437" s="10"/>
    </row>
    <row r="438">
      <c r="A438" s="10"/>
      <c r="I438" s="10"/>
    </row>
    <row r="439">
      <c r="A439" s="10"/>
      <c r="I439" s="10"/>
    </row>
    <row r="440">
      <c r="A440" s="10"/>
      <c r="I440" s="10"/>
    </row>
    <row r="441">
      <c r="A441" s="10"/>
      <c r="I441" s="10"/>
    </row>
    <row r="442">
      <c r="A442" s="10"/>
      <c r="I442" s="10"/>
    </row>
    <row r="443">
      <c r="A443" s="10"/>
      <c r="I443" s="10"/>
    </row>
    <row r="444">
      <c r="A444" s="10"/>
      <c r="I444" s="10"/>
    </row>
    <row r="445">
      <c r="A445" s="10"/>
      <c r="I445" s="10"/>
    </row>
    <row r="446">
      <c r="A446" s="10"/>
      <c r="I446" s="10"/>
    </row>
    <row r="447">
      <c r="A447" s="10"/>
      <c r="I447" s="10"/>
    </row>
    <row r="448">
      <c r="A448" s="10"/>
      <c r="I448" s="10"/>
    </row>
    <row r="449">
      <c r="A449" s="10"/>
      <c r="I449" s="10"/>
    </row>
    <row r="450">
      <c r="A450" s="10"/>
      <c r="I450" s="10"/>
    </row>
    <row r="451">
      <c r="A451" s="10"/>
      <c r="I451" s="10"/>
    </row>
    <row r="452">
      <c r="A452" s="10"/>
      <c r="I452" s="10"/>
    </row>
    <row r="453">
      <c r="A453" s="10"/>
      <c r="I453" s="10"/>
    </row>
    <row r="454">
      <c r="A454" s="10"/>
      <c r="I454" s="10"/>
    </row>
    <row r="455">
      <c r="A455" s="10"/>
      <c r="I455" s="10"/>
    </row>
    <row r="456">
      <c r="A456" s="10"/>
      <c r="I456" s="10"/>
    </row>
    <row r="457">
      <c r="A457" s="10"/>
      <c r="I457" s="10"/>
    </row>
    <row r="458">
      <c r="A458" s="10"/>
      <c r="I458" s="10"/>
    </row>
    <row r="459">
      <c r="A459" s="10"/>
      <c r="I459" s="10"/>
    </row>
    <row r="460">
      <c r="A460" s="10"/>
      <c r="I460" s="10"/>
    </row>
    <row r="461">
      <c r="A461" s="10"/>
      <c r="I461" s="10"/>
    </row>
    <row r="462">
      <c r="A462" s="10"/>
      <c r="I462" s="10"/>
    </row>
    <row r="463">
      <c r="A463" s="10"/>
      <c r="I463" s="10"/>
    </row>
    <row r="464">
      <c r="A464" s="10"/>
      <c r="I464" s="10"/>
    </row>
    <row r="465">
      <c r="A465" s="10"/>
      <c r="I465" s="10"/>
    </row>
    <row r="466">
      <c r="A466" s="10"/>
      <c r="I466" s="10"/>
    </row>
    <row r="467">
      <c r="A467" s="10"/>
      <c r="I467" s="10"/>
    </row>
    <row r="468">
      <c r="A468" s="10"/>
      <c r="I468" s="10"/>
    </row>
    <row r="469">
      <c r="A469" s="10"/>
      <c r="I469" s="10"/>
    </row>
    <row r="470">
      <c r="A470" s="10"/>
      <c r="I470" s="10"/>
    </row>
    <row r="471">
      <c r="A471" s="10"/>
      <c r="I471" s="10"/>
    </row>
    <row r="472">
      <c r="A472" s="10"/>
      <c r="I472" s="10"/>
    </row>
    <row r="473">
      <c r="A473" s="10"/>
      <c r="I473" s="10"/>
    </row>
    <row r="474">
      <c r="A474" s="10"/>
      <c r="I474" s="10"/>
    </row>
    <row r="475">
      <c r="A475" s="10"/>
      <c r="I475" s="10"/>
    </row>
    <row r="476">
      <c r="A476" s="10"/>
      <c r="I476" s="10"/>
    </row>
    <row r="477">
      <c r="A477" s="10"/>
      <c r="I477" s="10"/>
    </row>
    <row r="478">
      <c r="A478" s="10"/>
      <c r="I478" s="10"/>
    </row>
    <row r="479">
      <c r="A479" s="10"/>
      <c r="I479" s="10"/>
    </row>
    <row r="480">
      <c r="A480" s="10"/>
      <c r="I480" s="10"/>
    </row>
    <row r="481">
      <c r="A481" s="10"/>
      <c r="I481" s="10"/>
    </row>
    <row r="482">
      <c r="A482" s="10"/>
      <c r="I482" s="10"/>
    </row>
    <row r="483">
      <c r="A483" s="10"/>
      <c r="I483" s="10"/>
    </row>
    <row r="484">
      <c r="A484" s="10"/>
      <c r="I484" s="10"/>
    </row>
    <row r="485">
      <c r="A485" s="10"/>
      <c r="I485" s="10"/>
    </row>
    <row r="486">
      <c r="A486" s="10"/>
      <c r="I486" s="10"/>
    </row>
    <row r="487">
      <c r="A487" s="10"/>
      <c r="I487" s="10"/>
    </row>
    <row r="488">
      <c r="A488" s="10"/>
      <c r="I488" s="10"/>
    </row>
    <row r="489">
      <c r="A489" s="10"/>
      <c r="I489" s="10"/>
    </row>
    <row r="490">
      <c r="A490" s="10"/>
      <c r="I490" s="10"/>
    </row>
    <row r="491">
      <c r="A491" s="10"/>
      <c r="I491" s="10"/>
    </row>
    <row r="492">
      <c r="A492" s="10"/>
      <c r="I492" s="10"/>
    </row>
    <row r="493">
      <c r="A493" s="10"/>
      <c r="I493" s="10"/>
    </row>
    <row r="494">
      <c r="A494" s="10"/>
      <c r="I494" s="10"/>
    </row>
    <row r="495">
      <c r="A495" s="10"/>
      <c r="I495" s="10"/>
    </row>
    <row r="496">
      <c r="A496" s="10"/>
      <c r="I496" s="10"/>
    </row>
    <row r="497">
      <c r="A497" s="10"/>
      <c r="I497" s="10"/>
    </row>
    <row r="498">
      <c r="A498" s="10"/>
      <c r="I498" s="10"/>
    </row>
    <row r="499">
      <c r="A499" s="10"/>
      <c r="I499" s="10"/>
    </row>
    <row r="500">
      <c r="A500" s="10"/>
      <c r="I500" s="10"/>
    </row>
    <row r="501">
      <c r="A501" s="10"/>
      <c r="I501" s="10"/>
    </row>
    <row r="502">
      <c r="A502" s="10"/>
      <c r="I502" s="10"/>
    </row>
    <row r="503">
      <c r="A503" s="10"/>
      <c r="I503" s="10"/>
    </row>
    <row r="504">
      <c r="A504" s="10"/>
      <c r="I504" s="10"/>
    </row>
    <row r="505">
      <c r="A505" s="10"/>
      <c r="I505" s="10"/>
    </row>
    <row r="506">
      <c r="A506" s="10"/>
      <c r="I506" s="10"/>
    </row>
    <row r="507">
      <c r="A507" s="10"/>
      <c r="I507" s="10"/>
    </row>
    <row r="508">
      <c r="A508" s="10"/>
      <c r="I508" s="10"/>
    </row>
    <row r="509">
      <c r="A509" s="10"/>
      <c r="I509" s="10"/>
    </row>
    <row r="510">
      <c r="A510" s="10"/>
      <c r="I510" s="10"/>
    </row>
    <row r="511">
      <c r="A511" s="10"/>
      <c r="I511" s="10"/>
    </row>
    <row r="512">
      <c r="A512" s="10"/>
      <c r="I512" s="10"/>
    </row>
    <row r="513">
      <c r="A513" s="10"/>
      <c r="I513" s="10"/>
    </row>
    <row r="514">
      <c r="A514" s="10"/>
      <c r="I514" s="10"/>
    </row>
    <row r="515">
      <c r="A515" s="10"/>
      <c r="I515" s="10"/>
    </row>
    <row r="516">
      <c r="A516" s="10"/>
      <c r="I516" s="10"/>
    </row>
    <row r="517">
      <c r="A517" s="10"/>
      <c r="I517" s="10"/>
    </row>
    <row r="518">
      <c r="A518" s="10"/>
      <c r="I518" s="10"/>
    </row>
    <row r="519">
      <c r="A519" s="10"/>
      <c r="I519" s="10"/>
    </row>
    <row r="520">
      <c r="A520" s="10"/>
      <c r="I520" s="10"/>
    </row>
    <row r="521">
      <c r="A521" s="10"/>
      <c r="I521" s="10"/>
    </row>
    <row r="522">
      <c r="A522" s="10"/>
      <c r="I522" s="10"/>
    </row>
    <row r="523">
      <c r="A523" s="10"/>
      <c r="I523" s="10"/>
    </row>
    <row r="524">
      <c r="A524" s="10"/>
      <c r="I524" s="10"/>
    </row>
    <row r="525">
      <c r="A525" s="10"/>
      <c r="I525" s="10"/>
    </row>
    <row r="526">
      <c r="A526" s="10"/>
      <c r="I526" s="10"/>
    </row>
    <row r="527">
      <c r="A527" s="10"/>
      <c r="I527" s="10"/>
    </row>
    <row r="528">
      <c r="A528" s="10"/>
      <c r="I528" s="10"/>
    </row>
    <row r="529">
      <c r="A529" s="10"/>
      <c r="I529" s="10"/>
    </row>
    <row r="530">
      <c r="A530" s="10"/>
      <c r="I530" s="10"/>
    </row>
    <row r="531">
      <c r="A531" s="10"/>
      <c r="I531" s="10"/>
    </row>
    <row r="532">
      <c r="A532" s="10"/>
      <c r="I532" s="10"/>
    </row>
    <row r="533">
      <c r="A533" s="10"/>
      <c r="I533" s="10"/>
    </row>
    <row r="534">
      <c r="A534" s="10"/>
      <c r="I534" s="10"/>
    </row>
    <row r="535">
      <c r="A535" s="10"/>
      <c r="I535" s="10"/>
    </row>
    <row r="536">
      <c r="A536" s="10"/>
      <c r="I536" s="10"/>
    </row>
    <row r="537">
      <c r="A537" s="10"/>
      <c r="I537" s="10"/>
    </row>
    <row r="538">
      <c r="A538" s="10"/>
      <c r="I538" s="10"/>
    </row>
    <row r="539">
      <c r="A539" s="10"/>
      <c r="I539" s="10"/>
    </row>
    <row r="540">
      <c r="A540" s="10"/>
      <c r="I540" s="10"/>
    </row>
    <row r="541">
      <c r="A541" s="10"/>
      <c r="I541" s="10"/>
    </row>
    <row r="542">
      <c r="A542" s="10"/>
      <c r="I542" s="10"/>
    </row>
    <row r="543">
      <c r="A543" s="10"/>
      <c r="I543" s="10"/>
    </row>
    <row r="544">
      <c r="A544" s="10"/>
      <c r="I544" s="10"/>
    </row>
    <row r="545">
      <c r="A545" s="10"/>
      <c r="I545" s="10"/>
    </row>
    <row r="546">
      <c r="A546" s="10"/>
      <c r="I546" s="10"/>
    </row>
    <row r="547">
      <c r="A547" s="10"/>
      <c r="I547" s="10"/>
    </row>
    <row r="548">
      <c r="A548" s="10"/>
      <c r="I548" s="10"/>
    </row>
    <row r="549">
      <c r="A549" s="10"/>
      <c r="I549" s="10"/>
    </row>
    <row r="550">
      <c r="A550" s="10"/>
      <c r="I550" s="10"/>
    </row>
    <row r="551">
      <c r="A551" s="10"/>
      <c r="I551" s="10"/>
    </row>
    <row r="552">
      <c r="A552" s="10"/>
      <c r="I552" s="10"/>
    </row>
    <row r="553">
      <c r="A553" s="10"/>
      <c r="I553" s="10"/>
    </row>
    <row r="554">
      <c r="A554" s="10"/>
      <c r="I554" s="10"/>
    </row>
    <row r="555">
      <c r="A555" s="10"/>
      <c r="I555" s="10"/>
    </row>
    <row r="556">
      <c r="A556" s="10"/>
      <c r="I556" s="10"/>
    </row>
    <row r="557">
      <c r="A557" s="10"/>
      <c r="I557" s="10"/>
    </row>
    <row r="558">
      <c r="A558" s="10"/>
      <c r="I558" s="10"/>
    </row>
    <row r="559">
      <c r="A559" s="10"/>
      <c r="I559" s="10"/>
    </row>
    <row r="560">
      <c r="A560" s="10"/>
      <c r="I560" s="10"/>
    </row>
    <row r="561">
      <c r="A561" s="10"/>
      <c r="I561" s="10"/>
    </row>
    <row r="562">
      <c r="A562" s="10"/>
      <c r="I562" s="10"/>
    </row>
    <row r="563">
      <c r="A563" s="10"/>
      <c r="I563" s="10"/>
    </row>
    <row r="564">
      <c r="A564" s="10"/>
      <c r="I564" s="10"/>
    </row>
    <row r="565">
      <c r="A565" s="10"/>
      <c r="I565" s="10"/>
    </row>
    <row r="566">
      <c r="A566" s="10"/>
      <c r="I566" s="10"/>
    </row>
    <row r="567">
      <c r="A567" s="10"/>
      <c r="I567" s="10"/>
    </row>
    <row r="568">
      <c r="A568" s="10"/>
      <c r="I568" s="10"/>
    </row>
    <row r="569">
      <c r="A569" s="10"/>
      <c r="I569" s="10"/>
    </row>
    <row r="570">
      <c r="A570" s="10"/>
      <c r="I570" s="10"/>
    </row>
    <row r="571">
      <c r="A571" s="10"/>
      <c r="I571" s="10"/>
    </row>
    <row r="572">
      <c r="A572" s="10"/>
      <c r="I572" s="10"/>
    </row>
    <row r="573">
      <c r="A573" s="10"/>
      <c r="I573" s="10"/>
    </row>
    <row r="574">
      <c r="A574" s="10"/>
      <c r="I574" s="10"/>
    </row>
    <row r="575">
      <c r="A575" s="10"/>
      <c r="I575" s="10"/>
    </row>
    <row r="576">
      <c r="A576" s="10"/>
      <c r="I576" s="10"/>
    </row>
    <row r="577">
      <c r="A577" s="10"/>
      <c r="I577" s="10"/>
    </row>
    <row r="578">
      <c r="A578" s="10"/>
      <c r="I578" s="10"/>
    </row>
    <row r="579">
      <c r="A579" s="10"/>
      <c r="I579" s="10"/>
    </row>
    <row r="580">
      <c r="A580" s="10"/>
      <c r="I580" s="10"/>
    </row>
    <row r="581">
      <c r="A581" s="10"/>
      <c r="I581" s="10"/>
    </row>
    <row r="582">
      <c r="A582" s="10"/>
      <c r="I582" s="10"/>
    </row>
    <row r="583">
      <c r="A583" s="10"/>
      <c r="I583" s="10"/>
    </row>
    <row r="584">
      <c r="A584" s="10"/>
      <c r="I584" s="10"/>
    </row>
    <row r="585">
      <c r="A585" s="10"/>
      <c r="I585" s="10"/>
    </row>
    <row r="586">
      <c r="A586" s="10"/>
      <c r="I586" s="10"/>
    </row>
    <row r="587">
      <c r="A587" s="10"/>
      <c r="I587" s="10"/>
    </row>
    <row r="588">
      <c r="A588" s="10"/>
      <c r="I588" s="10"/>
    </row>
    <row r="589">
      <c r="A589" s="10"/>
      <c r="I589" s="10"/>
    </row>
    <row r="590">
      <c r="A590" s="10"/>
      <c r="I590" s="10"/>
    </row>
    <row r="591">
      <c r="A591" s="10"/>
      <c r="I591" s="10"/>
    </row>
    <row r="592">
      <c r="A592" s="10"/>
      <c r="I592" s="10"/>
    </row>
    <row r="593">
      <c r="A593" s="10"/>
      <c r="I593" s="10"/>
    </row>
    <row r="594">
      <c r="A594" s="10"/>
      <c r="I594" s="10"/>
    </row>
    <row r="595">
      <c r="A595" s="10"/>
      <c r="I595" s="10"/>
    </row>
    <row r="596">
      <c r="A596" s="10"/>
      <c r="I596" s="10"/>
    </row>
    <row r="597">
      <c r="A597" s="10"/>
      <c r="I597" s="10"/>
    </row>
    <row r="598">
      <c r="A598" s="10"/>
      <c r="I598" s="10"/>
    </row>
    <row r="599">
      <c r="A599" s="10"/>
      <c r="I599" s="10"/>
    </row>
    <row r="600">
      <c r="A600" s="10"/>
      <c r="I600" s="10"/>
    </row>
    <row r="601">
      <c r="A601" s="10"/>
      <c r="I601" s="10"/>
    </row>
    <row r="602">
      <c r="A602" s="10"/>
      <c r="I602" s="10"/>
    </row>
    <row r="603">
      <c r="A603" s="10"/>
      <c r="I603" s="10"/>
    </row>
    <row r="604">
      <c r="A604" s="10"/>
      <c r="I604" s="10"/>
    </row>
    <row r="605">
      <c r="A605" s="10"/>
      <c r="I605" s="10"/>
    </row>
    <row r="606">
      <c r="A606" s="10"/>
      <c r="I606" s="10"/>
    </row>
    <row r="607">
      <c r="A607" s="10"/>
      <c r="I607" s="10"/>
    </row>
    <row r="608">
      <c r="A608" s="10"/>
      <c r="I608" s="10"/>
    </row>
    <row r="609">
      <c r="A609" s="10"/>
      <c r="I609" s="10"/>
    </row>
    <row r="610">
      <c r="A610" s="10"/>
      <c r="I610" s="10"/>
    </row>
    <row r="611">
      <c r="A611" s="10"/>
      <c r="I611" s="10"/>
    </row>
    <row r="612">
      <c r="A612" s="10"/>
      <c r="I612" s="10"/>
    </row>
    <row r="613">
      <c r="A613" s="10"/>
      <c r="I613" s="10"/>
    </row>
    <row r="614">
      <c r="A614" s="10"/>
      <c r="I614" s="10"/>
    </row>
    <row r="615">
      <c r="A615" s="10"/>
      <c r="I615" s="10"/>
    </row>
    <row r="616">
      <c r="A616" s="10"/>
      <c r="I616" s="10"/>
    </row>
    <row r="617">
      <c r="A617" s="10"/>
      <c r="I617" s="10"/>
    </row>
    <row r="618">
      <c r="A618" s="10"/>
      <c r="I618" s="10"/>
    </row>
    <row r="619">
      <c r="A619" s="10"/>
      <c r="I619" s="10"/>
    </row>
    <row r="620">
      <c r="A620" s="10"/>
      <c r="I620" s="10"/>
    </row>
    <row r="621">
      <c r="A621" s="10"/>
      <c r="I621" s="10"/>
    </row>
    <row r="622">
      <c r="A622" s="10"/>
      <c r="I622" s="10"/>
    </row>
    <row r="623">
      <c r="A623" s="10"/>
      <c r="I623" s="10"/>
    </row>
    <row r="624">
      <c r="A624" s="10"/>
      <c r="I624" s="10"/>
    </row>
    <row r="625">
      <c r="A625" s="10"/>
      <c r="I625" s="10"/>
    </row>
    <row r="626">
      <c r="A626" s="10"/>
      <c r="I626" s="10"/>
    </row>
    <row r="627">
      <c r="A627" s="10"/>
      <c r="I627" s="10"/>
    </row>
    <row r="628">
      <c r="A628" s="10"/>
      <c r="I628" s="10"/>
    </row>
    <row r="629">
      <c r="A629" s="10"/>
      <c r="I629" s="10"/>
    </row>
    <row r="630">
      <c r="A630" s="10"/>
      <c r="I630" s="10"/>
    </row>
    <row r="631">
      <c r="A631" s="10"/>
      <c r="I631" s="10"/>
    </row>
    <row r="632">
      <c r="A632" s="10"/>
      <c r="I632" s="10"/>
    </row>
    <row r="633">
      <c r="A633" s="10"/>
      <c r="I633" s="10"/>
    </row>
    <row r="634">
      <c r="A634" s="10"/>
      <c r="I634" s="10"/>
    </row>
    <row r="635">
      <c r="A635" s="10"/>
      <c r="I635" s="10"/>
    </row>
    <row r="636">
      <c r="A636" s="10"/>
      <c r="I636" s="10"/>
    </row>
    <row r="637">
      <c r="A637" s="10"/>
      <c r="I637" s="10"/>
    </row>
    <row r="638">
      <c r="A638" s="10"/>
      <c r="I638" s="10"/>
    </row>
    <row r="639">
      <c r="A639" s="10"/>
      <c r="I639" s="10"/>
    </row>
    <row r="640">
      <c r="A640" s="10"/>
      <c r="I640" s="10"/>
    </row>
    <row r="641">
      <c r="A641" s="10"/>
      <c r="I641" s="10"/>
    </row>
    <row r="642">
      <c r="A642" s="10"/>
      <c r="I642" s="10"/>
    </row>
    <row r="643">
      <c r="A643" s="10"/>
      <c r="I643" s="10"/>
    </row>
    <row r="644">
      <c r="A644" s="10"/>
      <c r="I644" s="10"/>
    </row>
    <row r="645">
      <c r="A645" s="10"/>
      <c r="I645" s="10"/>
    </row>
    <row r="646">
      <c r="A646" s="10"/>
      <c r="I646" s="10"/>
    </row>
    <row r="647">
      <c r="A647" s="10"/>
      <c r="I647" s="10"/>
    </row>
    <row r="648">
      <c r="A648" s="10"/>
      <c r="I648" s="10"/>
    </row>
    <row r="649">
      <c r="A649" s="10"/>
      <c r="I649" s="10"/>
    </row>
    <row r="650">
      <c r="A650" s="10"/>
      <c r="I650" s="10"/>
    </row>
    <row r="651">
      <c r="A651" s="10"/>
      <c r="I651" s="10"/>
    </row>
    <row r="652">
      <c r="A652" s="10"/>
      <c r="I652" s="10"/>
    </row>
    <row r="653">
      <c r="A653" s="10"/>
      <c r="I653" s="10"/>
    </row>
    <row r="654">
      <c r="A654" s="10"/>
      <c r="I654" s="10"/>
    </row>
    <row r="655">
      <c r="A655" s="10"/>
      <c r="I655" s="10"/>
    </row>
    <row r="656">
      <c r="A656" s="10"/>
      <c r="I656" s="10"/>
    </row>
    <row r="657">
      <c r="A657" s="10"/>
      <c r="I657" s="10"/>
    </row>
    <row r="658">
      <c r="A658" s="10"/>
      <c r="I658" s="10"/>
    </row>
    <row r="659">
      <c r="A659" s="10"/>
      <c r="I659" s="10"/>
    </row>
    <row r="660">
      <c r="A660" s="10"/>
      <c r="I660" s="10"/>
    </row>
    <row r="661">
      <c r="A661" s="10"/>
      <c r="I661" s="10"/>
    </row>
    <row r="662">
      <c r="A662" s="10"/>
      <c r="I662" s="10"/>
    </row>
    <row r="663">
      <c r="A663" s="10"/>
      <c r="I663" s="10"/>
    </row>
    <row r="664">
      <c r="A664" s="10"/>
      <c r="I664" s="10"/>
    </row>
    <row r="665">
      <c r="A665" s="10"/>
      <c r="I665" s="10"/>
    </row>
    <row r="666">
      <c r="A666" s="10"/>
      <c r="I666" s="10"/>
    </row>
    <row r="667">
      <c r="A667" s="10"/>
      <c r="I667" s="10"/>
    </row>
    <row r="668">
      <c r="A668" s="10"/>
      <c r="I668" s="10"/>
    </row>
    <row r="669">
      <c r="A669" s="10"/>
      <c r="I669" s="10"/>
    </row>
    <row r="670">
      <c r="A670" s="10"/>
      <c r="I670" s="10"/>
    </row>
    <row r="671">
      <c r="A671" s="10"/>
      <c r="I671" s="10"/>
    </row>
    <row r="672">
      <c r="A672" s="10"/>
      <c r="I672" s="10"/>
    </row>
    <row r="673">
      <c r="A673" s="10"/>
      <c r="I673" s="10"/>
    </row>
    <row r="674">
      <c r="A674" s="10"/>
      <c r="I674" s="10"/>
    </row>
    <row r="675">
      <c r="A675" s="10"/>
      <c r="I675" s="10"/>
    </row>
    <row r="676">
      <c r="A676" s="10"/>
      <c r="I676" s="10"/>
    </row>
    <row r="677">
      <c r="A677" s="10"/>
      <c r="I677" s="10"/>
    </row>
    <row r="678">
      <c r="A678" s="10"/>
      <c r="I678" s="10"/>
    </row>
    <row r="679">
      <c r="A679" s="10"/>
      <c r="I679" s="10"/>
    </row>
    <row r="680">
      <c r="A680" s="10"/>
      <c r="I680" s="10"/>
    </row>
    <row r="681">
      <c r="A681" s="10"/>
      <c r="I681" s="10"/>
    </row>
    <row r="682">
      <c r="A682" s="10"/>
      <c r="I682" s="10"/>
    </row>
    <row r="683">
      <c r="A683" s="10"/>
      <c r="I683" s="10"/>
    </row>
    <row r="684">
      <c r="A684" s="10"/>
      <c r="I684" s="10"/>
    </row>
    <row r="685">
      <c r="A685" s="10"/>
      <c r="I685" s="10"/>
    </row>
    <row r="686">
      <c r="A686" s="10"/>
      <c r="I686" s="10"/>
    </row>
    <row r="687">
      <c r="A687" s="10"/>
      <c r="I687" s="10"/>
    </row>
    <row r="688">
      <c r="A688" s="10"/>
      <c r="I688" s="10"/>
    </row>
    <row r="689">
      <c r="A689" s="10"/>
      <c r="I689" s="10"/>
    </row>
    <row r="690">
      <c r="A690" s="10"/>
      <c r="I690" s="10"/>
    </row>
    <row r="691">
      <c r="A691" s="10"/>
      <c r="I691" s="10"/>
    </row>
    <row r="692">
      <c r="A692" s="10"/>
      <c r="I692" s="10"/>
    </row>
    <row r="693">
      <c r="A693" s="10"/>
      <c r="I693" s="10"/>
    </row>
    <row r="694">
      <c r="A694" s="10"/>
      <c r="I694" s="10"/>
    </row>
    <row r="695">
      <c r="A695" s="10"/>
      <c r="I695" s="10"/>
    </row>
    <row r="696">
      <c r="A696" s="10"/>
      <c r="I696" s="10"/>
    </row>
    <row r="697">
      <c r="A697" s="10"/>
      <c r="I697" s="10"/>
    </row>
    <row r="698">
      <c r="A698" s="10"/>
      <c r="I698" s="10"/>
    </row>
    <row r="699">
      <c r="A699" s="10"/>
      <c r="I699" s="10"/>
    </row>
    <row r="700">
      <c r="A700" s="10"/>
      <c r="I700" s="10"/>
    </row>
    <row r="701">
      <c r="A701" s="10"/>
      <c r="I701" s="10"/>
    </row>
    <row r="702">
      <c r="A702" s="10"/>
      <c r="I702" s="10"/>
    </row>
    <row r="703">
      <c r="A703" s="10"/>
      <c r="I703" s="10"/>
    </row>
    <row r="704">
      <c r="A704" s="10"/>
      <c r="I704" s="10"/>
    </row>
    <row r="705">
      <c r="A705" s="10"/>
      <c r="I705" s="10"/>
    </row>
    <row r="706">
      <c r="A706" s="10"/>
      <c r="I706" s="10"/>
    </row>
    <row r="707">
      <c r="A707" s="10"/>
      <c r="I707" s="10"/>
    </row>
    <row r="708">
      <c r="A708" s="10"/>
      <c r="I708" s="10"/>
    </row>
    <row r="709">
      <c r="A709" s="10"/>
      <c r="I709" s="10"/>
    </row>
    <row r="710">
      <c r="A710" s="10"/>
      <c r="I710" s="10"/>
    </row>
    <row r="711">
      <c r="A711" s="10"/>
      <c r="I711" s="10"/>
    </row>
    <row r="712">
      <c r="A712" s="10"/>
      <c r="I712" s="10"/>
    </row>
    <row r="713">
      <c r="A713" s="10"/>
      <c r="I713" s="10"/>
    </row>
    <row r="714">
      <c r="A714" s="10"/>
      <c r="I714" s="10"/>
    </row>
    <row r="715">
      <c r="A715" s="10"/>
      <c r="I715" s="10"/>
    </row>
    <row r="716">
      <c r="A716" s="10"/>
      <c r="I716" s="10"/>
    </row>
    <row r="717">
      <c r="A717" s="10"/>
      <c r="I717" s="10"/>
    </row>
    <row r="718">
      <c r="A718" s="10"/>
      <c r="I718" s="10"/>
    </row>
    <row r="719">
      <c r="A719" s="10"/>
      <c r="I719" s="10"/>
    </row>
    <row r="720">
      <c r="A720" s="10"/>
      <c r="I720" s="10"/>
    </row>
    <row r="721">
      <c r="A721" s="10"/>
      <c r="I721" s="10"/>
    </row>
    <row r="722">
      <c r="A722" s="10"/>
      <c r="I722" s="10"/>
    </row>
    <row r="723">
      <c r="A723" s="10"/>
      <c r="I723" s="10"/>
    </row>
    <row r="724">
      <c r="A724" s="10"/>
      <c r="I724" s="10"/>
    </row>
    <row r="725">
      <c r="A725" s="10"/>
      <c r="I725" s="10"/>
    </row>
    <row r="726">
      <c r="A726" s="10"/>
      <c r="I726" s="10"/>
    </row>
    <row r="727">
      <c r="A727" s="10"/>
      <c r="I727" s="10"/>
    </row>
    <row r="728">
      <c r="A728" s="10"/>
      <c r="I728" s="10"/>
    </row>
    <row r="729">
      <c r="A729" s="10"/>
      <c r="I729" s="10"/>
    </row>
    <row r="730">
      <c r="A730" s="10"/>
      <c r="I730" s="10"/>
    </row>
    <row r="731">
      <c r="A731" s="10"/>
      <c r="I731" s="10"/>
    </row>
    <row r="732">
      <c r="A732" s="10"/>
      <c r="I732" s="10"/>
    </row>
    <row r="733">
      <c r="A733" s="10"/>
      <c r="I733" s="10"/>
    </row>
    <row r="734">
      <c r="A734" s="10"/>
      <c r="I734" s="10"/>
    </row>
    <row r="735">
      <c r="A735" s="10"/>
      <c r="I735" s="10"/>
    </row>
    <row r="736">
      <c r="A736" s="10"/>
      <c r="I736" s="10"/>
    </row>
    <row r="737">
      <c r="A737" s="10"/>
      <c r="I737" s="10"/>
    </row>
    <row r="738">
      <c r="A738" s="10"/>
      <c r="I738" s="10"/>
    </row>
    <row r="739">
      <c r="A739" s="10"/>
      <c r="I739" s="10"/>
    </row>
    <row r="740">
      <c r="A740" s="10"/>
      <c r="I740" s="10"/>
    </row>
    <row r="741">
      <c r="A741" s="10"/>
      <c r="I741" s="10"/>
    </row>
    <row r="742">
      <c r="A742" s="10"/>
      <c r="I742" s="10"/>
    </row>
    <row r="743">
      <c r="A743" s="10"/>
      <c r="I743" s="10"/>
    </row>
    <row r="744">
      <c r="A744" s="10"/>
      <c r="I744" s="10"/>
    </row>
    <row r="745">
      <c r="A745" s="10"/>
      <c r="I745" s="10"/>
    </row>
    <row r="746">
      <c r="A746" s="10"/>
      <c r="I746" s="10"/>
    </row>
    <row r="747">
      <c r="A747" s="10"/>
      <c r="I747" s="10"/>
    </row>
    <row r="748">
      <c r="A748" s="10"/>
      <c r="I748" s="10"/>
    </row>
    <row r="749">
      <c r="A749" s="10"/>
      <c r="I749" s="10"/>
    </row>
    <row r="750">
      <c r="A750" s="10"/>
      <c r="I750" s="10"/>
    </row>
    <row r="751">
      <c r="A751" s="10"/>
      <c r="I751" s="10"/>
    </row>
    <row r="752">
      <c r="A752" s="10"/>
      <c r="I752" s="10"/>
    </row>
    <row r="753">
      <c r="A753" s="10"/>
      <c r="I753" s="10"/>
    </row>
    <row r="754">
      <c r="A754" s="10"/>
      <c r="I754" s="10"/>
    </row>
    <row r="755">
      <c r="A755" s="10"/>
      <c r="I755" s="10"/>
    </row>
    <row r="756">
      <c r="A756" s="10"/>
      <c r="I756" s="10"/>
    </row>
    <row r="757">
      <c r="A757" s="10"/>
      <c r="I757" s="10"/>
    </row>
    <row r="758">
      <c r="A758" s="10"/>
      <c r="I758" s="10"/>
    </row>
    <row r="759">
      <c r="A759" s="10"/>
      <c r="I759" s="10"/>
    </row>
    <row r="760">
      <c r="A760" s="10"/>
      <c r="I760" s="10"/>
    </row>
    <row r="761">
      <c r="A761" s="10"/>
      <c r="I761" s="10"/>
    </row>
    <row r="762">
      <c r="A762" s="10"/>
      <c r="I762" s="10"/>
    </row>
    <row r="763">
      <c r="A763" s="10"/>
      <c r="I763" s="10"/>
    </row>
    <row r="764">
      <c r="A764" s="10"/>
      <c r="I764" s="10"/>
    </row>
    <row r="765">
      <c r="A765" s="10"/>
      <c r="I765" s="10"/>
    </row>
    <row r="766">
      <c r="A766" s="10"/>
      <c r="I766" s="10"/>
    </row>
    <row r="767">
      <c r="A767" s="10"/>
      <c r="I767" s="10"/>
    </row>
    <row r="768">
      <c r="A768" s="10"/>
      <c r="I768" s="10"/>
    </row>
    <row r="769">
      <c r="A769" s="10"/>
      <c r="I769" s="10"/>
    </row>
    <row r="770">
      <c r="A770" s="10"/>
      <c r="I770" s="10"/>
    </row>
    <row r="771">
      <c r="A771" s="10"/>
      <c r="I771" s="10"/>
    </row>
    <row r="772">
      <c r="A772" s="10"/>
      <c r="I772" s="10"/>
    </row>
    <row r="773">
      <c r="A773" s="10"/>
      <c r="I773" s="10"/>
    </row>
    <row r="774">
      <c r="A774" s="10"/>
      <c r="I774" s="10"/>
    </row>
    <row r="775">
      <c r="A775" s="10"/>
      <c r="I775" s="10"/>
    </row>
    <row r="776">
      <c r="A776" s="10"/>
      <c r="I776" s="10"/>
    </row>
    <row r="777">
      <c r="A777" s="10"/>
      <c r="I777" s="10"/>
    </row>
    <row r="778">
      <c r="A778" s="10"/>
      <c r="I778" s="10"/>
    </row>
    <row r="779">
      <c r="A779" s="10"/>
      <c r="I779" s="10"/>
    </row>
    <row r="780">
      <c r="A780" s="10"/>
      <c r="I780" s="10"/>
    </row>
    <row r="781">
      <c r="A781" s="10"/>
      <c r="I781" s="10"/>
    </row>
    <row r="782">
      <c r="A782" s="10"/>
      <c r="I782" s="10"/>
    </row>
    <row r="783">
      <c r="A783" s="10"/>
      <c r="I783" s="10"/>
    </row>
    <row r="784">
      <c r="A784" s="10"/>
      <c r="I784" s="10"/>
    </row>
    <row r="785">
      <c r="A785" s="10"/>
      <c r="I785" s="10"/>
    </row>
    <row r="786">
      <c r="A786" s="10"/>
      <c r="I786" s="10"/>
    </row>
    <row r="787">
      <c r="A787" s="10"/>
      <c r="I787" s="10"/>
    </row>
    <row r="788">
      <c r="A788" s="10"/>
      <c r="I788" s="10"/>
    </row>
    <row r="789">
      <c r="A789" s="10"/>
      <c r="I789" s="10"/>
    </row>
    <row r="790">
      <c r="A790" s="10"/>
      <c r="I790" s="10"/>
    </row>
    <row r="791">
      <c r="A791" s="10"/>
      <c r="I791" s="10"/>
    </row>
    <row r="792">
      <c r="A792" s="10"/>
      <c r="I792" s="10"/>
    </row>
    <row r="793">
      <c r="A793" s="10"/>
      <c r="I793" s="10"/>
    </row>
    <row r="794">
      <c r="A794" s="10"/>
      <c r="I794" s="10"/>
    </row>
    <row r="795">
      <c r="A795" s="10"/>
      <c r="I795" s="10"/>
    </row>
    <row r="796">
      <c r="A796" s="10"/>
      <c r="I796" s="10"/>
    </row>
    <row r="797">
      <c r="A797" s="10"/>
      <c r="I797" s="10"/>
    </row>
    <row r="798">
      <c r="A798" s="10"/>
      <c r="I798" s="10"/>
    </row>
    <row r="799">
      <c r="A799" s="10"/>
      <c r="I799" s="10"/>
    </row>
    <row r="800">
      <c r="A800" s="10"/>
      <c r="I800" s="10"/>
    </row>
    <row r="801">
      <c r="A801" s="10"/>
      <c r="I801" s="10"/>
    </row>
    <row r="802">
      <c r="A802" s="10"/>
      <c r="I802" s="10"/>
    </row>
    <row r="803">
      <c r="A803" s="10"/>
      <c r="I803" s="10"/>
    </row>
    <row r="804">
      <c r="A804" s="10"/>
      <c r="I804" s="10"/>
    </row>
    <row r="805">
      <c r="A805" s="10"/>
      <c r="I805" s="10"/>
    </row>
    <row r="806">
      <c r="A806" s="10"/>
      <c r="I806" s="10"/>
    </row>
    <row r="807">
      <c r="A807" s="10"/>
      <c r="I807" s="10"/>
    </row>
    <row r="808">
      <c r="A808" s="10"/>
      <c r="I808" s="10"/>
    </row>
    <row r="809">
      <c r="A809" s="10"/>
      <c r="I809" s="10"/>
    </row>
    <row r="810">
      <c r="A810" s="10"/>
      <c r="I810" s="10"/>
    </row>
    <row r="811">
      <c r="A811" s="10"/>
      <c r="I811" s="10"/>
    </row>
    <row r="812">
      <c r="A812" s="10"/>
      <c r="I812" s="10"/>
    </row>
    <row r="813">
      <c r="A813" s="10"/>
      <c r="I813" s="10"/>
    </row>
    <row r="814">
      <c r="A814" s="10"/>
      <c r="I814" s="10"/>
    </row>
    <row r="815">
      <c r="A815" s="10"/>
      <c r="I815" s="10"/>
    </row>
    <row r="816">
      <c r="A816" s="10"/>
      <c r="I816" s="10"/>
    </row>
    <row r="817">
      <c r="A817" s="10"/>
      <c r="I817" s="10"/>
    </row>
    <row r="818">
      <c r="A818" s="10"/>
      <c r="I818" s="10"/>
    </row>
    <row r="819">
      <c r="A819" s="10"/>
      <c r="I819" s="10"/>
    </row>
    <row r="820">
      <c r="A820" s="10"/>
      <c r="I820" s="10"/>
    </row>
    <row r="821">
      <c r="A821" s="10"/>
      <c r="I821" s="10"/>
    </row>
    <row r="822">
      <c r="A822" s="10"/>
      <c r="I822" s="10"/>
    </row>
    <row r="823">
      <c r="A823" s="10"/>
      <c r="I823" s="10"/>
    </row>
    <row r="824">
      <c r="A824" s="10"/>
      <c r="I824" s="10"/>
    </row>
    <row r="825">
      <c r="A825" s="10"/>
      <c r="I825" s="10"/>
    </row>
    <row r="826">
      <c r="A826" s="10"/>
      <c r="I826" s="10"/>
    </row>
    <row r="827">
      <c r="A827" s="10"/>
      <c r="I827" s="10"/>
    </row>
    <row r="828">
      <c r="A828" s="10"/>
      <c r="I828" s="10"/>
    </row>
    <row r="829">
      <c r="A829" s="10"/>
      <c r="I829" s="10"/>
    </row>
    <row r="830">
      <c r="A830" s="10"/>
      <c r="I830" s="10"/>
    </row>
    <row r="831">
      <c r="A831" s="10"/>
      <c r="I831" s="10"/>
    </row>
    <row r="832">
      <c r="A832" s="10"/>
      <c r="I832" s="10"/>
    </row>
    <row r="833">
      <c r="A833" s="10"/>
      <c r="I833" s="10"/>
    </row>
    <row r="834">
      <c r="A834" s="10"/>
      <c r="I834" s="10"/>
    </row>
    <row r="835">
      <c r="A835" s="10"/>
      <c r="I835" s="10"/>
    </row>
    <row r="836">
      <c r="A836" s="10"/>
      <c r="I836" s="10"/>
    </row>
    <row r="837">
      <c r="A837" s="10"/>
      <c r="I837" s="10"/>
    </row>
    <row r="838">
      <c r="A838" s="10"/>
      <c r="I838" s="10"/>
    </row>
    <row r="839">
      <c r="A839" s="10"/>
      <c r="I839" s="10"/>
    </row>
    <row r="840">
      <c r="A840" s="10"/>
      <c r="I840" s="10"/>
    </row>
    <row r="841">
      <c r="A841" s="10"/>
      <c r="I841" s="10"/>
    </row>
    <row r="842">
      <c r="A842" s="10"/>
      <c r="I842" s="10"/>
    </row>
    <row r="843">
      <c r="A843" s="10"/>
      <c r="I843" s="10"/>
    </row>
    <row r="844">
      <c r="A844" s="10"/>
      <c r="I844" s="10"/>
    </row>
    <row r="845">
      <c r="A845" s="10"/>
      <c r="I845" s="10"/>
    </row>
    <row r="846">
      <c r="A846" s="10"/>
      <c r="I846" s="10"/>
    </row>
    <row r="847">
      <c r="A847" s="10"/>
      <c r="I847" s="10"/>
    </row>
    <row r="848">
      <c r="A848" s="10"/>
      <c r="I848" s="10"/>
    </row>
    <row r="849">
      <c r="A849" s="10"/>
      <c r="I849" s="10"/>
    </row>
    <row r="850">
      <c r="A850" s="10"/>
      <c r="I850" s="10"/>
    </row>
    <row r="851">
      <c r="A851" s="10"/>
      <c r="I851" s="10"/>
    </row>
    <row r="852">
      <c r="A852" s="10"/>
      <c r="I852" s="10"/>
    </row>
    <row r="853">
      <c r="A853" s="10"/>
      <c r="I853" s="10"/>
    </row>
    <row r="854">
      <c r="A854" s="10"/>
      <c r="I854" s="10"/>
    </row>
    <row r="855">
      <c r="A855" s="10"/>
      <c r="I855" s="10"/>
    </row>
    <row r="856">
      <c r="A856" s="10"/>
      <c r="I856" s="10"/>
    </row>
    <row r="857">
      <c r="A857" s="10"/>
      <c r="I857" s="10"/>
    </row>
    <row r="858">
      <c r="A858" s="10"/>
      <c r="I858" s="10"/>
    </row>
    <row r="859">
      <c r="A859" s="10"/>
      <c r="I859" s="10"/>
    </row>
    <row r="860">
      <c r="A860" s="10"/>
      <c r="I860" s="10"/>
    </row>
    <row r="861">
      <c r="A861" s="10"/>
      <c r="I861" s="10"/>
    </row>
    <row r="862">
      <c r="A862" s="10"/>
      <c r="I862" s="10"/>
    </row>
    <row r="863">
      <c r="A863" s="10"/>
      <c r="I863" s="10"/>
    </row>
    <row r="864">
      <c r="A864" s="10"/>
      <c r="I864" s="10"/>
    </row>
    <row r="865">
      <c r="A865" s="10"/>
      <c r="I865" s="10"/>
    </row>
    <row r="866">
      <c r="A866" s="10"/>
      <c r="I866" s="10"/>
    </row>
    <row r="867">
      <c r="A867" s="10"/>
      <c r="I867" s="10"/>
    </row>
    <row r="868">
      <c r="A868" s="10"/>
      <c r="I868" s="10"/>
    </row>
    <row r="869">
      <c r="A869" s="10"/>
      <c r="I869" s="10"/>
    </row>
    <row r="870">
      <c r="A870" s="10"/>
      <c r="I870" s="10"/>
    </row>
    <row r="871">
      <c r="A871" s="10"/>
      <c r="I871" s="10"/>
    </row>
    <row r="872">
      <c r="A872" s="10"/>
      <c r="I872" s="10"/>
    </row>
    <row r="873">
      <c r="A873" s="10"/>
      <c r="I873" s="10"/>
    </row>
    <row r="874">
      <c r="A874" s="10"/>
      <c r="I874" s="10"/>
    </row>
    <row r="875">
      <c r="A875" s="10"/>
      <c r="I875" s="10"/>
    </row>
    <row r="876">
      <c r="A876" s="10"/>
      <c r="I876" s="10"/>
    </row>
    <row r="877">
      <c r="A877" s="10"/>
      <c r="I877" s="10"/>
    </row>
    <row r="878">
      <c r="A878" s="10"/>
      <c r="I878" s="10"/>
    </row>
    <row r="879">
      <c r="A879" s="10"/>
      <c r="I879" s="10"/>
    </row>
    <row r="880">
      <c r="A880" s="10"/>
      <c r="I880" s="10"/>
    </row>
    <row r="881">
      <c r="A881" s="10"/>
      <c r="I881" s="10"/>
    </row>
    <row r="882">
      <c r="A882" s="10"/>
      <c r="I882" s="10"/>
    </row>
    <row r="883">
      <c r="A883" s="10"/>
      <c r="I883" s="10"/>
    </row>
    <row r="884">
      <c r="A884" s="10"/>
      <c r="I884" s="10"/>
    </row>
    <row r="885">
      <c r="A885" s="10"/>
      <c r="I885" s="10"/>
    </row>
    <row r="886">
      <c r="A886" s="10"/>
      <c r="I886" s="10"/>
    </row>
    <row r="887">
      <c r="A887" s="10"/>
      <c r="I887" s="10"/>
    </row>
    <row r="888">
      <c r="A888" s="10"/>
      <c r="I888" s="10"/>
    </row>
    <row r="889">
      <c r="A889" s="10"/>
      <c r="I889" s="10"/>
    </row>
    <row r="890">
      <c r="A890" s="10"/>
      <c r="I890" s="10"/>
    </row>
    <row r="891">
      <c r="A891" s="10"/>
      <c r="I891" s="10"/>
    </row>
    <row r="892">
      <c r="A892" s="10"/>
      <c r="I892" s="10"/>
    </row>
    <row r="893">
      <c r="A893" s="10"/>
      <c r="I893" s="10"/>
    </row>
    <row r="894">
      <c r="A894" s="10"/>
      <c r="I894" s="10"/>
    </row>
    <row r="895">
      <c r="A895" s="10"/>
      <c r="I895" s="10"/>
    </row>
    <row r="896">
      <c r="A896" s="10"/>
      <c r="I896" s="10"/>
    </row>
    <row r="897">
      <c r="A897" s="10"/>
      <c r="I897" s="10"/>
    </row>
    <row r="898">
      <c r="A898" s="10"/>
      <c r="I898" s="10"/>
    </row>
    <row r="899">
      <c r="A899" s="10"/>
      <c r="I899" s="10"/>
    </row>
    <row r="900">
      <c r="A900" s="10"/>
      <c r="I900" s="10"/>
    </row>
    <row r="901">
      <c r="A901" s="10"/>
      <c r="I901" s="10"/>
    </row>
    <row r="902">
      <c r="A902" s="10"/>
      <c r="I902" s="10"/>
    </row>
    <row r="903">
      <c r="A903" s="10"/>
      <c r="I903" s="10"/>
    </row>
    <row r="904">
      <c r="A904" s="10"/>
      <c r="I904" s="10"/>
    </row>
    <row r="905">
      <c r="A905" s="10"/>
      <c r="I905" s="10"/>
    </row>
    <row r="906">
      <c r="A906" s="10"/>
      <c r="I906" s="10"/>
    </row>
    <row r="907">
      <c r="A907" s="10"/>
      <c r="I907" s="10"/>
    </row>
    <row r="908">
      <c r="A908" s="10"/>
      <c r="I908" s="10"/>
    </row>
    <row r="909">
      <c r="A909" s="10"/>
      <c r="I909" s="10"/>
    </row>
    <row r="910">
      <c r="A910" s="10"/>
      <c r="I910" s="10"/>
    </row>
    <row r="911">
      <c r="A911" s="10"/>
      <c r="I911" s="10"/>
    </row>
    <row r="912">
      <c r="A912" s="10"/>
      <c r="I912" s="10"/>
    </row>
    <row r="913">
      <c r="A913" s="10"/>
      <c r="I913" s="10"/>
    </row>
    <row r="914">
      <c r="A914" s="10"/>
      <c r="I914" s="10"/>
    </row>
    <row r="915">
      <c r="A915" s="10"/>
      <c r="I915" s="10"/>
    </row>
    <row r="916">
      <c r="A916" s="10"/>
      <c r="I916" s="10"/>
    </row>
    <row r="917">
      <c r="A917" s="10"/>
      <c r="I917" s="10"/>
    </row>
    <row r="918">
      <c r="A918" s="10"/>
      <c r="I918" s="10"/>
    </row>
    <row r="919">
      <c r="A919" s="10"/>
      <c r="I919" s="10"/>
    </row>
    <row r="920">
      <c r="A920" s="10"/>
      <c r="I920" s="10"/>
    </row>
    <row r="921">
      <c r="A921" s="10"/>
      <c r="I921" s="10"/>
    </row>
    <row r="922">
      <c r="A922" s="10"/>
      <c r="I922" s="10"/>
    </row>
    <row r="923">
      <c r="A923" s="10"/>
      <c r="I923" s="10"/>
    </row>
    <row r="924">
      <c r="A924" s="10"/>
      <c r="I924" s="10"/>
    </row>
    <row r="925">
      <c r="A925" s="10"/>
      <c r="I925" s="10"/>
    </row>
    <row r="926">
      <c r="A926" s="10"/>
      <c r="I926" s="10"/>
    </row>
    <row r="927">
      <c r="A927" s="10"/>
      <c r="I927" s="10"/>
    </row>
    <row r="928">
      <c r="A928" s="10"/>
      <c r="I928" s="10"/>
    </row>
    <row r="929">
      <c r="A929" s="10"/>
      <c r="I929" s="10"/>
    </row>
    <row r="930">
      <c r="A930" s="10"/>
      <c r="I930" s="10"/>
    </row>
    <row r="931">
      <c r="A931" s="10"/>
      <c r="I931" s="10"/>
    </row>
    <row r="932">
      <c r="A932" s="10"/>
      <c r="I932" s="10"/>
    </row>
    <row r="933">
      <c r="A933" s="10"/>
      <c r="I933" s="10"/>
    </row>
    <row r="934">
      <c r="A934" s="10"/>
      <c r="I934" s="10"/>
    </row>
    <row r="935">
      <c r="A935" s="10"/>
      <c r="I935" s="10"/>
    </row>
    <row r="936">
      <c r="A936" s="10"/>
      <c r="I936" s="10"/>
    </row>
    <row r="937">
      <c r="A937" s="10"/>
      <c r="I937" s="10"/>
    </row>
    <row r="938">
      <c r="A938" s="10"/>
      <c r="I938" s="10"/>
    </row>
    <row r="939">
      <c r="A939" s="10"/>
      <c r="I939" s="10"/>
    </row>
    <row r="940">
      <c r="A940" s="10"/>
      <c r="I940" s="10"/>
    </row>
    <row r="941">
      <c r="A941" s="10"/>
      <c r="I941" s="10"/>
    </row>
    <row r="942">
      <c r="A942" s="10"/>
      <c r="I942" s="10"/>
    </row>
    <row r="943">
      <c r="A943" s="10"/>
      <c r="I943" s="10"/>
    </row>
    <row r="944">
      <c r="A944" s="10"/>
      <c r="I944" s="10"/>
    </row>
    <row r="945">
      <c r="A945" s="10"/>
      <c r="I945" s="10"/>
    </row>
    <row r="946">
      <c r="A946" s="10"/>
      <c r="I946" s="10"/>
    </row>
    <row r="947">
      <c r="A947" s="10"/>
      <c r="I947" s="10"/>
    </row>
    <row r="948">
      <c r="A948" s="10"/>
      <c r="I948" s="10"/>
    </row>
    <row r="949">
      <c r="A949" s="10"/>
      <c r="I949" s="10"/>
    </row>
    <row r="950">
      <c r="A950" s="10"/>
      <c r="I950" s="10"/>
    </row>
    <row r="951">
      <c r="A951" s="10"/>
      <c r="I951" s="10"/>
    </row>
    <row r="952">
      <c r="A952" s="10"/>
      <c r="I952" s="10"/>
    </row>
    <row r="953">
      <c r="A953" s="10"/>
      <c r="I953" s="10"/>
    </row>
    <row r="954">
      <c r="A954" s="10"/>
      <c r="I954" s="10"/>
    </row>
    <row r="955">
      <c r="A955" s="10"/>
      <c r="I955" s="10"/>
    </row>
    <row r="956">
      <c r="A956" s="10"/>
      <c r="I956" s="10"/>
    </row>
    <row r="957">
      <c r="A957" s="10"/>
      <c r="I957" s="10"/>
    </row>
    <row r="958">
      <c r="A958" s="10"/>
      <c r="I958" s="10"/>
    </row>
    <row r="959">
      <c r="A959" s="10"/>
      <c r="I959" s="10"/>
    </row>
    <row r="960">
      <c r="A960" s="10"/>
      <c r="I960" s="10"/>
    </row>
    <row r="961">
      <c r="A961" s="10"/>
      <c r="I961" s="10"/>
    </row>
    <row r="962">
      <c r="A962" s="10"/>
      <c r="I962" s="10"/>
    </row>
    <row r="963">
      <c r="A963" s="10"/>
      <c r="I963" s="10"/>
    </row>
    <row r="964">
      <c r="A964" s="10"/>
      <c r="I964" s="10"/>
    </row>
    <row r="965">
      <c r="A965" s="10"/>
      <c r="I965" s="10"/>
    </row>
    <row r="966">
      <c r="A966" s="10"/>
      <c r="I966" s="10"/>
    </row>
    <row r="967">
      <c r="A967" s="10"/>
      <c r="I967" s="10"/>
    </row>
    <row r="968">
      <c r="A968" s="10"/>
      <c r="I968" s="10"/>
    </row>
    <row r="969">
      <c r="A969" s="10"/>
      <c r="I969" s="10"/>
    </row>
    <row r="970">
      <c r="A970" s="10"/>
      <c r="I970" s="10"/>
    </row>
    <row r="971">
      <c r="A971" s="10"/>
      <c r="I971" s="10"/>
    </row>
    <row r="972">
      <c r="A972" s="10"/>
      <c r="I972" s="10"/>
    </row>
    <row r="973">
      <c r="A973" s="10"/>
      <c r="I973" s="10"/>
    </row>
    <row r="974">
      <c r="A974" s="10"/>
      <c r="I974" s="10"/>
    </row>
    <row r="975">
      <c r="A975" s="10"/>
      <c r="I975" s="10"/>
    </row>
    <row r="976">
      <c r="A976" s="10"/>
      <c r="I976" s="10"/>
    </row>
    <row r="977">
      <c r="A977" s="10"/>
      <c r="I977" s="10"/>
    </row>
    <row r="978">
      <c r="A978" s="10"/>
      <c r="I978" s="10"/>
    </row>
    <row r="979">
      <c r="A979" s="10"/>
      <c r="I979" s="10"/>
    </row>
    <row r="980">
      <c r="A980" s="10"/>
      <c r="I980" s="10"/>
    </row>
    <row r="981">
      <c r="A981" s="10"/>
      <c r="I981" s="10"/>
    </row>
    <row r="982">
      <c r="A982" s="10"/>
      <c r="I982" s="10"/>
    </row>
    <row r="983">
      <c r="A983" s="10"/>
      <c r="I983" s="10"/>
    </row>
    <row r="984">
      <c r="A984" s="10"/>
      <c r="I984" s="10"/>
    </row>
    <row r="985">
      <c r="A985" s="10"/>
      <c r="I985" s="10"/>
    </row>
    <row r="986">
      <c r="A986" s="10"/>
      <c r="I986" s="10"/>
    </row>
    <row r="987">
      <c r="A987" s="10"/>
      <c r="I987" s="10"/>
    </row>
    <row r="988">
      <c r="A988" s="10"/>
      <c r="I988" s="10"/>
    </row>
    <row r="989">
      <c r="A989" s="10"/>
      <c r="I989" s="10"/>
    </row>
    <row r="990">
      <c r="A990" s="10"/>
      <c r="I990" s="10"/>
    </row>
    <row r="991">
      <c r="A991" s="10"/>
      <c r="I991" s="10"/>
    </row>
    <row r="992">
      <c r="A992" s="10"/>
      <c r="I992" s="10"/>
    </row>
    <row r="993">
      <c r="A993" s="10"/>
      <c r="I993" s="10"/>
    </row>
    <row r="994">
      <c r="A994" s="10"/>
      <c r="I994" s="10"/>
    </row>
    <row r="995">
      <c r="A995" s="10"/>
      <c r="I995" s="10"/>
    </row>
    <row r="996">
      <c r="A996" s="10"/>
      <c r="I996" s="10"/>
    </row>
    <row r="997">
      <c r="A997" s="10"/>
      <c r="I997" s="10"/>
    </row>
    <row r="998">
      <c r="A998" s="10"/>
      <c r="I998" s="10"/>
    </row>
    <row r="999">
      <c r="A999" s="10"/>
      <c r="I999" s="10"/>
    </row>
    <row r="1000">
      <c r="A1000" s="10"/>
      <c r="I1000" s="10"/>
    </row>
    <row r="1001">
      <c r="A1001" s="10"/>
      <c r="I1001" s="10"/>
    </row>
    <row r="1002">
      <c r="A1002" s="10"/>
      <c r="I1002" s="10"/>
    </row>
    <row r="1003">
      <c r="A1003" s="10"/>
      <c r="I1003" s="10"/>
    </row>
    <row r="1004">
      <c r="A1004" s="10"/>
      <c r="I1004" s="10"/>
    </row>
    <row r="1005">
      <c r="A1005" s="10"/>
      <c r="I1005" s="10"/>
    </row>
    <row r="1006">
      <c r="A1006" s="10"/>
      <c r="I1006" s="10"/>
    </row>
    <row r="1007">
      <c r="A1007" s="10"/>
      <c r="I1007" s="10"/>
    </row>
    <row r="1008">
      <c r="A1008" s="10"/>
      <c r="I1008" s="10"/>
    </row>
    <row r="1009">
      <c r="A1009" s="10"/>
      <c r="I1009" s="10"/>
    </row>
    <row r="1010">
      <c r="A1010" s="10"/>
      <c r="I1010" s="10"/>
    </row>
    <row r="1011">
      <c r="A1011" s="10"/>
      <c r="I1011" s="10"/>
    </row>
    <row r="1012">
      <c r="A1012" s="10"/>
      <c r="I1012" s="10"/>
    </row>
    <row r="1013">
      <c r="A1013" s="10"/>
      <c r="I1013" s="10"/>
    </row>
    <row r="1014">
      <c r="A1014" s="10"/>
      <c r="I1014" s="10"/>
    </row>
    <row r="1015">
      <c r="A1015" s="10"/>
      <c r="I1015" s="10"/>
    </row>
    <row r="1016">
      <c r="A1016" s="10"/>
      <c r="I1016" s="10"/>
    </row>
    <row r="1017">
      <c r="A1017" s="10"/>
      <c r="I1017" s="10"/>
    </row>
    <row r="1018">
      <c r="A1018" s="10"/>
      <c r="I1018" s="10"/>
    </row>
    <row r="1019">
      <c r="A1019" s="10"/>
      <c r="I1019" s="10"/>
    </row>
    <row r="1020">
      <c r="A1020" s="10"/>
      <c r="I1020" s="10"/>
    </row>
    <row r="1021">
      <c r="A1021" s="10"/>
      <c r="I1021" s="10"/>
    </row>
    <row r="1022">
      <c r="A1022" s="10"/>
      <c r="I1022" s="10"/>
    </row>
    <row r="1023">
      <c r="A1023" s="10"/>
      <c r="I1023" s="10"/>
    </row>
    <row r="1024">
      <c r="A1024" s="10"/>
      <c r="I1024" s="10"/>
    </row>
    <row r="1025">
      <c r="A1025" s="10"/>
      <c r="I1025" s="10"/>
    </row>
    <row r="1026">
      <c r="A1026" s="10"/>
      <c r="I1026" s="10"/>
    </row>
    <row r="1027">
      <c r="A1027" s="10"/>
      <c r="I1027" s="10"/>
    </row>
    <row r="1028">
      <c r="A1028" s="10"/>
      <c r="I1028" s="10"/>
    </row>
    <row r="1029">
      <c r="A1029" s="10"/>
      <c r="I1029" s="10"/>
    </row>
    <row r="1030">
      <c r="A1030" s="10"/>
      <c r="I1030" s="10"/>
    </row>
    <row r="1031">
      <c r="A1031" s="10"/>
      <c r="I1031" s="10"/>
    </row>
    <row r="1032">
      <c r="A1032" s="10"/>
      <c r="I1032" s="10"/>
    </row>
    <row r="1033">
      <c r="A1033" s="10"/>
      <c r="I1033" s="10"/>
    </row>
    <row r="1034">
      <c r="A1034" s="10"/>
      <c r="I1034" s="10"/>
    </row>
    <row r="1035">
      <c r="A1035" s="10"/>
      <c r="I1035" s="10"/>
    </row>
    <row r="1036">
      <c r="A1036" s="10"/>
      <c r="I1036" s="10"/>
    </row>
    <row r="1037">
      <c r="A1037" s="10"/>
      <c r="I1037" s="10"/>
    </row>
    <row r="1038">
      <c r="A1038" s="10"/>
      <c r="I1038" s="10"/>
    </row>
    <row r="1039">
      <c r="A1039" s="10"/>
      <c r="I1039" s="10"/>
    </row>
    <row r="1040">
      <c r="A1040" s="10"/>
      <c r="I1040" s="10"/>
    </row>
    <row r="1041">
      <c r="A1041" s="10"/>
      <c r="I1041" s="10"/>
    </row>
    <row r="1042">
      <c r="A1042" s="10"/>
      <c r="I1042" s="10"/>
    </row>
    <row r="1043">
      <c r="A1043" s="10"/>
      <c r="I1043" s="10"/>
    </row>
    <row r="1044">
      <c r="A1044" s="10"/>
      <c r="I1044" s="10"/>
    </row>
    <row r="1045">
      <c r="A1045" s="10"/>
      <c r="I1045" s="10"/>
    </row>
    <row r="1046">
      <c r="A1046" s="10"/>
      <c r="I1046" s="10"/>
    </row>
    <row r="1047">
      <c r="A1047" s="10"/>
      <c r="I1047" s="10"/>
    </row>
    <row r="1048">
      <c r="A1048" s="10"/>
      <c r="I1048" s="10"/>
    </row>
    <row r="1049">
      <c r="A1049" s="10"/>
      <c r="I1049" s="10"/>
    </row>
    <row r="1050">
      <c r="A1050" s="10"/>
      <c r="I1050" s="10"/>
    </row>
    <row r="1051">
      <c r="A1051" s="10"/>
      <c r="I1051" s="10"/>
    </row>
    <row r="1052">
      <c r="A1052" s="10"/>
      <c r="I1052" s="10"/>
    </row>
    <row r="1053">
      <c r="I1053" s="10"/>
    </row>
  </sheetData>
  <mergeCells count="4">
    <mergeCell ref="I2:P2"/>
    <mergeCell ref="I25:P25"/>
    <mergeCell ref="I34:P34"/>
    <mergeCell ref="I57:P57"/>
  </mergeCells>
  <conditionalFormatting sqref="B3:H22">
    <cfRule type="expression" dxfId="0" priority="1">
      <formula>TEXT(VALUE(REGEXEXTRACT(B3,"^[+-]?[0-9]*\.?[0-9]+"))*100,"0.00")&amp;" +/- "&amp;TEXT(VALUE(REGEXEXTRACT(B3,"[0-9]*\.?[0-9]+$"))*100,"0.00")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75"/>
    <col customWidth="1" min="2" max="3" width="14.5"/>
    <col customWidth="1" min="4" max="4" width="16.5"/>
    <col customWidth="1" min="5" max="6" width="14.63"/>
  </cols>
  <sheetData>
    <row r="1">
      <c r="A1" s="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3" t="s">
        <v>8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</row>
    <row r="2">
      <c r="A2" s="4" t="s">
        <v>9</v>
      </c>
      <c r="B2" s="15"/>
      <c r="C2" s="15"/>
      <c r="D2" s="15"/>
      <c r="E2" s="15"/>
      <c r="F2" s="15"/>
      <c r="G2" s="15"/>
      <c r="H2" s="15"/>
      <c r="I2" s="5" t="s">
        <v>9</v>
      </c>
    </row>
    <row r="3">
      <c r="A3" s="6" t="s">
        <v>10</v>
      </c>
      <c r="B3" s="16" t="s">
        <v>238</v>
      </c>
      <c r="C3" s="16" t="s">
        <v>239</v>
      </c>
      <c r="D3" s="16" t="s">
        <v>240</v>
      </c>
      <c r="E3" s="16" t="s">
        <v>241</v>
      </c>
      <c r="F3" s="16" t="s">
        <v>242</v>
      </c>
      <c r="G3" s="16" t="s">
        <v>243</v>
      </c>
      <c r="H3" s="16" t="s">
        <v>244</v>
      </c>
      <c r="I3" s="20" t="str">
        <f t="shared" ref="I3:I24" si="1">A3</f>
        <v>CM1→MW1</v>
      </c>
      <c r="J3" s="9" t="str">
        <f>IFERROR(__xludf.DUMMYFUNCTION("TEXT(VALUE(REGEXEXTRACT(B3,""^[+-]?[0-9]*\.?[0-9]+""))*100,""0.00"")&amp;"" +/- ""&amp;TEXT(VALUE(REGEXEXTRACT(B3,""[0-9]*\.?[0-9]+$""))*100,""0.00"")"),"36.06 +/- 1.67")</f>
        <v>36.06 +/- 1.67</v>
      </c>
      <c r="K3" s="9" t="str">
        <f>IFERROR(__xludf.DUMMYFUNCTION("TEXT(VALUE(REGEXEXTRACT(C3,""^[+-]?[0-9]*\.?[0-9]+""))*100,""0.00"")&amp;"" +/- ""&amp;TEXT(VALUE(REGEXEXTRACT(C3,""[0-9]*\.?[0-9]+$""))*100,""0.00"")"),"8.58 +/- 5.62")</f>
        <v>8.58 +/- 5.62</v>
      </c>
      <c r="L3" s="9" t="str">
        <f>IFERROR(__xludf.DUMMYFUNCTION("TEXT(VALUE(REGEXEXTRACT(D3,""^[+-]?[0-9]*\.?[0-9]+""))*100,""0.00"")&amp;"" +/- ""&amp;TEXT(VALUE(REGEXEXTRACT(D3,""[0-9]*\.?[0-9]+$""))*100,""0.00"")"),"5.68 +/- 5.65")</f>
        <v>5.68 +/- 5.65</v>
      </c>
      <c r="M3" s="9" t="str">
        <f>IFERROR(__xludf.DUMMYFUNCTION("TEXT(VALUE(REGEXEXTRACT(E3,""^[+-]?[0-9]*\.?[0-9]+""))*100,""0.00"")&amp;"" +/- ""&amp;TEXT(VALUE(REGEXEXTRACT(E3,""[0-9]*\.?[0-9]+$""))*100,""0.00"")"),"38.44 +/- 4.33")</f>
        <v>38.44 +/- 4.33</v>
      </c>
      <c r="N3" s="9" t="str">
        <f>IFERROR(__xludf.DUMMYFUNCTION("TEXT(VALUE(REGEXEXTRACT(F3,""^[+-]?[0-9]*\.?[0-9]+""))*100,""0.00"")&amp;"" +/- ""&amp;TEXT(VALUE(REGEXEXTRACT(F3,""[0-9]*\.?[0-9]+$""))*100,""0.00"")"),"38.59 +/- 1.78")</f>
        <v>38.59 +/- 1.78</v>
      </c>
      <c r="O3" s="10" t="str">
        <f>IFERROR(__xludf.DUMMYFUNCTION("TEXT(VALUE(REGEXEXTRACT(G3,""^[+-]?[0-9]*\.?[0-9]+""))*100,""0.00"")&amp;"" +/- ""&amp;TEXT(VALUE(REGEXEXTRACT(G3,""[0-9]*\.?[0-9]+$""))*100,""0.00"")"),"38.61 +/- 1.93")</f>
        <v>38.61 +/- 1.93</v>
      </c>
      <c r="P3" s="9" t="str">
        <f>IFERROR(__xludf.DUMMYFUNCTION("TEXT(VALUE(REGEXEXTRACT(H3,""^[+-]?[0-9]*\.?[0-9]+""))*100,""0.00"")&amp;"" +/- ""&amp;TEXT(VALUE(REGEXEXTRACT(H3,""[0-9]*\.?[0-9]+$""))*100,""0.00"")"),"20.78 +/- 1.87")</f>
        <v>20.78 +/- 1.87</v>
      </c>
    </row>
    <row r="4">
      <c r="A4" s="6" t="s">
        <v>18</v>
      </c>
      <c r="B4" s="16" t="s">
        <v>376</v>
      </c>
      <c r="C4" s="16" t="s">
        <v>379</v>
      </c>
      <c r="D4" s="16" t="s">
        <v>380</v>
      </c>
      <c r="E4" s="16" t="s">
        <v>381</v>
      </c>
      <c r="F4" s="16" t="s">
        <v>382</v>
      </c>
      <c r="G4" s="16" t="s">
        <v>386</v>
      </c>
      <c r="H4" s="16" t="s">
        <v>387</v>
      </c>
      <c r="I4" s="20" t="str">
        <f t="shared" si="1"/>
        <v>CM1→PC1</v>
      </c>
      <c r="J4" s="9" t="str">
        <f>IFERROR(__xludf.DUMMYFUNCTION("TEXT(VALUE(REGEXEXTRACT(B4,""^[+-]?[0-9]*\.?[0-9]+""))*100,""0.00"")&amp;"" +/- ""&amp;TEXT(VALUE(REGEXEXTRACT(B4,""[0-9]*\.?[0-9]+$""))*100,""0.00"")"),"22.47 +/- 1.67")</f>
        <v>22.47 +/- 1.67</v>
      </c>
      <c r="K4" s="9" t="str">
        <f>IFERROR(__xludf.DUMMYFUNCTION("TEXT(VALUE(REGEXEXTRACT(C4,""^[+-]?[0-9]*\.?[0-9]+""))*100,""0.00"")&amp;"" +/- ""&amp;TEXT(VALUE(REGEXEXTRACT(C4,""[0-9]*\.?[0-9]+$""))*100,""0.00"")"),"9.30 +/- 3.56")</f>
        <v>9.30 +/- 3.56</v>
      </c>
      <c r="L4" s="9" t="str">
        <f>IFERROR(__xludf.DUMMYFUNCTION("TEXT(VALUE(REGEXEXTRACT(D4,""^[+-]?[0-9]*\.?[0-9]+""))*100,""0.00"")&amp;"" +/- ""&amp;TEXT(VALUE(REGEXEXTRACT(D4,""[0-9]*\.?[0-9]+$""))*100,""0.00"")"),"10.90 +/- 5.04")</f>
        <v>10.90 +/- 5.04</v>
      </c>
      <c r="M4" s="9" t="str">
        <f>IFERROR(__xludf.DUMMYFUNCTION("TEXT(VALUE(REGEXEXTRACT(E4,""^[+-]?[0-9]*\.?[0-9]+""))*100,""0.00"")&amp;"" +/- ""&amp;TEXT(VALUE(REGEXEXTRACT(E4,""[0-9]*\.?[0-9]+$""))*100,""0.00"")"),"16.31 +/- 3.50")</f>
        <v>16.31 +/- 3.50</v>
      </c>
      <c r="N4" s="9" t="str">
        <f>IFERROR(__xludf.DUMMYFUNCTION("TEXT(VALUE(REGEXEXTRACT(F4,""^[+-]?[0-9]*\.?[0-9]+""))*100,""0.00"")&amp;"" +/- ""&amp;TEXT(VALUE(REGEXEXTRACT(F4,""[0-9]*\.?[0-9]+$""))*100,""0.00"")"),"24.32 +/- 1.86")</f>
        <v>24.32 +/- 1.86</v>
      </c>
      <c r="O4" s="9" t="str">
        <f>IFERROR(__xludf.DUMMYFUNCTION("TEXT(VALUE(REGEXEXTRACT(G4,""^[+-]?[0-9]*\.?[0-9]+""))*100,""0.00"")&amp;"" +/- ""&amp;TEXT(VALUE(REGEXEXTRACT(G4,""[0-9]*\.?[0-9]+$""))*100,""0.00"")"),"24.06 +/- 1.87")</f>
        <v>24.06 +/- 1.87</v>
      </c>
      <c r="P4" s="10" t="str">
        <f>IFERROR(__xludf.DUMMYFUNCTION("TEXT(VALUE(REGEXEXTRACT(H4,""^[+-]?[0-9]*\.?[0-9]+""))*100,""0.00"")&amp;"" +/- ""&amp;TEXT(VALUE(REGEXEXTRACT(H4,""[0-9]*\.?[0-9]+$""))*100,""0.00"")"),"33.18 +/- 2.17")</f>
        <v>33.18 +/- 2.17</v>
      </c>
    </row>
    <row r="5">
      <c r="A5" s="6" t="s">
        <v>26</v>
      </c>
      <c r="B5" s="16" t="s">
        <v>406</v>
      </c>
      <c r="C5" s="16" t="s">
        <v>408</v>
      </c>
      <c r="D5" s="16" t="s">
        <v>410</v>
      </c>
      <c r="E5" s="16" t="s">
        <v>411</v>
      </c>
      <c r="F5" s="16" t="s">
        <v>412</v>
      </c>
      <c r="G5" s="16" t="s">
        <v>413</v>
      </c>
      <c r="H5" s="16" t="s">
        <v>414</v>
      </c>
      <c r="I5" s="20" t="str">
        <f t="shared" si="1"/>
        <v>CM1→PC3</v>
      </c>
      <c r="J5" s="10" t="str">
        <f>IFERROR(__xludf.DUMMYFUNCTION("TEXT(VALUE(REGEXEXTRACT(B5,""^[+-]?[0-9]*\.?[0-9]+""))*100,""0.00"")&amp;"" +/- ""&amp;TEXT(VALUE(REGEXEXTRACT(B5,""[0-9]*\.?[0-9]+$""))*100,""0.00"")"),"35.42 +/- 1.57")</f>
        <v>35.42 +/- 1.57</v>
      </c>
      <c r="K5" s="9" t="str">
        <f>IFERROR(__xludf.DUMMYFUNCTION("TEXT(VALUE(REGEXEXTRACT(C5,""^[+-]?[0-9]*\.?[0-9]+""))*100,""0.00"")&amp;"" +/- ""&amp;TEXT(VALUE(REGEXEXTRACT(C5,""[0-9]*\.?[0-9]+$""))*100,""0.00"")"),"0.39 +/- 0.66")</f>
        <v>0.39 +/- 0.66</v>
      </c>
      <c r="L5" s="9" t="str">
        <f>IFERROR(__xludf.DUMMYFUNCTION("TEXT(VALUE(REGEXEXTRACT(D5,""^[+-]?[0-9]*\.?[0-9]+""))*100,""0.00"")&amp;"" +/- ""&amp;TEXT(VALUE(REGEXEXTRACT(D5,""[0-9]*\.?[0-9]+$""))*100,""0.00"")"),"3.98 +/- 2.49")</f>
        <v>3.98 +/- 2.49</v>
      </c>
      <c r="M5" s="9" t="str">
        <f>IFERROR(__xludf.DUMMYFUNCTION("TEXT(VALUE(REGEXEXTRACT(E5,""^[+-]?[0-9]*\.?[0-9]+""))*100,""0.00"")&amp;"" +/- ""&amp;TEXT(VALUE(REGEXEXTRACT(E5,""[0-9]*\.?[0-9]+$""))*100,""0.00"")"),"21.92 +/- 4.54")</f>
        <v>21.92 +/- 4.54</v>
      </c>
      <c r="N5" s="9" t="str">
        <f>IFERROR(__xludf.DUMMYFUNCTION("TEXT(VALUE(REGEXEXTRACT(F5,""^[+-]?[0-9]*\.?[0-9]+""))*100,""0.00"")&amp;"" +/- ""&amp;TEXT(VALUE(REGEXEXTRACT(F5,""[0-9]*\.?[0-9]+$""))*100,""0.00"")"),"32.66 +/- 1.56")</f>
        <v>32.66 +/- 1.56</v>
      </c>
      <c r="O5" s="9" t="str">
        <f>IFERROR(__xludf.DUMMYFUNCTION("TEXT(VALUE(REGEXEXTRACT(G5,""^[+-]?[0-9]*\.?[0-9]+""))*100,""0.00"")&amp;"" +/- ""&amp;TEXT(VALUE(REGEXEXTRACT(G5,""[0-9]*\.?[0-9]+$""))*100,""0.00"")"),"32.83 +/- 2.26")</f>
        <v>32.83 +/- 2.26</v>
      </c>
      <c r="P5" s="9" t="str">
        <f>IFERROR(__xludf.DUMMYFUNCTION("TEXT(VALUE(REGEXEXTRACT(H5,""^[+-]?[0-9]*\.?[0-9]+""))*100,""0.00"")&amp;"" +/- ""&amp;TEXT(VALUE(REGEXEXTRACT(H5,""[0-9]*\.?[0-9]+$""))*100,""0.00"")"),"33.48 +/- 1.69")</f>
        <v>33.48 +/- 1.69</v>
      </c>
    </row>
    <row r="6">
      <c r="A6" s="6" t="s">
        <v>34</v>
      </c>
      <c r="B6" s="16" t="s">
        <v>422</v>
      </c>
      <c r="C6" s="16" t="s">
        <v>424</v>
      </c>
      <c r="D6" s="16" t="s">
        <v>475</v>
      </c>
      <c r="E6" s="16" t="s">
        <v>477</v>
      </c>
      <c r="F6" s="16" t="s">
        <v>481</v>
      </c>
      <c r="G6" s="16" t="s">
        <v>484</v>
      </c>
      <c r="H6" s="16" t="s">
        <v>486</v>
      </c>
      <c r="I6" s="20" t="str">
        <f t="shared" si="1"/>
        <v>CM1→PC4</v>
      </c>
      <c r="J6" s="9" t="str">
        <f>IFERROR(__xludf.DUMMYFUNCTION("TEXT(VALUE(REGEXEXTRACT(B6,""^[+-]?[0-9]*\.?[0-9]+""))*100,""0.00"")&amp;"" +/- ""&amp;TEXT(VALUE(REGEXEXTRACT(B6,""[0-9]*\.?[0-9]+$""))*100,""0.00"")"),"29.87 +/- 1.10")</f>
        <v>29.87 +/- 1.10</v>
      </c>
      <c r="K6" s="9" t="str">
        <f>IFERROR(__xludf.DUMMYFUNCTION("TEXT(VALUE(REGEXEXTRACT(C6,""^[+-]?[0-9]*\.?[0-9]+""))*100,""0.00"")&amp;"" +/- ""&amp;TEXT(VALUE(REGEXEXTRACT(C6,""[0-9]*\.?[0-9]+$""))*100,""0.00"")"),"0.25 +/- 0.60")</f>
        <v>0.25 +/- 0.60</v>
      </c>
      <c r="L6" s="9" t="str">
        <f>IFERROR(__xludf.DUMMYFUNCTION("TEXT(VALUE(REGEXEXTRACT(D6,""^[+-]?[0-9]*\.?[0-9]+""))*100,""0.00"")&amp;"" +/- ""&amp;TEXT(VALUE(REGEXEXTRACT(D6,""[0-9]*\.?[0-9]+$""))*100,""0.00"")"),"2.19 +/- 1.34")</f>
        <v>2.19 +/- 1.34</v>
      </c>
      <c r="M6" s="9" t="str">
        <f>IFERROR(__xludf.DUMMYFUNCTION("TEXT(VALUE(REGEXEXTRACT(E6,""^[+-]?[0-9]*\.?[0-9]+""))*100,""0.00"")&amp;"" +/- ""&amp;TEXT(VALUE(REGEXEXTRACT(E6,""[0-9]*\.?[0-9]+$""))*100,""0.00"")"),"22.22 +/- 2.42")</f>
        <v>22.22 +/- 2.42</v>
      </c>
      <c r="N6" s="9" t="str">
        <f>IFERROR(__xludf.DUMMYFUNCTION("TEXT(VALUE(REGEXEXTRACT(F6,""^[+-]?[0-9]*\.?[0-9]+""))*100,""0.00"")&amp;"" +/- ""&amp;TEXT(VALUE(REGEXEXTRACT(F6,""[0-9]*\.?[0-9]+$""))*100,""0.00"")"),"29.29 +/- 1.40")</f>
        <v>29.29 +/- 1.40</v>
      </c>
      <c r="O6" s="10" t="str">
        <f>IFERROR(__xludf.DUMMYFUNCTION("TEXT(VALUE(REGEXEXTRACT(G6,""^[+-]?[0-9]*\.?[0-9]+""))*100,""0.00"")&amp;"" +/- ""&amp;TEXT(VALUE(REGEXEXTRACT(G6,""[0-9]*\.?[0-9]+$""))*100,""0.00"")"),"29.89 +/- 1.64")</f>
        <v>29.89 +/- 1.64</v>
      </c>
      <c r="P6" s="9" t="str">
        <f>IFERROR(__xludf.DUMMYFUNCTION("TEXT(VALUE(REGEXEXTRACT(H6,""^[+-]?[0-9]*\.?[0-9]+""))*100,""0.00"")&amp;"" +/- ""&amp;TEXT(VALUE(REGEXEXTRACT(H6,""[0-9]*\.?[0-9]+$""))*100,""0.00"")"),"22.71 +/- 2.14")</f>
        <v>22.71 +/- 2.14</v>
      </c>
    </row>
    <row r="7">
      <c r="A7" s="6" t="s">
        <v>42</v>
      </c>
      <c r="B7" s="16" t="s">
        <v>497</v>
      </c>
      <c r="C7" s="16" t="s">
        <v>498</v>
      </c>
      <c r="D7" s="16" t="s">
        <v>499</v>
      </c>
      <c r="E7" s="16" t="s">
        <v>500</v>
      </c>
      <c r="F7" s="16" t="s">
        <v>501</v>
      </c>
      <c r="G7" s="16" t="s">
        <v>502</v>
      </c>
      <c r="H7" s="16" t="s">
        <v>503</v>
      </c>
      <c r="I7" s="20" t="str">
        <f t="shared" si="1"/>
        <v>MW1→CM1</v>
      </c>
      <c r="J7" s="9" t="str">
        <f>IFERROR(__xludf.DUMMYFUNCTION("TEXT(VALUE(REGEXEXTRACT(B7,""^[+-]?[0-9]*\.?[0-9]+""))*100,""0.00"")&amp;"" +/- ""&amp;TEXT(VALUE(REGEXEXTRACT(B7,""[0-9]*\.?[0-9]+$""))*100,""0.00"")"),"24.84 +/- 4.57")</f>
        <v>24.84 +/- 4.57</v>
      </c>
      <c r="K7" s="9" t="str">
        <f>IFERROR(__xludf.DUMMYFUNCTION("TEXT(VALUE(REGEXEXTRACT(C7,""^[+-]?[0-9]*\.?[0-9]+""))*100,""0.00"")&amp;"" +/- ""&amp;TEXT(VALUE(REGEXEXTRACT(C7,""[0-9]*\.?[0-9]+$""))*100,""0.00"")"),"14.40 +/- 2.77")</f>
        <v>14.40 +/- 2.77</v>
      </c>
      <c r="L7" s="9" t="str">
        <f>IFERROR(__xludf.DUMMYFUNCTION("TEXT(VALUE(REGEXEXTRACT(D7,""^[+-]?[0-9]*\.?[0-9]+""))*100,""0.00"")&amp;"" +/- ""&amp;TEXT(VALUE(REGEXEXTRACT(D7,""[0-9]*\.?[0-9]+$""))*100,""0.00"")"),"0.47 +/- 1.42")</f>
        <v>0.47 +/- 1.42</v>
      </c>
      <c r="M7" s="9" t="str">
        <f>IFERROR(__xludf.DUMMYFUNCTION("TEXT(VALUE(REGEXEXTRACT(E7,""^[+-]?[0-9]*\.?[0-9]+""))*100,""0.00"")&amp;"" +/- ""&amp;TEXT(VALUE(REGEXEXTRACT(E7,""[0-9]*\.?[0-9]+$""))*100,""0.00"")"),"10.97 +/- 4.84")</f>
        <v>10.97 +/- 4.84</v>
      </c>
      <c r="N7" s="9" t="str">
        <f>IFERROR(__xludf.DUMMYFUNCTION("TEXT(VALUE(REGEXEXTRACT(F7,""^[+-]?[0-9]*\.?[0-9]+""))*100,""0.00"")&amp;"" +/- ""&amp;TEXT(VALUE(REGEXEXTRACT(F7,""[0-9]*\.?[0-9]+$""))*100,""0.00"")"),"28.68 +/- 2.57")</f>
        <v>28.68 +/- 2.57</v>
      </c>
      <c r="O7" s="9" t="str">
        <f>IFERROR(__xludf.DUMMYFUNCTION("TEXT(VALUE(REGEXEXTRACT(G7,""^[+-]?[0-9]*\.?[0-9]+""))*100,""0.00"")&amp;"" +/- ""&amp;TEXT(VALUE(REGEXEXTRACT(G7,""[0-9]*\.?[0-9]+$""))*100,""0.00"")"),"25.23 +/- 3.89")</f>
        <v>25.23 +/- 3.89</v>
      </c>
      <c r="P7" s="10" t="str">
        <f>IFERROR(__xludf.DUMMYFUNCTION("TEXT(VALUE(REGEXEXTRACT(H7,""^[+-]?[0-9]*\.?[0-9]+""))*100,""0.00"")&amp;"" +/- ""&amp;TEXT(VALUE(REGEXEXTRACT(H7,""[0-9]*\.?[0-9]+$""))*100,""0.00"")"),"30.27 +/- 2.56")</f>
        <v>30.27 +/- 2.56</v>
      </c>
    </row>
    <row r="8">
      <c r="A8" s="6" t="s">
        <v>50</v>
      </c>
      <c r="B8" s="16" t="s">
        <v>515</v>
      </c>
      <c r="C8" s="16" t="s">
        <v>516</v>
      </c>
      <c r="D8" s="16" t="s">
        <v>517</v>
      </c>
      <c r="E8" s="16" t="s">
        <v>518</v>
      </c>
      <c r="F8" s="16" t="s">
        <v>519</v>
      </c>
      <c r="G8" s="16" t="s">
        <v>520</v>
      </c>
      <c r="H8" s="16" t="s">
        <v>521</v>
      </c>
      <c r="I8" s="20" t="str">
        <f t="shared" si="1"/>
        <v>MW1→PC1</v>
      </c>
      <c r="J8" s="9" t="str">
        <f>IFERROR(__xludf.DUMMYFUNCTION("TEXT(VALUE(REGEXEXTRACT(B8,""^[+-]?[0-9]*\.?[0-9]+""))*100,""0.00"")&amp;"" +/- ""&amp;TEXT(VALUE(REGEXEXTRACT(B8,""[0-9]*\.?[0-9]+$""))*100,""0.00"")"),"20.90 +/- 2.78")</f>
        <v>20.90 +/- 2.78</v>
      </c>
      <c r="K8" s="9" t="str">
        <f>IFERROR(__xludf.DUMMYFUNCTION("TEXT(VALUE(REGEXEXTRACT(C8,""^[+-]?[0-9]*\.?[0-9]+""))*100,""0.00"")&amp;"" +/- ""&amp;TEXT(VALUE(REGEXEXTRACT(C8,""[0-9]*\.?[0-9]+$""))*100,""0.00"")"),"18.18 +/- 2.50")</f>
        <v>18.18 +/- 2.50</v>
      </c>
      <c r="L8" s="9" t="str">
        <f>IFERROR(__xludf.DUMMYFUNCTION("TEXT(VALUE(REGEXEXTRACT(D8,""^[+-]?[0-9]*\.?[0-9]+""))*100,""0.00"")&amp;"" +/- ""&amp;TEXT(VALUE(REGEXEXTRACT(D8,""[0-9]*\.?[0-9]+$""))*100,""0.00"")"),"2.75 +/- 2.86")</f>
        <v>2.75 +/- 2.86</v>
      </c>
      <c r="M8" s="9" t="str">
        <f>IFERROR(__xludf.DUMMYFUNCTION("TEXT(VALUE(REGEXEXTRACT(E8,""^[+-]?[0-9]*\.?[0-9]+""))*100,""0.00"")&amp;"" +/- ""&amp;TEXT(VALUE(REGEXEXTRACT(E8,""[0-9]*\.?[0-9]+$""))*100,""0.00"")"),"11.89 +/- 3.19")</f>
        <v>11.89 +/- 3.19</v>
      </c>
      <c r="N8" s="9" t="str">
        <f>IFERROR(__xludf.DUMMYFUNCTION("TEXT(VALUE(REGEXEXTRACT(F8,""^[+-]?[0-9]*\.?[0-9]+""))*100,""0.00"")&amp;"" +/- ""&amp;TEXT(VALUE(REGEXEXTRACT(F8,""[0-9]*\.?[0-9]+$""))*100,""0.00"")"),"17.08 +/- 2.90")</f>
        <v>17.08 +/- 2.90</v>
      </c>
      <c r="O8" s="9" t="str">
        <f>IFERROR(__xludf.DUMMYFUNCTION("TEXT(VALUE(REGEXEXTRACT(G8,""^[+-]?[0-9]*\.?[0-9]+""))*100,""0.00"")&amp;"" +/- ""&amp;TEXT(VALUE(REGEXEXTRACT(G8,""[0-9]*\.?[0-9]+$""))*100,""0.00"")"),"18.28 +/- 3.09")</f>
        <v>18.28 +/- 3.09</v>
      </c>
      <c r="P8" s="10" t="str">
        <f>IFERROR(__xludf.DUMMYFUNCTION("TEXT(VALUE(REGEXEXTRACT(H8,""^[+-]?[0-9]*\.?[0-9]+""))*100,""0.00"")&amp;"" +/- ""&amp;TEXT(VALUE(REGEXEXTRACT(H8,""[0-9]*\.?[0-9]+$""))*100,""0.00"")"),"25.18 +/- 2.33")</f>
        <v>25.18 +/- 2.33</v>
      </c>
    </row>
    <row r="9">
      <c r="A9" s="6" t="s">
        <v>58</v>
      </c>
      <c r="B9" s="16" t="s">
        <v>532</v>
      </c>
      <c r="C9" s="16" t="s">
        <v>533</v>
      </c>
      <c r="D9" s="16" t="s">
        <v>534</v>
      </c>
      <c r="E9" s="16" t="s">
        <v>535</v>
      </c>
      <c r="F9" s="16" t="s">
        <v>536</v>
      </c>
      <c r="G9" s="16" t="s">
        <v>537</v>
      </c>
      <c r="H9" s="16" t="s">
        <v>538</v>
      </c>
      <c r="I9" s="20" t="str">
        <f t="shared" si="1"/>
        <v>MW1→PC3</v>
      </c>
      <c r="J9" s="9" t="str">
        <f>IFERROR(__xludf.DUMMYFUNCTION("TEXT(VALUE(REGEXEXTRACT(B9,""^[+-]?[0-9]*\.?[0-9]+""))*100,""0.00"")&amp;"" +/- ""&amp;TEXT(VALUE(REGEXEXTRACT(B9,""[0-9]*\.?[0-9]+$""))*100,""0.00"")"),"26.52 +/- 4.16")</f>
        <v>26.52 +/- 4.16</v>
      </c>
      <c r="K9" s="9" t="str">
        <f>IFERROR(__xludf.DUMMYFUNCTION("TEXT(VALUE(REGEXEXTRACT(C9,""^[+-]?[0-9]*\.?[0-9]+""))*100,""0.00"")&amp;"" +/- ""&amp;TEXT(VALUE(REGEXEXTRACT(C9,""[0-9]*\.?[0-9]+$""))*100,""0.00"")"),"4.78 +/- 1.07")</f>
        <v>4.78 +/- 1.07</v>
      </c>
      <c r="L9" s="9" t="str">
        <f>IFERROR(__xludf.DUMMYFUNCTION("TEXT(VALUE(REGEXEXTRACT(D9,""^[+-]?[0-9]*\.?[0-9]+""))*100,""0.00"")&amp;"" +/- ""&amp;TEXT(VALUE(REGEXEXTRACT(D9,""[0-9]*\.?[0-9]+$""))*100,""0.00"")"),"0.25 +/- 0.56")</f>
        <v>0.25 +/- 0.56</v>
      </c>
      <c r="M9" s="9" t="str">
        <f>IFERROR(__xludf.DUMMYFUNCTION("TEXT(VALUE(REGEXEXTRACT(E9,""^[+-]?[0-9]*\.?[0-9]+""))*100,""0.00"")&amp;"" +/- ""&amp;TEXT(VALUE(REGEXEXTRACT(E9,""[0-9]*\.?[0-9]+$""))*100,""0.00"")"),"9.32 +/- 1.89")</f>
        <v>9.32 +/- 1.89</v>
      </c>
      <c r="N9" s="9" t="str">
        <f>IFERROR(__xludf.DUMMYFUNCTION("TEXT(VALUE(REGEXEXTRACT(F9,""^[+-]?[0-9]*\.?[0-9]+""))*100,""0.00"")&amp;"" +/- ""&amp;TEXT(VALUE(REGEXEXTRACT(F9,""[0-9]*\.?[0-9]+$""))*100,""0.00"")"),"12.24 +/- 2.40")</f>
        <v>12.24 +/- 2.40</v>
      </c>
      <c r="O9" s="9" t="str">
        <f>IFERROR(__xludf.DUMMYFUNCTION("TEXT(VALUE(REGEXEXTRACT(G9,""^[+-]?[0-9]*\.?[0-9]+""))*100,""0.00"")&amp;"" +/- ""&amp;TEXT(VALUE(REGEXEXTRACT(G9,""[0-9]*\.?[0-9]+$""))*100,""0.00"")"),"12.62 +/- 2.16")</f>
        <v>12.62 +/- 2.16</v>
      </c>
      <c r="P9" s="10" t="str">
        <f>IFERROR(__xludf.DUMMYFUNCTION("TEXT(VALUE(REGEXEXTRACT(H9,""^[+-]?[0-9]*\.?[0-9]+""))*100,""0.00"")&amp;"" +/- ""&amp;TEXT(VALUE(REGEXEXTRACT(H9,""[0-9]*\.?[0-9]+$""))*100,""0.00"")"),"28.51 +/- 2.18")</f>
        <v>28.51 +/- 2.18</v>
      </c>
    </row>
    <row r="10">
      <c r="A10" s="6" t="s">
        <v>66</v>
      </c>
      <c r="B10" s="16" t="s">
        <v>549</v>
      </c>
      <c r="C10" s="16" t="s">
        <v>550</v>
      </c>
      <c r="D10" s="16" t="s">
        <v>551</v>
      </c>
      <c r="E10" s="16" t="s">
        <v>552</v>
      </c>
      <c r="F10" s="16" t="s">
        <v>553</v>
      </c>
      <c r="G10" s="16" t="s">
        <v>554</v>
      </c>
      <c r="H10" s="16" t="s">
        <v>555</v>
      </c>
      <c r="I10" s="20" t="str">
        <f t="shared" si="1"/>
        <v>MW1→PC4</v>
      </c>
      <c r="J10" s="10" t="str">
        <f>IFERROR(__xludf.DUMMYFUNCTION("TEXT(VALUE(REGEXEXTRACT(B10,""^[+-]?[0-9]*\.?[0-9]+""))*100,""0.00"")&amp;"" +/- ""&amp;TEXT(VALUE(REGEXEXTRACT(B10,""[0-9]*\.?[0-9]+$""))*100,""0.00"")"),"29.71 +/- 2.29")</f>
        <v>29.71 +/- 2.29</v>
      </c>
      <c r="K10" s="9" t="str">
        <f>IFERROR(__xludf.DUMMYFUNCTION("TEXT(VALUE(REGEXEXTRACT(C10,""^[+-]?[0-9]*\.?[0-9]+""))*100,""0.00"")&amp;"" +/- ""&amp;TEXT(VALUE(REGEXEXTRACT(C10,""[0-9]*\.?[0-9]+$""))*100,""0.00"")"),"4.54 +/- 1.11")</f>
        <v>4.54 +/- 1.11</v>
      </c>
      <c r="L10" s="9" t="str">
        <f>IFERROR(__xludf.DUMMYFUNCTION("TEXT(VALUE(REGEXEXTRACT(D10,""^[+-]?[0-9]*\.?[0-9]+""))*100,""0.00"")&amp;"" +/- ""&amp;TEXT(VALUE(REGEXEXTRACT(D10,""[0-9]*\.?[0-9]+$""))*100,""0.00"")"),"0.48 +/- 0.56")</f>
        <v>0.48 +/- 0.56</v>
      </c>
      <c r="M10" s="9" t="str">
        <f>IFERROR(__xludf.DUMMYFUNCTION("TEXT(VALUE(REGEXEXTRACT(E10,""^[+-]?[0-9]*\.?[0-9]+""))*100,""0.00"")&amp;"" +/- ""&amp;TEXT(VALUE(REGEXEXTRACT(E10,""[0-9]*\.?[0-9]+$""))*100,""0.00"")"),"18.32 +/- 3.09")</f>
        <v>18.32 +/- 3.09</v>
      </c>
      <c r="N10" s="9" t="str">
        <f>IFERROR(__xludf.DUMMYFUNCTION("TEXT(VALUE(REGEXEXTRACT(F10,""^[+-]?[0-9]*\.?[0-9]+""))*100,""0.00"")&amp;"" +/- ""&amp;TEXT(VALUE(REGEXEXTRACT(F10,""[0-9]*\.?[0-9]+$""))*100,""0.00"")"),"26.50 +/- 2.40")</f>
        <v>26.50 +/- 2.40</v>
      </c>
      <c r="O10" s="9" t="str">
        <f>IFERROR(__xludf.DUMMYFUNCTION("TEXT(VALUE(REGEXEXTRACT(G10,""^[+-]?[0-9]*\.?[0-9]+""))*100,""0.00"")&amp;"" +/- ""&amp;TEXT(VALUE(REGEXEXTRACT(G10,""[0-9]*\.?[0-9]+$""))*100,""0.00"")"),"25.40 +/- 3.14")</f>
        <v>25.40 +/- 3.14</v>
      </c>
      <c r="P10" s="9" t="str">
        <f>IFERROR(__xludf.DUMMYFUNCTION("TEXT(VALUE(REGEXEXTRACT(H10,""^[+-]?[0-9]*\.?[0-9]+""))*100,""0.00"")&amp;"" +/- ""&amp;TEXT(VALUE(REGEXEXTRACT(H10,""[0-9]*\.?[0-9]+$""))*100,""0.00"")"),"23.82 +/- 1.46")</f>
        <v>23.82 +/- 1.46</v>
      </c>
    </row>
    <row r="11">
      <c r="A11" s="6" t="s">
        <v>79</v>
      </c>
      <c r="B11" s="16" t="s">
        <v>564</v>
      </c>
      <c r="C11" s="16" t="s">
        <v>565</v>
      </c>
      <c r="D11" s="16" t="s">
        <v>566</v>
      </c>
      <c r="E11" s="16" t="s">
        <v>567</v>
      </c>
      <c r="F11" s="16" t="s">
        <v>568</v>
      </c>
      <c r="G11" s="16" t="s">
        <v>569</v>
      </c>
      <c r="H11" s="16" t="s">
        <v>570</v>
      </c>
      <c r="I11" s="20" t="str">
        <f t="shared" si="1"/>
        <v>PC1→CM1</v>
      </c>
      <c r="J11" s="9" t="str">
        <f>IFERROR(__xludf.DUMMYFUNCTION("TEXT(VALUE(REGEXEXTRACT(B11,""^[+-]?[0-9]*\.?[0-9]+""))*100,""0.00"")&amp;"" +/- ""&amp;TEXT(VALUE(REGEXEXTRACT(B11,""[0-9]*\.?[0-9]+$""))*100,""0.00"")"),"24.14 +/- 1.86")</f>
        <v>24.14 +/- 1.86</v>
      </c>
      <c r="K11" s="9" t="str">
        <f>IFERROR(__xludf.DUMMYFUNCTION("TEXT(VALUE(REGEXEXTRACT(C11,""^[+-]?[0-9]*\.?[0-9]+""))*100,""0.00"")&amp;"" +/- ""&amp;TEXT(VALUE(REGEXEXTRACT(C11,""[0-9]*\.?[0-9]+$""))*100,""0.00"")"),"5.05 +/- 1.40")</f>
        <v>5.05 +/- 1.40</v>
      </c>
      <c r="L11" s="9" t="str">
        <f>IFERROR(__xludf.DUMMYFUNCTION("TEXT(VALUE(REGEXEXTRACT(D11,""^[+-]?[0-9]*\.?[0-9]+""))*100,""0.00"")&amp;"" +/- ""&amp;TEXT(VALUE(REGEXEXTRACT(D11,""[0-9]*\.?[0-9]+$""))*100,""0.00"")"),"11.14 +/- 3.07")</f>
        <v>11.14 +/- 3.07</v>
      </c>
      <c r="M11" s="9" t="str">
        <f>IFERROR(__xludf.DUMMYFUNCTION("TEXT(VALUE(REGEXEXTRACT(E11,""^[+-]?[0-9]*\.?[0-9]+""))*100,""0.00"")&amp;"" +/- ""&amp;TEXT(VALUE(REGEXEXTRACT(E11,""[0-9]*\.?[0-9]+$""))*100,""0.00"")"),"15.21 +/- 1.91")</f>
        <v>15.21 +/- 1.91</v>
      </c>
      <c r="N11" s="10" t="str">
        <f>IFERROR(__xludf.DUMMYFUNCTION("TEXT(VALUE(REGEXEXTRACT(F11,""^[+-]?[0-9]*\.?[0-9]+""))*100,""0.00"")&amp;"" +/- ""&amp;TEXT(VALUE(REGEXEXTRACT(F11,""[0-9]*\.?[0-9]+$""))*100,""0.00"")"),"25.06 +/- 2.18")</f>
        <v>25.06 +/- 2.18</v>
      </c>
      <c r="O11" s="9" t="str">
        <f>IFERROR(__xludf.DUMMYFUNCTION("TEXT(VALUE(REGEXEXTRACT(G11,""^[+-]?[0-9]*\.?[0-9]+""))*100,""0.00"")&amp;"" +/- ""&amp;TEXT(VALUE(REGEXEXTRACT(G11,""[0-9]*\.?[0-9]+$""))*100,""0.00"")"),"23.17 +/- 2.44")</f>
        <v>23.17 +/- 2.44</v>
      </c>
      <c r="P11" s="9" t="str">
        <f>IFERROR(__xludf.DUMMYFUNCTION("TEXT(VALUE(REGEXEXTRACT(H11,""^[+-]?[0-9]*\.?[0-9]+""))*100,""0.00"")&amp;"" +/- ""&amp;TEXT(VALUE(REGEXEXTRACT(H11,""[0-9]*\.?[0-9]+$""))*100,""0.00"")"),"20.26 +/- 0.98")</f>
        <v>20.26 +/- 0.98</v>
      </c>
    </row>
    <row r="12">
      <c r="A12" s="6" t="s">
        <v>94</v>
      </c>
      <c r="B12" s="16" t="s">
        <v>582</v>
      </c>
      <c r="C12" s="16" t="s">
        <v>585</v>
      </c>
      <c r="D12" s="16" t="s">
        <v>587</v>
      </c>
      <c r="E12" s="16" t="s">
        <v>589</v>
      </c>
      <c r="F12" s="16" t="s">
        <v>590</v>
      </c>
      <c r="G12" s="16" t="s">
        <v>591</v>
      </c>
      <c r="H12" s="16" t="s">
        <v>592</v>
      </c>
      <c r="I12" s="20" t="str">
        <f t="shared" si="1"/>
        <v>PC1→MW1</v>
      </c>
      <c r="J12" s="9" t="str">
        <f>IFERROR(__xludf.DUMMYFUNCTION("TEXT(VALUE(REGEXEXTRACT(B12,""^[+-]?[0-9]*\.?[0-9]+""))*100,""0.00"")&amp;"" +/- ""&amp;TEXT(VALUE(REGEXEXTRACT(B12,""[0-9]*\.?[0-9]+$""))*100,""0.00"")"),"37.21 +/- 2.62")</f>
        <v>37.21 +/- 2.62</v>
      </c>
      <c r="K12" s="9" t="str">
        <f>IFERROR(__xludf.DUMMYFUNCTION("TEXT(VALUE(REGEXEXTRACT(C12,""^[+-]?[0-9]*\.?[0-9]+""))*100,""0.00"")&amp;"" +/- ""&amp;TEXT(VALUE(REGEXEXTRACT(C12,""[0-9]*\.?[0-9]+$""))*100,""0.00"")"),"6.36 +/- 2.16")</f>
        <v>6.36 +/- 2.16</v>
      </c>
      <c r="L12" s="9" t="str">
        <f>IFERROR(__xludf.DUMMYFUNCTION("TEXT(VALUE(REGEXEXTRACT(D12,""^[+-]?[0-9]*\.?[0-9]+""))*100,""0.00"")&amp;"" +/- ""&amp;TEXT(VALUE(REGEXEXTRACT(D12,""[0-9]*\.?[0-9]+$""))*100,""0.00"")"),"4.82 +/- 3.45")</f>
        <v>4.82 +/- 3.45</v>
      </c>
      <c r="M12" s="9" t="str">
        <f>IFERROR(__xludf.DUMMYFUNCTION("TEXT(VALUE(REGEXEXTRACT(E12,""^[+-]?[0-9]*\.?[0-9]+""))*100,""0.00"")&amp;"" +/- ""&amp;TEXT(VALUE(REGEXEXTRACT(E12,""[0-9]*\.?[0-9]+$""))*100,""0.00"")"),"40.43 +/- 6.07")</f>
        <v>40.43 +/- 6.07</v>
      </c>
      <c r="N12" s="9" t="str">
        <f>IFERROR(__xludf.DUMMYFUNCTION("TEXT(VALUE(REGEXEXTRACT(F12,""^[+-]?[0-9]*\.?[0-9]+""))*100,""0.00"")&amp;"" +/- ""&amp;TEXT(VALUE(REGEXEXTRACT(F12,""[0-9]*\.?[0-9]+$""))*100,""0.00"")"),"39.12 +/- 3.50")</f>
        <v>39.12 +/- 3.50</v>
      </c>
      <c r="O12" s="10" t="str">
        <f>IFERROR(__xludf.DUMMYFUNCTION("TEXT(VALUE(REGEXEXTRACT(G12,""^[+-]?[0-9]*\.?[0-9]+""))*100,""0.00"")&amp;"" +/- ""&amp;TEXT(VALUE(REGEXEXTRACT(G12,""[0-9]*\.?[0-9]+$""))*100,""0.00"")"),"41.84 +/- 2.80")</f>
        <v>41.84 +/- 2.80</v>
      </c>
      <c r="P12" s="9" t="str">
        <f>IFERROR(__xludf.DUMMYFUNCTION("TEXT(VALUE(REGEXEXTRACT(H12,""^[+-]?[0-9]*\.?[0-9]+""))*100,""0.00"")&amp;"" +/- ""&amp;TEXT(VALUE(REGEXEXTRACT(H12,""[0-9]*\.?[0-9]+$""))*100,""0.00"")"),"20.30 +/- 0.84")</f>
        <v>20.30 +/- 0.84</v>
      </c>
    </row>
    <row r="13">
      <c r="A13" s="6" t="s">
        <v>109</v>
      </c>
      <c r="B13" s="16" t="s">
        <v>617</v>
      </c>
      <c r="C13" s="16" t="s">
        <v>618</v>
      </c>
      <c r="D13" s="16" t="s">
        <v>619</v>
      </c>
      <c r="E13" s="16" t="s">
        <v>620</v>
      </c>
      <c r="F13" s="16" t="s">
        <v>621</v>
      </c>
      <c r="G13" s="16" t="s">
        <v>622</v>
      </c>
      <c r="H13" s="16" t="s">
        <v>623</v>
      </c>
      <c r="I13" s="20" t="str">
        <f t="shared" si="1"/>
        <v>PC1→PC3</v>
      </c>
      <c r="J13" s="10" t="str">
        <f>IFERROR(__xludf.DUMMYFUNCTION("TEXT(VALUE(REGEXEXTRACT(B13,""^[+-]?[0-9]*\.?[0-9]+""))*100,""0.00"")&amp;"" +/- ""&amp;TEXT(VALUE(REGEXEXTRACT(B13,""[0-9]*\.?[0-9]+$""))*100,""0.00"")"),"36.95 +/- 2.69")</f>
        <v>36.95 +/- 2.69</v>
      </c>
      <c r="K13" s="9" t="str">
        <f>IFERROR(__xludf.DUMMYFUNCTION("TEXT(VALUE(REGEXEXTRACT(C13,""^[+-]?[0-9]*\.?[0-9]+""))*100,""0.00"")&amp;"" +/- ""&amp;TEXT(VALUE(REGEXEXTRACT(C13,""[0-9]*\.?[0-9]+$""))*100,""0.00"")"),"2.02 +/- 1.47")</f>
        <v>2.02 +/- 1.47</v>
      </c>
      <c r="L13" s="9" t="str">
        <f>IFERROR(__xludf.DUMMYFUNCTION("TEXT(VALUE(REGEXEXTRACT(D13,""^[+-]?[0-9]*\.?[0-9]+""))*100,""0.00"")&amp;"" +/- ""&amp;TEXT(VALUE(REGEXEXTRACT(D13,""[0-9]*\.?[0-9]+$""))*100,""0.00"")"),"6.77 +/- 2.11")</f>
        <v>6.77 +/- 2.11</v>
      </c>
      <c r="M13" s="9" t="str">
        <f>IFERROR(__xludf.DUMMYFUNCTION("TEXT(VALUE(REGEXEXTRACT(E13,""^[+-]?[0-9]*\.?[0-9]+""))*100,""0.00"")&amp;"" +/- ""&amp;TEXT(VALUE(REGEXEXTRACT(E13,""[0-9]*\.?[0-9]+$""))*100,""0.00"")"),"11.26 +/- 2.18")</f>
        <v>11.26 +/- 2.18</v>
      </c>
      <c r="N13" s="9" t="str">
        <f>IFERROR(__xludf.DUMMYFUNCTION("TEXT(VALUE(REGEXEXTRACT(F13,""^[+-]?[0-9]*\.?[0-9]+""))*100,""0.00"")&amp;"" +/- ""&amp;TEXT(VALUE(REGEXEXTRACT(F13,""[0-9]*\.?[0-9]+$""))*100,""0.00"")"),"34.15 +/- 1.62")</f>
        <v>34.15 +/- 1.62</v>
      </c>
      <c r="O13" s="9" t="str">
        <f>IFERROR(__xludf.DUMMYFUNCTION("TEXT(VALUE(REGEXEXTRACT(G13,""^[+-]?[0-9]*\.?[0-9]+""))*100,""0.00"")&amp;"" +/- ""&amp;TEXT(VALUE(REGEXEXTRACT(G13,""[0-9]*\.?[0-9]+$""))*100,""0.00"")"),"33.24 +/- 1.75")</f>
        <v>33.24 +/- 1.75</v>
      </c>
      <c r="P13" s="9" t="str">
        <f>IFERROR(__xludf.DUMMYFUNCTION("TEXT(VALUE(REGEXEXTRACT(H13,""^[+-]?[0-9]*\.?[0-9]+""))*100,""0.00"")&amp;"" +/- ""&amp;TEXT(VALUE(REGEXEXTRACT(H13,""[0-9]*\.?[0-9]+$""))*100,""0.00"")"),"29.90 +/- 2.91")</f>
        <v>29.90 +/- 2.91</v>
      </c>
    </row>
    <row r="14">
      <c r="A14" s="6" t="s">
        <v>124</v>
      </c>
      <c r="B14" s="16" t="s">
        <v>626</v>
      </c>
      <c r="C14" s="16" t="s">
        <v>628</v>
      </c>
      <c r="D14" s="16" t="s">
        <v>630</v>
      </c>
      <c r="E14" s="16" t="s">
        <v>632</v>
      </c>
      <c r="F14" s="16" t="s">
        <v>634</v>
      </c>
      <c r="G14" s="16" t="s">
        <v>636</v>
      </c>
      <c r="H14" s="16" t="s">
        <v>637</v>
      </c>
      <c r="I14" s="20" t="str">
        <f t="shared" si="1"/>
        <v>PC1→PC4</v>
      </c>
      <c r="J14" s="9" t="str">
        <f>IFERROR(__xludf.DUMMYFUNCTION("TEXT(VALUE(REGEXEXTRACT(B14,""^[+-]?[0-9]*\.?[0-9]+""))*100,""0.00"")&amp;"" +/- ""&amp;TEXT(VALUE(REGEXEXTRACT(B14,""[0-9]*\.?[0-9]+$""))*100,""0.00"")"),"34.13 +/- 1.22")</f>
        <v>34.13 +/- 1.22</v>
      </c>
      <c r="K14" s="9" t="str">
        <f>IFERROR(__xludf.DUMMYFUNCTION("TEXT(VALUE(REGEXEXTRACT(C14,""^[+-]?[0-9]*\.?[0-9]+""))*100,""0.00"")&amp;"" +/- ""&amp;TEXT(VALUE(REGEXEXTRACT(C14,""[0-9]*\.?[0-9]+$""))*100,""0.00"")"),"5.04 +/- 1.59")</f>
        <v>5.04 +/- 1.59</v>
      </c>
      <c r="L14" s="9" t="str">
        <f>IFERROR(__xludf.DUMMYFUNCTION("TEXT(VALUE(REGEXEXTRACT(D14,""^[+-]?[0-9]*\.?[0-9]+""))*100,""0.00"")&amp;"" +/- ""&amp;TEXT(VALUE(REGEXEXTRACT(D14,""[0-9]*\.?[0-9]+$""))*100,""0.00"")"),"3.29 +/- 1.67")</f>
        <v>3.29 +/- 1.67</v>
      </c>
      <c r="M14" s="9" t="str">
        <f>IFERROR(__xludf.DUMMYFUNCTION("TEXT(VALUE(REGEXEXTRACT(E14,""^[+-]?[0-9]*\.?[0-9]+""))*100,""0.00"")&amp;"" +/- ""&amp;TEXT(VALUE(REGEXEXTRACT(E14,""[0-9]*\.?[0-9]+$""))*100,""0.00"")"),"26.18 +/- 1.68")</f>
        <v>26.18 +/- 1.68</v>
      </c>
      <c r="N14" s="10" t="str">
        <f>IFERROR(__xludf.DUMMYFUNCTION("TEXT(VALUE(REGEXEXTRACT(F14,""^[+-]?[0-9]*\.?[0-9]+""))*100,""0.00"")&amp;"" +/- ""&amp;TEXT(VALUE(REGEXEXTRACT(F14,""[0-9]*\.?[0-9]+$""))*100,""0.00"")"),"39.98 +/- 0.82")</f>
        <v>39.98 +/- 0.82</v>
      </c>
      <c r="O14" s="9" t="str">
        <f>IFERROR(__xludf.DUMMYFUNCTION("TEXT(VALUE(REGEXEXTRACT(G14,""^[+-]?[0-9]*\.?[0-9]+""))*100,""0.00"")&amp;"" +/- ""&amp;TEXT(VALUE(REGEXEXTRACT(G14,""[0-9]*\.?[0-9]+$""))*100,""0.00"")"),"39.34 +/- 1.05")</f>
        <v>39.34 +/- 1.05</v>
      </c>
      <c r="P14" s="9" t="str">
        <f>IFERROR(__xludf.DUMMYFUNCTION("TEXT(VALUE(REGEXEXTRACT(H14,""^[+-]?[0-9]*\.?[0-9]+""))*100,""0.00"")&amp;"" +/- ""&amp;TEXT(VALUE(REGEXEXTRACT(H14,""[0-9]*\.?[0-9]+$""))*100,""0.00"")"),"21.52 +/- 1.34")</f>
        <v>21.52 +/- 1.34</v>
      </c>
    </row>
    <row r="15">
      <c r="A15" s="6" t="s">
        <v>139</v>
      </c>
      <c r="B15" s="16" t="s">
        <v>645</v>
      </c>
      <c r="C15" s="16" t="s">
        <v>646</v>
      </c>
      <c r="D15" s="16" t="s">
        <v>648</v>
      </c>
      <c r="E15" s="16" t="s">
        <v>651</v>
      </c>
      <c r="F15" s="16" t="s">
        <v>653</v>
      </c>
      <c r="G15" s="16" t="s">
        <v>655</v>
      </c>
      <c r="H15" s="16" t="s">
        <v>657</v>
      </c>
      <c r="I15" s="20" t="str">
        <f t="shared" si="1"/>
        <v>PC3→CM1</v>
      </c>
      <c r="J15" s="10" t="str">
        <f>IFERROR(__xludf.DUMMYFUNCTION("TEXT(VALUE(REGEXEXTRACT(B15,""^[+-]?[0-9]*\.?[0-9]+""))*100,""0.00"")&amp;"" +/- ""&amp;TEXT(VALUE(REGEXEXTRACT(B15,""[0-9]*\.?[0-9]+$""))*100,""0.00"")"),"26.55 +/- 2.43")</f>
        <v>26.55 +/- 2.43</v>
      </c>
      <c r="K15" s="9" t="str">
        <f>IFERROR(__xludf.DUMMYFUNCTION("TEXT(VALUE(REGEXEXTRACT(C15,""^[+-]?[0-9]*\.?[0-9]+""))*100,""0.00"")&amp;"" +/- ""&amp;TEXT(VALUE(REGEXEXTRACT(C15,""[0-9]*\.?[0-9]+$""))*100,""0.00"")"),"4.84 +/- 3.36")</f>
        <v>4.84 +/- 3.36</v>
      </c>
      <c r="L15" s="9" t="str">
        <f>IFERROR(__xludf.DUMMYFUNCTION("TEXT(VALUE(REGEXEXTRACT(D15,""^[+-]?[0-9]*\.?[0-9]+""))*100,""0.00"")&amp;"" +/- ""&amp;TEXT(VALUE(REGEXEXTRACT(D15,""[0-9]*\.?[0-9]+$""))*100,""0.00"")"),"9.65 +/- 5.65")</f>
        <v>9.65 +/- 5.65</v>
      </c>
      <c r="M15" s="9" t="str">
        <f>IFERROR(__xludf.DUMMYFUNCTION("TEXT(VALUE(REGEXEXTRACT(E15,""^[+-]?[0-9]*\.?[0-9]+""))*100,""0.00"")&amp;"" +/- ""&amp;TEXT(VALUE(REGEXEXTRACT(E15,""[0-9]*\.?[0-9]+$""))*100,""0.00"")"),"14.36 +/- 4.34")</f>
        <v>14.36 +/- 4.34</v>
      </c>
      <c r="N15" s="9" t="str">
        <f>IFERROR(__xludf.DUMMYFUNCTION("TEXT(VALUE(REGEXEXTRACT(F15,""^[+-]?[0-9]*\.?[0-9]+""))*100,""0.00"")&amp;"" +/- ""&amp;TEXT(VALUE(REGEXEXTRACT(F15,""[0-9]*\.?[0-9]+$""))*100,""0.00"")"),"25.97 +/- 3.46")</f>
        <v>25.97 +/- 3.46</v>
      </c>
      <c r="O15" s="9" t="str">
        <f>IFERROR(__xludf.DUMMYFUNCTION("TEXT(VALUE(REGEXEXTRACT(G15,""^[+-]?[0-9]*\.?[0-9]+""))*100,""0.00"")&amp;"" +/- ""&amp;TEXT(VALUE(REGEXEXTRACT(G15,""[0-9]*\.?[0-9]+$""))*100,""0.00"")"),"24.96 +/- 4.33")</f>
        <v>24.96 +/- 4.33</v>
      </c>
      <c r="P15" s="9" t="str">
        <f>IFERROR(__xludf.DUMMYFUNCTION("TEXT(VALUE(REGEXEXTRACT(H15,""^[+-]?[0-9]*\.?[0-9]+""))*100,""0.00"")&amp;"" +/- ""&amp;TEXT(VALUE(REGEXEXTRACT(H15,""[0-9]*\.?[0-9]+$""))*100,""0.00"")"),"20.54 +/- 1.68")</f>
        <v>20.54 +/- 1.68</v>
      </c>
    </row>
    <row r="16">
      <c r="A16" s="6" t="s">
        <v>154</v>
      </c>
      <c r="B16" s="16" t="s">
        <v>668</v>
      </c>
      <c r="C16" s="16" t="s">
        <v>669</v>
      </c>
      <c r="D16" s="16" t="s">
        <v>670</v>
      </c>
      <c r="E16" s="16" t="s">
        <v>672</v>
      </c>
      <c r="F16" s="16" t="s">
        <v>673</v>
      </c>
      <c r="G16" s="16" t="s">
        <v>674</v>
      </c>
      <c r="H16" s="16" t="s">
        <v>675</v>
      </c>
      <c r="I16" s="20" t="str">
        <f t="shared" si="1"/>
        <v>PC3→MW1</v>
      </c>
      <c r="J16" s="10" t="str">
        <f>IFERROR(__xludf.DUMMYFUNCTION("TEXT(VALUE(REGEXEXTRACT(B16,""^[+-]?[0-9]*\.?[0-9]+""))*100,""0.00"")&amp;"" +/- ""&amp;TEXT(VALUE(REGEXEXTRACT(B16,""[0-9]*\.?[0-9]+$""))*100,""0.00"")"),"33.23 +/- 2.91")</f>
        <v>33.23 +/- 2.91</v>
      </c>
      <c r="K16" s="9" t="str">
        <f>IFERROR(__xludf.DUMMYFUNCTION("TEXT(VALUE(REGEXEXTRACT(C16,""^[+-]?[0-9]*\.?[0-9]+""))*100,""0.00"")&amp;"" +/- ""&amp;TEXT(VALUE(REGEXEXTRACT(C16,""[0-9]*\.?[0-9]+$""))*100,""0.00"")"),"6.31 +/- 0.38")</f>
        <v>6.31 +/- 0.38</v>
      </c>
      <c r="L16" s="9" t="str">
        <f>IFERROR(__xludf.DUMMYFUNCTION("TEXT(VALUE(REGEXEXTRACT(D16,""^[+-]?[0-9]*\.?[0-9]+""))*100,""0.00"")&amp;"" +/- ""&amp;TEXT(VALUE(REGEXEXTRACT(D16,""[0-9]*\.?[0-9]+$""))*100,""0.00"")"),"6.95 +/- 6.33")</f>
        <v>6.95 +/- 6.33</v>
      </c>
      <c r="M16" s="9" t="str">
        <f>IFERROR(__xludf.DUMMYFUNCTION("TEXT(VALUE(REGEXEXTRACT(E16,""^[+-]?[0-9]*\.?[0-9]+""))*100,""0.00"")&amp;"" +/- ""&amp;TEXT(VALUE(REGEXEXTRACT(E16,""[0-9]*\.?[0-9]+$""))*100,""0.00"")"),"31.47 +/- 5.45")</f>
        <v>31.47 +/- 5.45</v>
      </c>
      <c r="N16" s="9" t="str">
        <f>IFERROR(__xludf.DUMMYFUNCTION("TEXT(VALUE(REGEXEXTRACT(F16,""^[+-]?[0-9]*\.?[0-9]+""))*100,""0.00"")&amp;"" +/- ""&amp;TEXT(VALUE(REGEXEXTRACT(F16,""[0-9]*\.?[0-9]+$""))*100,""0.00"")"),"33.01 +/- 2.98")</f>
        <v>33.01 +/- 2.98</v>
      </c>
      <c r="O16" s="9" t="str">
        <f>IFERROR(__xludf.DUMMYFUNCTION("TEXT(VALUE(REGEXEXTRACT(G16,""^[+-]?[0-9]*\.?[0-9]+""))*100,""0.00"")&amp;"" +/- ""&amp;TEXT(VALUE(REGEXEXTRACT(G16,""[0-9]*\.?[0-9]+$""))*100,""0.00"")"),"32.48 +/- 2.53")</f>
        <v>32.48 +/- 2.53</v>
      </c>
      <c r="P16" s="9" t="str">
        <f>IFERROR(__xludf.DUMMYFUNCTION("TEXT(VALUE(REGEXEXTRACT(H16,""^[+-]?[0-9]*\.?[0-9]+""))*100,""0.00"")&amp;"" +/- ""&amp;TEXT(VALUE(REGEXEXTRACT(H16,""[0-9]*\.?[0-9]+$""))*100,""0.00"")"),"16.17 +/- 1.19")</f>
        <v>16.17 +/- 1.19</v>
      </c>
    </row>
    <row r="17">
      <c r="A17" s="6" t="s">
        <v>169</v>
      </c>
      <c r="B17" s="16" t="s">
        <v>691</v>
      </c>
      <c r="C17" s="16" t="s">
        <v>693</v>
      </c>
      <c r="D17" s="16" t="s">
        <v>696</v>
      </c>
      <c r="E17" s="16" t="s">
        <v>698</v>
      </c>
      <c r="F17" s="16" t="s">
        <v>708</v>
      </c>
      <c r="G17" s="16" t="s">
        <v>716</v>
      </c>
      <c r="H17" s="16" t="s">
        <v>717</v>
      </c>
      <c r="I17" s="20" t="str">
        <f t="shared" si="1"/>
        <v>PC3→PC1</v>
      </c>
      <c r="J17" s="9" t="str">
        <f>IFERROR(__xludf.DUMMYFUNCTION("TEXT(VALUE(REGEXEXTRACT(B17,""^[+-]?[0-9]*\.?[0-9]+""))*100,""0.00"")&amp;"" +/- ""&amp;TEXT(VALUE(REGEXEXTRACT(B17,""[0-9]*\.?[0-9]+$""))*100,""0.00"")"),"27.66 +/- 1.68")</f>
        <v>27.66 +/- 1.68</v>
      </c>
      <c r="K17" s="9" t="str">
        <f>IFERROR(__xludf.DUMMYFUNCTION("TEXT(VALUE(REGEXEXTRACT(C17,""^[+-]?[0-9]*\.?[0-9]+""))*100,""0.00"")&amp;"" +/- ""&amp;TEXT(VALUE(REGEXEXTRACT(C17,""[0-9]*\.?[0-9]+$""))*100,""0.00"")"),"7.50 +/- 3.80")</f>
        <v>7.50 +/- 3.80</v>
      </c>
      <c r="L17" s="9" t="str">
        <f>IFERROR(__xludf.DUMMYFUNCTION("TEXT(VALUE(REGEXEXTRACT(D17,""^[+-]?[0-9]*\.?[0-9]+""))*100,""0.00"")&amp;"" +/- ""&amp;TEXT(VALUE(REGEXEXTRACT(D17,""[0-9]*\.?[0-9]+$""))*100,""0.00"")"),"8.13 +/- 3.82")</f>
        <v>8.13 +/- 3.82</v>
      </c>
      <c r="M17" s="9" t="str">
        <f>IFERROR(__xludf.DUMMYFUNCTION("TEXT(VALUE(REGEXEXTRACT(E17,""^[+-]?[0-9]*\.?[0-9]+""))*100,""0.00"")&amp;"" +/- ""&amp;TEXT(VALUE(REGEXEXTRACT(E17,""[0-9]*\.?[0-9]+$""))*100,""0.00"")"),"24.78 +/- 2.47")</f>
        <v>24.78 +/- 2.47</v>
      </c>
      <c r="N17" s="10" t="str">
        <f>IFERROR(__xludf.DUMMYFUNCTION("TEXT(VALUE(REGEXEXTRACT(F17,""^[+-]?[0-9]*\.?[0-9]+""))*100,""0.00"")&amp;"" +/- ""&amp;TEXT(VALUE(REGEXEXTRACT(F17,""[0-9]*\.?[0-9]+$""))*100,""0.00"")"),"29.06 +/- 1.68")</f>
        <v>29.06 +/- 1.68</v>
      </c>
      <c r="O17" s="9" t="str">
        <f>IFERROR(__xludf.DUMMYFUNCTION("TEXT(VALUE(REGEXEXTRACT(G17,""^[+-]?[0-9]*\.?[0-9]+""))*100,""0.00"")&amp;"" +/- ""&amp;TEXT(VALUE(REGEXEXTRACT(G17,""[0-9]*\.?[0-9]+$""))*100,""0.00"")"),"28.32 +/- 1.96")</f>
        <v>28.32 +/- 1.96</v>
      </c>
      <c r="P17" s="9" t="str">
        <f>IFERROR(__xludf.DUMMYFUNCTION("TEXT(VALUE(REGEXEXTRACT(H17,""^[+-]?[0-9]*\.?[0-9]+""))*100,""0.00"")&amp;"" +/- ""&amp;TEXT(VALUE(REGEXEXTRACT(H17,""[0-9]*\.?[0-9]+$""))*100,""0.00"")"),"26.54 +/- 1.53")</f>
        <v>26.54 +/- 1.53</v>
      </c>
    </row>
    <row r="18">
      <c r="A18" s="6" t="s">
        <v>184</v>
      </c>
      <c r="B18" s="16" t="s">
        <v>718</v>
      </c>
      <c r="C18" s="16" t="s">
        <v>719</v>
      </c>
      <c r="D18" s="16" t="s">
        <v>720</v>
      </c>
      <c r="E18" s="16" t="s">
        <v>721</v>
      </c>
      <c r="F18" s="16" t="s">
        <v>722</v>
      </c>
      <c r="G18" s="16" t="s">
        <v>723</v>
      </c>
      <c r="H18" s="16" t="s">
        <v>724</v>
      </c>
      <c r="I18" s="20" t="str">
        <f t="shared" si="1"/>
        <v>PC3→PC4</v>
      </c>
      <c r="J18" s="9" t="str">
        <f>IFERROR(__xludf.DUMMYFUNCTION("TEXT(VALUE(REGEXEXTRACT(B18,""^[+-]?[0-9]*\.?[0-9]+""))*100,""0.00"")&amp;"" +/- ""&amp;TEXT(VALUE(REGEXEXTRACT(B18,""[0-9]*\.?[0-9]+$""))*100,""0.00"")"),"36.04 +/- 0.96")</f>
        <v>36.04 +/- 0.96</v>
      </c>
      <c r="K18" s="9" t="str">
        <f>IFERROR(__xludf.DUMMYFUNCTION("TEXT(VALUE(REGEXEXTRACT(C18,""^[+-]?[0-9]*\.?[0-9]+""))*100,""0.00"")&amp;"" +/- ""&amp;TEXT(VALUE(REGEXEXTRACT(C18,""[0-9]*\.?[0-9]+$""))*100,""0.00"")"),"4.51 +/- 1.79")</f>
        <v>4.51 +/- 1.79</v>
      </c>
      <c r="L18" s="9" t="str">
        <f>IFERROR(__xludf.DUMMYFUNCTION("TEXT(VALUE(REGEXEXTRACT(D18,""^[+-]?[0-9]*\.?[0-9]+""))*100,""0.00"")&amp;"" +/- ""&amp;TEXT(VALUE(REGEXEXTRACT(D18,""[0-9]*\.?[0-9]+$""))*100,""0.00"")"),"6.66 +/- 1.94")</f>
        <v>6.66 +/- 1.94</v>
      </c>
      <c r="M18" s="9" t="str">
        <f>IFERROR(__xludf.DUMMYFUNCTION("TEXT(VALUE(REGEXEXTRACT(E18,""^[+-]?[0-9]*\.?[0-9]+""))*100,""0.00"")&amp;"" +/- ""&amp;TEXT(VALUE(REGEXEXTRACT(E18,""[0-9]*\.?[0-9]+$""))*100,""0.00"")"),"24.88 +/- 2.69")</f>
        <v>24.88 +/- 2.69</v>
      </c>
      <c r="N18" s="10" t="str">
        <f>IFERROR(__xludf.DUMMYFUNCTION("TEXT(VALUE(REGEXEXTRACT(F18,""^[+-]?[0-9]*\.?[0-9]+""))*100,""0.00"")&amp;"" +/- ""&amp;TEXT(VALUE(REGEXEXTRACT(F18,""[0-9]*\.?[0-9]+$""))*100,""0.00"")"),"38.09 +/- 0.88")</f>
        <v>38.09 +/- 0.88</v>
      </c>
      <c r="O18" s="9" t="str">
        <f>IFERROR(__xludf.DUMMYFUNCTION("TEXT(VALUE(REGEXEXTRACT(G18,""^[+-]?[0-9]*\.?[0-9]+""))*100,""0.00"")&amp;"" +/- ""&amp;TEXT(VALUE(REGEXEXTRACT(G18,""[0-9]*\.?[0-9]+$""))*100,""0.00"")"),"37.56 +/- 1.05")</f>
        <v>37.56 +/- 1.05</v>
      </c>
      <c r="P18" s="9" t="str">
        <f>IFERROR(__xludf.DUMMYFUNCTION("TEXT(VALUE(REGEXEXTRACT(H18,""^[+-]?[0-9]*\.?[0-9]+""))*100,""0.00"")&amp;"" +/- ""&amp;TEXT(VALUE(REGEXEXTRACT(H18,""[0-9]*\.?[0-9]+$""))*100,""0.00"")"),"23.83 +/- 1.90")</f>
        <v>23.83 +/- 1.90</v>
      </c>
    </row>
    <row r="19">
      <c r="A19" s="6" t="s">
        <v>194</v>
      </c>
      <c r="B19" s="16" t="s">
        <v>727</v>
      </c>
      <c r="C19" s="16" t="s">
        <v>728</v>
      </c>
      <c r="D19" s="16" t="s">
        <v>729</v>
      </c>
      <c r="E19" s="16" t="s">
        <v>730</v>
      </c>
      <c r="F19" s="16" t="s">
        <v>731</v>
      </c>
      <c r="G19" s="16" t="s">
        <v>732</v>
      </c>
      <c r="H19" s="16" t="s">
        <v>733</v>
      </c>
      <c r="I19" s="20" t="str">
        <f t="shared" si="1"/>
        <v>PC4→CM1</v>
      </c>
      <c r="J19" s="9" t="str">
        <f>IFERROR(__xludf.DUMMYFUNCTION("TEXT(VALUE(REGEXEXTRACT(B19,""^[+-]?[0-9]*\.?[0-9]+""))*100,""0.00"")&amp;"" +/- ""&amp;TEXT(VALUE(REGEXEXTRACT(B19,""[0-9]*\.?[0-9]+$""))*100,""0.00"")"),"19.99 +/- 2.69")</f>
        <v>19.99 +/- 2.69</v>
      </c>
      <c r="K19" s="9" t="str">
        <f>IFERROR(__xludf.DUMMYFUNCTION("TEXT(VALUE(REGEXEXTRACT(C19,""^[+-]?[0-9]*\.?[0-9]+""))*100,""0.00"")&amp;"" +/- ""&amp;TEXT(VALUE(REGEXEXTRACT(C19,""[0-9]*\.?[0-9]+$""))*100,""0.00"")"),"2.51 +/- 1.95")</f>
        <v>2.51 +/- 1.95</v>
      </c>
      <c r="L19" s="9" t="str">
        <f>IFERROR(__xludf.DUMMYFUNCTION("TEXT(VALUE(REGEXEXTRACT(D19,""^[+-]?[0-9]*\.?[0-9]+""))*100,""0.00"")&amp;"" +/- ""&amp;TEXT(VALUE(REGEXEXTRACT(D19,""[0-9]*\.?[0-9]+$""))*100,""0.00"")"),"0.60 +/- 1.56")</f>
        <v>0.60 +/- 1.56</v>
      </c>
      <c r="M19" s="9" t="str">
        <f>IFERROR(__xludf.DUMMYFUNCTION("TEXT(VALUE(REGEXEXTRACT(E19,""^[+-]?[0-9]*\.?[0-9]+""))*100,""0.00"")&amp;"" +/- ""&amp;TEXT(VALUE(REGEXEXTRACT(E19,""[0-9]*\.?[0-9]+$""))*100,""0.00"")"),"10.00 +/- 2.79")</f>
        <v>10.00 +/- 2.79</v>
      </c>
      <c r="N19" s="9" t="str">
        <f>IFERROR(__xludf.DUMMYFUNCTION("TEXT(VALUE(REGEXEXTRACT(F19,""^[+-]?[0-9]*\.?[0-9]+""))*100,""0.00"")&amp;"" +/- ""&amp;TEXT(VALUE(REGEXEXTRACT(F19,""[0-9]*\.?[0-9]+$""))*100,""0.00"")"),"18.33 +/- 2.25")</f>
        <v>18.33 +/- 2.25</v>
      </c>
      <c r="O19" s="9" t="str">
        <f>IFERROR(__xludf.DUMMYFUNCTION("TEXT(VALUE(REGEXEXTRACT(G19,""^[+-]?[0-9]*\.?[0-9]+""))*100,""0.00"")&amp;"" +/- ""&amp;TEXT(VALUE(REGEXEXTRACT(G19,""[0-9]*\.?[0-9]+$""))*100,""0.00"")"),"17.48 +/- 2.61")</f>
        <v>17.48 +/- 2.61</v>
      </c>
      <c r="P19" s="10" t="str">
        <f>IFERROR(__xludf.DUMMYFUNCTION("TEXT(VALUE(REGEXEXTRACT(H19,""^[+-]?[0-9]*\.?[0-9]+""))*100,""0.00"")&amp;"" +/- ""&amp;TEXT(VALUE(REGEXEXTRACT(H19,""[0-9]*\.?[0-9]+$""))*100,""0.00"")"),"23.81 +/- 1.42")</f>
        <v>23.81 +/- 1.42</v>
      </c>
    </row>
    <row r="20">
      <c r="A20" s="6" t="s">
        <v>216</v>
      </c>
      <c r="B20" s="16" t="s">
        <v>734</v>
      </c>
      <c r="C20" s="16" t="s">
        <v>735</v>
      </c>
      <c r="D20" s="16" t="s">
        <v>736</v>
      </c>
      <c r="E20" s="16" t="s">
        <v>737</v>
      </c>
      <c r="F20" s="16" t="s">
        <v>739</v>
      </c>
      <c r="G20" s="16" t="s">
        <v>740</v>
      </c>
      <c r="H20" s="16" t="s">
        <v>742</v>
      </c>
      <c r="I20" s="20" t="str">
        <f t="shared" si="1"/>
        <v>PC4→MW1</v>
      </c>
      <c r="J20" s="10" t="str">
        <f>IFERROR(__xludf.DUMMYFUNCTION("TEXT(VALUE(REGEXEXTRACT(B20,""^[+-]?[0-9]*\.?[0-9]+""))*100,""0.00"")&amp;"" +/- ""&amp;TEXT(VALUE(REGEXEXTRACT(B20,""[0-9]*\.?[0-9]+$""))*100,""0.00"")"),"28.86 +/- 2.52")</f>
        <v>28.86 +/- 2.52</v>
      </c>
      <c r="K20" s="9" t="str">
        <f>IFERROR(__xludf.DUMMYFUNCTION("TEXT(VALUE(REGEXEXTRACT(C20,""^[+-]?[0-9]*\.?[0-9]+""))*100,""0.00"")&amp;"" +/- ""&amp;TEXT(VALUE(REGEXEXTRACT(C20,""[0-9]*\.?[0-9]+$""))*100,""0.00"")"),"1.61 +/- 2.98")</f>
        <v>1.61 +/- 2.98</v>
      </c>
      <c r="L20" s="9" t="str">
        <f>IFERROR(__xludf.DUMMYFUNCTION("TEXT(VALUE(REGEXEXTRACT(D20,""^[+-]?[0-9]*\.?[0-9]+""))*100,""0.00"")&amp;"" +/- ""&amp;TEXT(VALUE(REGEXEXTRACT(D20,""[0-9]*\.?[0-9]+$""))*100,""0.00"")"),"4.17 +/- 4.50")</f>
        <v>4.17 +/- 4.50</v>
      </c>
      <c r="M20" s="9" t="str">
        <f>IFERROR(__xludf.DUMMYFUNCTION("TEXT(VALUE(REGEXEXTRACT(E20,""^[+-]?[0-9]*\.?[0-9]+""))*100,""0.00"")&amp;"" +/- ""&amp;TEXT(VALUE(REGEXEXTRACT(E20,""[0-9]*\.?[0-9]+$""))*100,""0.00"")"),"13.53 +/- 7.38")</f>
        <v>13.53 +/- 7.38</v>
      </c>
      <c r="N20" s="9" t="str">
        <f>IFERROR(__xludf.DUMMYFUNCTION("TEXT(VALUE(REGEXEXTRACT(F20,""^[+-]?[0-9]*\.?[0-9]+""))*100,""0.00"")&amp;"" +/- ""&amp;TEXT(VALUE(REGEXEXTRACT(F20,""[0-9]*\.?[0-9]+$""))*100,""0.00"")"),"21.65 +/- 5.10")</f>
        <v>21.65 +/- 5.10</v>
      </c>
      <c r="O20" s="9" t="str">
        <f>IFERROR(__xludf.DUMMYFUNCTION("TEXT(VALUE(REGEXEXTRACT(G20,""^[+-]?[0-9]*\.?[0-9]+""))*100,""0.00"")&amp;"" +/- ""&amp;TEXT(VALUE(REGEXEXTRACT(G20,""[0-9]*\.?[0-9]+$""))*100,""0.00"")"),"26.23 +/- 2.62")</f>
        <v>26.23 +/- 2.62</v>
      </c>
      <c r="P20" s="9" t="str">
        <f>IFERROR(__xludf.DUMMYFUNCTION("TEXT(VALUE(REGEXEXTRACT(H20,""^[+-]?[0-9]*\.?[0-9]+""))*100,""0.00"")&amp;"" +/- ""&amp;TEXT(VALUE(REGEXEXTRACT(H20,""[0-9]*\.?[0-9]+$""))*100,""0.00"")"),"12.23 +/- 1.59")</f>
        <v>12.23 +/- 1.59</v>
      </c>
    </row>
    <row r="21">
      <c r="A21" s="6" t="s">
        <v>245</v>
      </c>
      <c r="B21" s="16" t="s">
        <v>749</v>
      </c>
      <c r="C21" s="16" t="s">
        <v>750</v>
      </c>
      <c r="D21" s="16" t="s">
        <v>751</v>
      </c>
      <c r="E21" s="16" t="s">
        <v>753</v>
      </c>
      <c r="F21" s="16" t="s">
        <v>755</v>
      </c>
      <c r="G21" s="16" t="s">
        <v>757</v>
      </c>
      <c r="H21" s="16" t="s">
        <v>759</v>
      </c>
      <c r="I21" s="20" t="str">
        <f t="shared" si="1"/>
        <v>PC4→PC1</v>
      </c>
      <c r="J21" s="9" t="str">
        <f>IFERROR(__xludf.DUMMYFUNCTION("TEXT(VALUE(REGEXEXTRACT(B21,""^[+-]?[0-9]*\.?[0-9]+""))*100,""0.00"")&amp;"" +/- ""&amp;TEXT(VALUE(REGEXEXTRACT(B21,""[0-9]*\.?[0-9]+$""))*100,""0.00"")"),"22.26 +/- 1.74")</f>
        <v>22.26 +/- 1.74</v>
      </c>
      <c r="K21" s="9" t="str">
        <f>IFERROR(__xludf.DUMMYFUNCTION("TEXT(VALUE(REGEXEXTRACT(C21,""^[+-]?[0-9]*\.?[0-9]+""))*100,""0.00"")&amp;"" +/- ""&amp;TEXT(VALUE(REGEXEXTRACT(C21,""[0-9]*\.?[0-9]+$""))*100,""0.00"")"),"18.19 +/- 3.68")</f>
        <v>18.19 +/- 3.68</v>
      </c>
      <c r="L21" s="9" t="str">
        <f>IFERROR(__xludf.DUMMYFUNCTION("TEXT(VALUE(REGEXEXTRACT(D21,""^[+-]?[0-9]*\.?[0-9]+""))*100,""0.00"")&amp;"" +/- ""&amp;TEXT(VALUE(REGEXEXTRACT(D21,""[0-9]*\.?[0-9]+$""))*100,""0.00"")"),"5.37 +/- 3.88")</f>
        <v>5.37 +/- 3.88</v>
      </c>
      <c r="M21" s="9" t="str">
        <f>IFERROR(__xludf.DUMMYFUNCTION("TEXT(VALUE(REGEXEXTRACT(E21,""^[+-]?[0-9]*\.?[0-9]+""))*100,""0.00"")&amp;"" +/- ""&amp;TEXT(VALUE(REGEXEXTRACT(E21,""[0-9]*\.?[0-9]+$""))*100,""0.00"")"),"22.99 +/- 4.42")</f>
        <v>22.99 +/- 4.42</v>
      </c>
      <c r="N21" s="9" t="str">
        <f>IFERROR(__xludf.DUMMYFUNCTION("TEXT(VALUE(REGEXEXTRACT(F21,""^[+-]?[0-9]*\.?[0-9]+""))*100,""0.00"")&amp;"" +/- ""&amp;TEXT(VALUE(REGEXEXTRACT(F21,""[0-9]*\.?[0-9]+$""))*100,""0.00"")"),"25.75 +/- 2.44")</f>
        <v>25.75 +/- 2.44</v>
      </c>
      <c r="O21" s="10" t="str">
        <f>IFERROR(__xludf.DUMMYFUNCTION("TEXT(VALUE(REGEXEXTRACT(G21,""^[+-]?[0-9]*\.?[0-9]+""))*100,""0.00"")&amp;"" +/- ""&amp;TEXT(VALUE(REGEXEXTRACT(G21,""[0-9]*\.?[0-9]+$""))*100,""0.00"")"),"26.95 +/- 2.40")</f>
        <v>26.95 +/- 2.40</v>
      </c>
      <c r="P21" s="9" t="str">
        <f>IFERROR(__xludf.DUMMYFUNCTION("TEXT(VALUE(REGEXEXTRACT(H21,""^[+-]?[0-9]*\.?[0-9]+""))*100,""0.00"")&amp;"" +/- ""&amp;TEXT(VALUE(REGEXEXTRACT(H21,""[0-9]*\.?[0-9]+$""))*100,""0.00"")"),"26.61 +/- 1.24")</f>
        <v>26.61 +/- 1.24</v>
      </c>
    </row>
    <row r="22">
      <c r="A22" s="6" t="s">
        <v>267</v>
      </c>
      <c r="B22" s="16" t="s">
        <v>774</v>
      </c>
      <c r="C22" s="16" t="s">
        <v>775</v>
      </c>
      <c r="D22" s="16" t="s">
        <v>777</v>
      </c>
      <c r="E22" s="16" t="s">
        <v>779</v>
      </c>
      <c r="F22" s="16" t="s">
        <v>781</v>
      </c>
      <c r="G22" s="16" t="s">
        <v>783</v>
      </c>
      <c r="H22" s="16" t="s">
        <v>784</v>
      </c>
      <c r="I22" s="20" t="str">
        <f t="shared" si="1"/>
        <v>PC4→PC3</v>
      </c>
      <c r="J22" s="9" t="str">
        <f>IFERROR(__xludf.DUMMYFUNCTION("TEXT(VALUE(REGEXEXTRACT(B22,""^[+-]?[0-9]*\.?[0-9]+""))*100,""0.00"")&amp;"" +/- ""&amp;TEXT(VALUE(REGEXEXTRACT(B22,""[0-9]*\.?[0-9]+$""))*100,""0.00"")"),"26.55 +/- 3.07")</f>
        <v>26.55 +/- 3.07</v>
      </c>
      <c r="K22" s="9" t="str">
        <f>IFERROR(__xludf.DUMMYFUNCTION("TEXT(VALUE(REGEXEXTRACT(C22,""^[+-]?[0-9]*\.?[0-9]+""))*100,""0.00"")&amp;"" +/- ""&amp;TEXT(VALUE(REGEXEXTRACT(C22,""[0-9]*\.?[0-9]+$""))*100,""0.00"")"),"5.37 +/- 2.35")</f>
        <v>5.37 +/- 2.35</v>
      </c>
      <c r="L22" s="9" t="str">
        <f>IFERROR(__xludf.DUMMYFUNCTION("TEXT(VALUE(REGEXEXTRACT(D22,""^[+-]?[0-9]*\.?[0-9]+""))*100,""0.00"")&amp;"" +/- ""&amp;TEXT(VALUE(REGEXEXTRACT(D22,""[0-9]*\.?[0-9]+$""))*100,""0.00"")"),"4.65 +/- 1.14")</f>
        <v>4.65 +/- 1.14</v>
      </c>
      <c r="M22" s="9" t="str">
        <f>IFERROR(__xludf.DUMMYFUNCTION("TEXT(VALUE(REGEXEXTRACT(E22,""^[+-]?[0-9]*\.?[0-9]+""))*100,""0.00"")&amp;"" +/- ""&amp;TEXT(VALUE(REGEXEXTRACT(E22,""[0-9]*\.?[0-9]+$""))*100,""0.00"")"),"18.13 +/- 1.76")</f>
        <v>18.13 +/- 1.76</v>
      </c>
      <c r="N22" s="9" t="str">
        <f>IFERROR(__xludf.DUMMYFUNCTION("TEXT(VALUE(REGEXEXTRACT(F22,""^[+-]?[0-9]*\.?[0-9]+""))*100,""0.00"")&amp;"" +/- ""&amp;TEXT(VALUE(REGEXEXTRACT(F22,""[0-9]*\.?[0-9]+$""))*100,""0.00"")"),"22.93 +/- 1.52")</f>
        <v>22.93 +/- 1.52</v>
      </c>
      <c r="O22" s="9" t="str">
        <f>IFERROR(__xludf.DUMMYFUNCTION("TEXT(VALUE(REGEXEXTRACT(G22,""^[+-]?[0-9]*\.?[0-9]+""))*100,""0.00"")&amp;"" +/- ""&amp;TEXT(VALUE(REGEXEXTRACT(G22,""[0-9]*\.?[0-9]+$""))*100,""0.00"")"),"22.51 +/- 1.72")</f>
        <v>22.51 +/- 1.72</v>
      </c>
      <c r="P22" s="10" t="str">
        <f>IFERROR(__xludf.DUMMYFUNCTION("TEXT(VALUE(REGEXEXTRACT(H22,""^[+-]?[0-9]*\.?[0-9]+""))*100,""0.00"")&amp;"" +/- ""&amp;TEXT(VALUE(REGEXEXTRACT(H22,""[0-9]*\.?[0-9]+$""))*100,""0.00"")"),"32.72 +/- 1.65")</f>
        <v>32.72 +/- 1.65</v>
      </c>
    </row>
    <row r="23">
      <c r="A23" s="6" t="s">
        <v>371</v>
      </c>
      <c r="B23" s="14"/>
      <c r="C23" s="21" t="s">
        <v>487</v>
      </c>
      <c r="D23" s="21" t="s">
        <v>487</v>
      </c>
      <c r="E23" s="21" t="s">
        <v>990</v>
      </c>
      <c r="F23" s="21" t="s">
        <v>474</v>
      </c>
      <c r="G23" s="21" t="s">
        <v>474</v>
      </c>
      <c r="H23" s="21" t="s">
        <v>488</v>
      </c>
      <c r="I23" s="20" t="str">
        <f t="shared" si="1"/>
        <v>W/T/L</v>
      </c>
      <c r="K23" s="20" t="str">
        <f>IFERROR(__xludf.DUMMYFUNCTION("SUM(ARRAYFORMULA(IFERROR(
  (VALUE(REGEXEXTRACT($J$3:$J$22,""^[+-]?[0-9]*\.?[0-9]+""))&gt;
   VALUE(REGEXEXTRACT(K$3:K$22,""^[+-]?[0-9]*\.?[0-9]+"")))*1,0)))
&amp;""/""&amp;
SUM(ARRAYFORMULA(IFERROR(
  (VALUE(REGEXEXTRACT($J$3:$J$22,""^[+-]?[0-9]*\.?[0-9]+""))=
   V"&amp;"ALUE(REGEXEXTRACT(K$3:K$22,""^[+-]?[0-9]*\.?[0-9]+"")))*1,0)))
&amp;""/""&amp;
SUM(ARRAYFORMULA(IFERROR(
  (VALUE(REGEXEXTRACT($J$3:$J$22,""^[+-]?[0-9]*\.?[0-9]+""))&lt;
   VALUE(REGEXEXTRACT(K$3:K$22,""^[+-]?[0-9]*\.?[0-9]+"")))*1,0)))"),"20/0/0")</f>
        <v>20/0/0</v>
      </c>
      <c r="L23" s="20" t="str">
        <f>IFERROR(__xludf.DUMMYFUNCTION("SUM(ARRAYFORMULA(IFERROR(
  (VALUE(REGEXEXTRACT($J$3:$J$22,""^[+-]?[0-9]*\.?[0-9]+""))&gt;
   VALUE(REGEXEXTRACT(L$3:L$22,""^[+-]?[0-9]*\.?[0-9]+"")))*1,0)))
&amp;""/""&amp;
SUM(ARRAYFORMULA(IFERROR(
  (VALUE(REGEXEXTRACT($J$3:$J$22,""^[+-]?[0-9]*\.?[0-9]+""))=
   V"&amp;"ALUE(REGEXEXTRACT(L$3:L$22,""^[+-]?[0-9]*\.?[0-9]+"")))*1,0)))
&amp;""/""&amp;
SUM(ARRAYFORMULA(IFERROR(
  (VALUE(REGEXEXTRACT($J$3:$J$22,""^[+-]?[0-9]*\.?[0-9]+""))&lt;
   VALUE(REGEXEXTRACT(L$3:L$22,""^[+-]?[0-9]*\.?[0-9]+"")))*1,0)))"),"20/0/0")</f>
        <v>20/0/0</v>
      </c>
      <c r="M23" s="20" t="str">
        <f>IFERROR(__xludf.DUMMYFUNCTION("SUM(ARRAYFORMULA(IFERROR(
  (VALUE(REGEXEXTRACT($J$3:$J$22,""^[+-]?[0-9]*\.?[0-9]+""))&gt;
   VALUE(REGEXEXTRACT(M$3:M$22,""^[+-]?[0-9]*\.?[0-9]+"")))*1,0)))
&amp;""/""&amp;
SUM(ARRAYFORMULA(IFERROR(
  (VALUE(REGEXEXTRACT($J$3:$J$22,""^[+-]?[0-9]*\.?[0-9]+""))=
   V"&amp;"ALUE(REGEXEXTRACT(M$3:M$22,""^[+-]?[0-9]*\.?[0-9]+"")))*1,0)))
&amp;""/""&amp;
SUM(ARRAYFORMULA(IFERROR(
  (VALUE(REGEXEXTRACT($J$3:$J$22,""^[+-]?[0-9]*\.?[0-9]+""))&lt;
   VALUE(REGEXEXTRACT(M$3:M$22,""^[+-]?[0-9]*\.?[0-9]+"")))*1,0)))"),"17/0/3")</f>
        <v>17/0/3</v>
      </c>
      <c r="N23" s="20" t="str">
        <f>IFERROR(__xludf.DUMMYFUNCTION("SUM(ARRAYFORMULA(IFERROR(
  (VALUE(REGEXEXTRACT($J$3:$J$22,""^[+-]?[0-9]*\.?[0-9]+""))&gt;
   VALUE(REGEXEXTRACT(N$3:N$22,""^[+-]?[0-9]*\.?[0-9]+"")))*1,0)))
&amp;""/""&amp;
SUM(ARRAYFORMULA(IFERROR(
  (VALUE(REGEXEXTRACT($J$3:$J$22,""^[+-]?[0-9]*\.?[0-9]+""))=
   V"&amp;"ALUE(REGEXEXTRACT(N$3:N$22,""^[+-]?[0-9]*\.?[0-9]+"")))*1,0)))
&amp;""/""&amp;
SUM(ARRAYFORMULA(IFERROR(
  (VALUE(REGEXEXTRACT($J$3:$J$22,""^[+-]?[0-9]*\.?[0-9]+""))&lt;
   VALUE(REGEXEXTRACT(N$3:N$22,""^[+-]?[0-9]*\.?[0-9]+"")))*1,0)))"),"11/0/9")</f>
        <v>11/0/9</v>
      </c>
      <c r="O23" s="20" t="str">
        <f>IFERROR(__xludf.DUMMYFUNCTION("SUM(ARRAYFORMULA(IFERROR(
  (VALUE(REGEXEXTRACT($J$3:$J$22,""^[+-]?[0-9]*\.?[0-9]+""))&gt;
   VALUE(REGEXEXTRACT(O$3:O$22,""^[+-]?[0-9]*\.?[0-9]+"")))*1,0)))
&amp;""/""&amp;
SUM(ARRAYFORMULA(IFERROR(
  (VALUE(REGEXEXTRACT($J$3:$J$22,""^[+-]?[0-9]*\.?[0-9]+""))=
   V"&amp;"ALUE(REGEXEXTRACT(O$3:O$22,""^[+-]?[0-9]*\.?[0-9]+"")))*1,0)))
&amp;""/""&amp;
SUM(ARRAYFORMULA(IFERROR(
  (VALUE(REGEXEXTRACT($J$3:$J$22,""^[+-]?[0-9]*\.?[0-9]+""))&lt;
   VALUE(REGEXEXTRACT(O$3:O$22,""^[+-]?[0-9]*\.?[0-9]+"")))*1,0)))"),"11/0/9")</f>
        <v>11/0/9</v>
      </c>
      <c r="P23" s="20" t="str">
        <f>IFERROR(__xludf.DUMMYFUNCTION("SUM(ARRAYFORMULA(IFERROR(
  (VALUE(REGEXEXTRACT($J$3:$J$22,""^[+-]?[0-9]*\.?[0-9]+""))&gt;
   VALUE(REGEXEXTRACT(P$3:P$22,""^[+-]?[0-9]*\.?[0-9]+"")))*1,0)))
&amp;""/""&amp;
SUM(ARRAYFORMULA(IFERROR(
  (VALUE(REGEXEXTRACT($J$3:$J$22,""^[+-]?[0-9]*\.?[0-9]+""))=
   V"&amp;"ALUE(REGEXEXTRACT(P$3:P$22,""^[+-]?[0-9]*\.?[0-9]+"")))*1,0)))
&amp;""/""&amp;
SUM(ARRAYFORMULA(IFERROR(
  (VALUE(REGEXEXTRACT($J$3:$J$22,""^[+-]?[0-9]*\.?[0-9]+""))&lt;
   VALUE(REGEXEXTRACT(P$3:P$22,""^[+-]?[0-9]*\.?[0-9]+"")))*1,0)))"),"13/0/7")</f>
        <v>13/0/7</v>
      </c>
    </row>
    <row r="24">
      <c r="A24" s="6" t="s">
        <v>489</v>
      </c>
      <c r="B24" s="14" t="s">
        <v>1370</v>
      </c>
      <c r="C24" s="14" t="s">
        <v>1371</v>
      </c>
      <c r="D24" s="14" t="s">
        <v>1372</v>
      </c>
      <c r="E24" s="14" t="s">
        <v>1373</v>
      </c>
      <c r="F24" s="14" t="s">
        <v>1374</v>
      </c>
      <c r="G24" s="14" t="s">
        <v>1375</v>
      </c>
      <c r="H24" s="14" t="s">
        <v>1376</v>
      </c>
      <c r="I24" s="20" t="str">
        <f t="shared" si="1"/>
        <v>Average (%)</v>
      </c>
      <c r="J24" s="14">
        <f>IFERROR(__xludf.DUMMYFUNCTION("ROUND(AVERAGE(ARRAYFORMULA(IFERROR(VALUE(REGEXEXTRACT(J$3:J$22,""^[+-]?[0-9]*\.?[0-9]+"")),""""))),2)"),28.97)</f>
        <v>28.97</v>
      </c>
      <c r="K24" s="14">
        <f>IFERROR(__xludf.DUMMYFUNCTION("ROUND(AVERAGE(ARRAYFORMULA(IFERROR(VALUE(REGEXEXTRACT(K$3:K$22,""^[+-]?[0-9]*\.?[0-9]+"")),""""))),2)"),6.49)</f>
        <v>6.49</v>
      </c>
      <c r="L24" s="14">
        <f>IFERROR(__xludf.DUMMYFUNCTION("ROUND(AVERAGE(ARRAYFORMULA(IFERROR(VALUE(REGEXEXTRACT(L$3:L$22,""^[+-]?[0-9]*\.?[0-9]+"")),""""))),2)"),4.95)</f>
        <v>4.95</v>
      </c>
      <c r="M24" s="14">
        <f>IFERROR(__xludf.DUMMYFUNCTION("ROUND(AVERAGE(ARRAYFORMULA(IFERROR(VALUE(REGEXEXTRACT(M$3:M$22,""^[+-]?[0-9]*\.?[0-9]+"")),""""))),2)"),20.13)</f>
        <v>20.13</v>
      </c>
      <c r="N24" s="14">
        <f>IFERROR(__xludf.DUMMYFUNCTION("ROUND(AVERAGE(ARRAYFORMULA(IFERROR(VALUE(REGEXEXTRACT(N$3:N$22,""^[+-]?[0-9]*\.?[0-9]+"")),""""))),2)"),28.12)</f>
        <v>28.12</v>
      </c>
      <c r="O24" s="14">
        <f>IFERROR(__xludf.DUMMYFUNCTION("ROUND(AVERAGE(ARRAYFORMULA(IFERROR(VALUE(REGEXEXTRACT(O$3:O$22,""^[+-]?[0-9]*\.?[0-9]+"")),""""))),2)"),28.05)</f>
        <v>28.05</v>
      </c>
      <c r="P24" s="14">
        <f>IFERROR(__xludf.DUMMYFUNCTION("ROUND(AVERAGE(ARRAYFORMULA(IFERROR(VALUE(REGEXEXTRACT(P$3:P$22,""^[+-]?[0-9]*\.?[0-9]+"")),""""))),2)"),24.62)</f>
        <v>24.62</v>
      </c>
    </row>
    <row r="25">
      <c r="A25" s="4" t="s">
        <v>504</v>
      </c>
      <c r="B25" s="2"/>
      <c r="C25" s="2"/>
      <c r="D25" s="2"/>
      <c r="E25" s="2"/>
      <c r="F25" s="2"/>
      <c r="G25" s="2"/>
      <c r="H25" s="2"/>
      <c r="I25" s="4" t="s">
        <v>504</v>
      </c>
    </row>
    <row r="26">
      <c r="A26" s="23" t="s">
        <v>505</v>
      </c>
      <c r="B26" s="16" t="s">
        <v>1377</v>
      </c>
      <c r="C26" s="16" t="s">
        <v>1377</v>
      </c>
      <c r="D26" s="16" t="s">
        <v>1378</v>
      </c>
      <c r="E26" s="16" t="s">
        <v>1377</v>
      </c>
      <c r="F26" s="16" t="s">
        <v>1377</v>
      </c>
      <c r="G26" s="16" t="s">
        <v>1377</v>
      </c>
      <c r="H26" s="16" t="s">
        <v>1377</v>
      </c>
      <c r="I26" s="20" t="str">
        <f t="shared" ref="I26:I33" si="2">A26</f>
        <v>A→S</v>
      </c>
      <c r="J26" s="10" t="str">
        <f>IFERROR(__xludf.DUMMYFUNCTION("TEXT(VALUE(REGEXEXTRACT(B26,""^[+-]?[0-9]*\.?[0-9]+""))*100,""0.00"")&amp;"" +/- ""&amp;TEXT(VALUE(REGEXEXTRACT(B26,""[0-9]*\.?[0-9]+$""))*100,""0.00"")"),"71.23 +/- 2.68")</f>
        <v>71.23 +/- 2.68</v>
      </c>
      <c r="K26" s="10" t="str">
        <f>IFERROR(__xludf.DUMMYFUNCTION("TEXT(VALUE(REGEXEXTRACT(C26,""^[+-]?[0-9]*\.?[0-9]+""))*100,""0.00"")&amp;"" +/- ""&amp;TEXT(VALUE(REGEXEXTRACT(C26,""[0-9]*\.?[0-9]+$""))*100,""0.00"")"),"71.23 +/- 2.68")</f>
        <v>71.23 +/- 2.68</v>
      </c>
      <c r="L26" s="9" t="str">
        <f>IFERROR(__xludf.DUMMYFUNCTION("TEXT(VALUE(REGEXEXTRACT(D26,""^[+-]?[0-9]*\.?[0-9]+""))*100,""0.00"")&amp;"" +/- ""&amp;TEXT(VALUE(REGEXEXTRACT(D26,""[0-9]*\.?[0-9]+$""))*100,""0.00"")"),"58.83 +/- 4.88")</f>
        <v>58.83 +/- 4.88</v>
      </c>
      <c r="M26" s="10" t="str">
        <f>IFERROR(__xludf.DUMMYFUNCTION("TEXT(VALUE(REGEXEXTRACT(E26,""^[+-]?[0-9]*\.?[0-9]+""))*100,""0.00"")&amp;"" +/- ""&amp;TEXT(VALUE(REGEXEXTRACT(E26,""[0-9]*\.?[0-9]+$""))*100,""0.00"")"),"71.23 +/- 2.68")</f>
        <v>71.23 +/- 2.68</v>
      </c>
      <c r="N26" s="10" t="str">
        <f>IFERROR(__xludf.DUMMYFUNCTION("TEXT(VALUE(REGEXEXTRACT(F26,""^[+-]?[0-9]*\.?[0-9]+""))*100,""0.00"")&amp;"" +/- ""&amp;TEXT(VALUE(REGEXEXTRACT(F26,""[0-9]*\.?[0-9]+$""))*100,""0.00"")"),"71.23 +/- 2.68")</f>
        <v>71.23 +/- 2.68</v>
      </c>
      <c r="O26" s="10" t="str">
        <f>IFERROR(__xludf.DUMMYFUNCTION("TEXT(VALUE(REGEXEXTRACT(G26,""^[+-]?[0-9]*\.?[0-9]+""))*100,""0.00"")&amp;"" +/- ""&amp;TEXT(VALUE(REGEXEXTRACT(G26,""[0-9]*\.?[0-9]+$""))*100,""0.00"")"),"71.23 +/- 2.68")</f>
        <v>71.23 +/- 2.68</v>
      </c>
      <c r="P26" s="10" t="str">
        <f>IFERROR(__xludf.DUMMYFUNCTION("TEXT(VALUE(REGEXEXTRACT(H26,""^[+-]?[0-9]*\.?[0-9]+""))*100,""0.00"")&amp;"" +/- ""&amp;TEXT(VALUE(REGEXEXTRACT(H26,""[0-9]*\.?[0-9]+$""))*100,""0.00"")"),"71.23 +/- 2.68")</f>
        <v>71.23 +/- 2.68</v>
      </c>
    </row>
    <row r="27">
      <c r="A27" s="6" t="s">
        <v>529</v>
      </c>
      <c r="B27" s="16" t="s">
        <v>1386</v>
      </c>
      <c r="C27" s="16" t="s">
        <v>1386</v>
      </c>
      <c r="D27" s="16" t="s">
        <v>1387</v>
      </c>
      <c r="E27" s="16" t="s">
        <v>1386</v>
      </c>
      <c r="F27" s="16" t="s">
        <v>1386</v>
      </c>
      <c r="G27" s="16" t="s">
        <v>1386</v>
      </c>
      <c r="H27" s="16" t="s">
        <v>1386</v>
      </c>
      <c r="I27" s="20" t="str">
        <f t="shared" si="2"/>
        <v>A→Z</v>
      </c>
      <c r="J27" s="10" t="str">
        <f>IFERROR(__xludf.DUMMYFUNCTION("TEXT(VALUE(REGEXEXTRACT(B27,""^[+-]?[0-9]*\.?[0-9]+""))*100,""0.00"")&amp;"" +/- ""&amp;TEXT(VALUE(REGEXEXTRACT(B27,""[0-9]*\.?[0-9]+$""))*100,""0.00"")"),"49.39 +/- 1.77")</f>
        <v>49.39 +/- 1.77</v>
      </c>
      <c r="K27" s="10" t="str">
        <f>IFERROR(__xludf.DUMMYFUNCTION("TEXT(VALUE(REGEXEXTRACT(C27,""^[+-]?[0-9]*\.?[0-9]+""))*100,""0.00"")&amp;"" +/- ""&amp;TEXT(VALUE(REGEXEXTRACT(C27,""[0-9]*\.?[0-9]+$""))*100,""0.00"")"),"49.39 +/- 1.77")</f>
        <v>49.39 +/- 1.77</v>
      </c>
      <c r="L27" s="9" t="str">
        <f>IFERROR(__xludf.DUMMYFUNCTION("TEXT(VALUE(REGEXEXTRACT(D27,""^[+-]?[0-9]*\.?[0-9]+""))*100,""0.00"")&amp;"" +/- ""&amp;TEXT(VALUE(REGEXEXTRACT(D27,""[0-9]*\.?[0-9]+$""))*100,""0.00"")"),"44.41 +/- 0.94")</f>
        <v>44.41 +/- 0.94</v>
      </c>
      <c r="M27" s="10" t="str">
        <f>IFERROR(__xludf.DUMMYFUNCTION("TEXT(VALUE(REGEXEXTRACT(E27,""^[+-]?[0-9]*\.?[0-9]+""))*100,""0.00"")&amp;"" +/- ""&amp;TEXT(VALUE(REGEXEXTRACT(E27,""[0-9]*\.?[0-9]+$""))*100,""0.00"")"),"49.39 +/- 1.77")</f>
        <v>49.39 +/- 1.77</v>
      </c>
      <c r="N27" s="10" t="str">
        <f>IFERROR(__xludf.DUMMYFUNCTION("TEXT(VALUE(REGEXEXTRACT(F27,""^[+-]?[0-9]*\.?[0-9]+""))*100,""0.00"")&amp;"" +/- ""&amp;TEXT(VALUE(REGEXEXTRACT(F27,""[0-9]*\.?[0-9]+$""))*100,""0.00"")"),"49.39 +/- 1.77")</f>
        <v>49.39 +/- 1.77</v>
      </c>
      <c r="O27" s="10" t="str">
        <f>IFERROR(__xludf.DUMMYFUNCTION("TEXT(VALUE(REGEXEXTRACT(G27,""^[+-]?[0-9]*\.?[0-9]+""))*100,""0.00"")&amp;"" +/- ""&amp;TEXT(VALUE(REGEXEXTRACT(G27,""[0-9]*\.?[0-9]+$""))*100,""0.00"")"),"49.39 +/- 1.77")</f>
        <v>49.39 +/- 1.77</v>
      </c>
      <c r="P27" s="10" t="str">
        <f>IFERROR(__xludf.DUMMYFUNCTION("TEXT(VALUE(REGEXEXTRACT(H27,""^[+-]?[0-9]*\.?[0-9]+""))*100,""0.00"")&amp;"" +/- ""&amp;TEXT(VALUE(REGEXEXTRACT(H27,""[0-9]*\.?[0-9]+$""))*100,""0.00"")"),"49.39 +/- 1.77")</f>
        <v>49.39 +/- 1.77</v>
      </c>
    </row>
    <row r="28">
      <c r="A28" s="6" t="s">
        <v>539</v>
      </c>
      <c r="B28" s="16" t="s">
        <v>1388</v>
      </c>
      <c r="C28" s="16" t="s">
        <v>1389</v>
      </c>
      <c r="D28" s="16" t="s">
        <v>1390</v>
      </c>
      <c r="E28" s="16" t="s">
        <v>1391</v>
      </c>
      <c r="F28" s="16" t="s">
        <v>1392</v>
      </c>
      <c r="G28" s="16" t="s">
        <v>1393</v>
      </c>
      <c r="H28" s="16" t="s">
        <v>1394</v>
      </c>
      <c r="I28" s="20" t="str">
        <f t="shared" si="2"/>
        <v>S→A</v>
      </c>
      <c r="J28" s="9" t="str">
        <f>IFERROR(__xludf.DUMMYFUNCTION("TEXT(VALUE(REGEXEXTRACT(B28,""^[+-]?[0-9]*\.?[0-9]+""))*100,""0.00"")&amp;"" +/- ""&amp;TEXT(VALUE(REGEXEXTRACT(B28,""[0-9]*\.?[0-9]+$""))*100,""0.00"")"),"65.21 +/- 1.47")</f>
        <v>65.21 +/- 1.47</v>
      </c>
      <c r="K28" s="9" t="str">
        <f>IFERROR(__xludf.DUMMYFUNCTION("TEXT(VALUE(REGEXEXTRACT(C28,""^[+-]?[0-9]*\.?[0-9]+""))*100,""0.00"")&amp;"" +/- ""&amp;TEXT(VALUE(REGEXEXTRACT(C28,""[0-9]*\.?[0-9]+$""))*100,""0.00"")"),"63.91 +/- 1.14")</f>
        <v>63.91 +/- 1.14</v>
      </c>
      <c r="L28" s="9" t="str">
        <f>IFERROR(__xludf.DUMMYFUNCTION("TEXT(VALUE(REGEXEXTRACT(D28,""^[+-]?[0-9]*\.?[0-9]+""))*100,""0.00"")&amp;"" +/- ""&amp;TEXT(VALUE(REGEXEXTRACT(D28,""[0-9]*\.?[0-9]+$""))*100,""0.00"")"),"43.59 +/- 3.88")</f>
        <v>43.59 +/- 3.88</v>
      </c>
      <c r="M28" s="9" t="str">
        <f>IFERROR(__xludf.DUMMYFUNCTION("TEXT(VALUE(REGEXEXTRACT(E28,""^[+-]?[0-9]*\.?[0-9]+""))*100,""0.00"")&amp;"" +/- ""&amp;TEXT(VALUE(REGEXEXTRACT(E28,""[0-9]*\.?[0-9]+$""))*100,""0.00"")"),"67.36 +/- 2.68")</f>
        <v>67.36 +/- 2.68</v>
      </c>
      <c r="N28" s="10" t="str">
        <f>IFERROR(__xludf.DUMMYFUNCTION("TEXT(VALUE(REGEXEXTRACT(F28,""^[+-]?[0-9]*\.?[0-9]+""))*100,""0.00"")&amp;"" +/- ""&amp;TEXT(VALUE(REGEXEXTRACT(F28,""[0-9]*\.?[0-9]+$""))*100,""0.00"")"),"71.10 +/- 1.94")</f>
        <v>71.10 +/- 1.94</v>
      </c>
      <c r="O28" s="9" t="str">
        <f>IFERROR(__xludf.DUMMYFUNCTION("TEXT(VALUE(REGEXEXTRACT(G28,""^[+-]?[0-9]*\.?[0-9]+""))*100,""0.00"")&amp;"" +/- ""&amp;TEXT(VALUE(REGEXEXTRACT(G28,""[0-9]*\.?[0-9]+$""))*100,""0.00"")"),"67.81 +/- 2.41")</f>
        <v>67.81 +/- 2.41</v>
      </c>
      <c r="P28" s="9" t="str">
        <f>IFERROR(__xludf.DUMMYFUNCTION("TEXT(VALUE(REGEXEXTRACT(H28,""^[+-]?[0-9]*\.?[0-9]+""))*100,""0.00"")&amp;"" +/- ""&amp;TEXT(VALUE(REGEXEXTRACT(H28,""[0-9]*\.?[0-9]+$""))*100,""0.00"")"),"66.25 +/- 1.60")</f>
        <v>66.25 +/- 1.60</v>
      </c>
    </row>
    <row r="29">
      <c r="A29" s="6" t="s">
        <v>556</v>
      </c>
      <c r="B29" s="16" t="s">
        <v>1395</v>
      </c>
      <c r="C29" s="16" t="s">
        <v>1396</v>
      </c>
      <c r="D29" s="16" t="s">
        <v>1397</v>
      </c>
      <c r="E29" s="16" t="s">
        <v>1398</v>
      </c>
      <c r="F29" s="16" t="s">
        <v>1399</v>
      </c>
      <c r="G29" s="16" t="s">
        <v>1400</v>
      </c>
      <c r="H29" s="16" t="s">
        <v>1401</v>
      </c>
      <c r="I29" s="20" t="str">
        <f t="shared" si="2"/>
        <v>S→Z</v>
      </c>
      <c r="J29" s="9" t="str">
        <f>IFERROR(__xludf.DUMMYFUNCTION("TEXT(VALUE(REGEXEXTRACT(B29,""^[+-]?[0-9]*\.?[0-9]+""))*100,""0.00"")&amp;"" +/- ""&amp;TEXT(VALUE(REGEXEXTRACT(B29,""[0-9]*\.?[0-9]+$""))*100,""0.00"")"),"42.27 +/- 1.56")</f>
        <v>42.27 +/- 1.56</v>
      </c>
      <c r="K29" s="9" t="str">
        <f>IFERROR(__xludf.DUMMYFUNCTION("TEXT(VALUE(REGEXEXTRACT(C29,""^[+-]?[0-9]*\.?[0-9]+""))*100,""0.00"")&amp;"" +/- ""&amp;TEXT(VALUE(REGEXEXTRACT(C29,""[0-9]*\.?[0-9]+$""))*100,""0.00"")"),"39.33 +/- 1.46")</f>
        <v>39.33 +/- 1.46</v>
      </c>
      <c r="L29" s="9" t="str">
        <f>IFERROR(__xludf.DUMMYFUNCTION("TEXT(VALUE(REGEXEXTRACT(D29,""^[+-]?[0-9]*\.?[0-9]+""))*100,""0.00"")&amp;"" +/- ""&amp;TEXT(VALUE(REGEXEXTRACT(D29,""[0-9]*\.?[0-9]+$""))*100,""0.00"")"),"32.73 +/- 3.09")</f>
        <v>32.73 +/- 3.09</v>
      </c>
      <c r="M29" s="9" t="str">
        <f>IFERROR(__xludf.DUMMYFUNCTION("TEXT(VALUE(REGEXEXTRACT(E29,""^[+-]?[0-9]*\.?[0-9]+""))*100,""0.00"")&amp;"" +/- ""&amp;TEXT(VALUE(REGEXEXTRACT(E29,""[0-9]*\.?[0-9]+$""))*100,""0.00"")"),"42.55 +/- 2.63")</f>
        <v>42.55 +/- 2.63</v>
      </c>
      <c r="N29" s="10" t="str">
        <f>IFERROR(__xludf.DUMMYFUNCTION("TEXT(VALUE(REGEXEXTRACT(F29,""^[+-]?[0-9]*\.?[0-9]+""))*100,""0.00"")&amp;"" +/- ""&amp;TEXT(VALUE(REGEXEXTRACT(F29,""[0-9]*\.?[0-9]+$""))*100,""0.00"")"),"49.75 +/- 1.49")</f>
        <v>49.75 +/- 1.49</v>
      </c>
      <c r="O29" s="9" t="str">
        <f>IFERROR(__xludf.DUMMYFUNCTION("TEXT(VALUE(REGEXEXTRACT(G29,""^[+-]?[0-9]*\.?[0-9]+""))*100,""0.00"")&amp;"" +/- ""&amp;TEXT(VALUE(REGEXEXTRACT(G29,""[0-9]*\.?[0-9]+$""))*100,""0.00"")"),"46.77 +/- 3.25")</f>
        <v>46.77 +/- 3.25</v>
      </c>
      <c r="P29" s="9" t="str">
        <f>IFERROR(__xludf.DUMMYFUNCTION("TEXT(VALUE(REGEXEXTRACT(H29,""^[+-]?[0-9]*\.?[0-9]+""))*100,""0.00"")&amp;"" +/- ""&amp;TEXT(VALUE(REGEXEXTRACT(H29,""[0-9]*\.?[0-9]+$""))*100,""0.00"")"),"41.61 +/- 2.18")</f>
        <v>41.61 +/- 2.18</v>
      </c>
    </row>
    <row r="30">
      <c r="A30" s="6" t="s">
        <v>572</v>
      </c>
      <c r="B30" s="16" t="s">
        <v>1402</v>
      </c>
      <c r="C30" s="16" t="s">
        <v>1403</v>
      </c>
      <c r="D30" s="16" t="s">
        <v>1404</v>
      </c>
      <c r="E30" s="16" t="s">
        <v>1405</v>
      </c>
      <c r="F30" s="16" t="s">
        <v>1406</v>
      </c>
      <c r="G30" s="16" t="s">
        <v>1407</v>
      </c>
      <c r="H30" s="16" t="s">
        <v>1408</v>
      </c>
      <c r="I30" s="20" t="str">
        <f t="shared" si="2"/>
        <v>Z→A</v>
      </c>
      <c r="J30" s="10" t="str">
        <f>IFERROR(__xludf.DUMMYFUNCTION("TEXT(VALUE(REGEXEXTRACT(B30,""^[+-]?[0-9]*\.?[0-9]+""))*100,""0.00"")&amp;"" +/- ""&amp;TEXT(VALUE(REGEXEXTRACT(B30,""[0-9]*\.?[0-9]+$""))*100,""0.00"")"),"58.29 +/- 2.19")</f>
        <v>58.29 +/- 2.19</v>
      </c>
      <c r="K30" s="9" t="str">
        <f>IFERROR(__xludf.DUMMYFUNCTION("TEXT(VALUE(REGEXEXTRACT(C30,""^[+-]?[0-9]*\.?[0-9]+""))*100,""0.00"")&amp;"" +/- ""&amp;TEXT(VALUE(REGEXEXTRACT(C30,""[0-9]*\.?[0-9]+$""))*100,""0.00"")"),"16.37 +/- 2.93")</f>
        <v>16.37 +/- 2.93</v>
      </c>
      <c r="L30" s="9" t="str">
        <f>IFERROR(__xludf.DUMMYFUNCTION("TEXT(VALUE(REGEXEXTRACT(D30,""^[+-]?[0-9]*\.?[0-9]+""))*100,""0.00"")&amp;"" +/- ""&amp;TEXT(VALUE(REGEXEXTRACT(D30,""[0-9]*\.?[0-9]+$""))*100,""0.00"")"),"15.52 +/- 5.93")</f>
        <v>15.52 +/- 5.93</v>
      </c>
      <c r="M30" s="9" t="str">
        <f>IFERROR(__xludf.DUMMYFUNCTION("TEXT(VALUE(REGEXEXTRACT(E30,""^[+-]?[0-9]*\.?[0-9]+""))*100,""0.00"")&amp;"" +/- ""&amp;TEXT(VALUE(REGEXEXTRACT(E30,""[0-9]*\.?[0-9]+$""))*100,""0.00"")"),"43.69 +/- 4.58")</f>
        <v>43.69 +/- 4.58</v>
      </c>
      <c r="N30" s="9" t="str">
        <f>IFERROR(__xludf.DUMMYFUNCTION("TEXT(VALUE(REGEXEXTRACT(F30,""^[+-]?[0-9]*\.?[0-9]+""))*100,""0.00"")&amp;"" +/- ""&amp;TEXT(VALUE(REGEXEXTRACT(F30,""[0-9]*\.?[0-9]+$""))*100,""0.00"")"),"57.64 +/- 2.71")</f>
        <v>57.64 +/- 2.71</v>
      </c>
      <c r="O30" s="9" t="str">
        <f>IFERROR(__xludf.DUMMYFUNCTION("TEXT(VALUE(REGEXEXTRACT(G30,""^[+-]?[0-9]*\.?[0-9]+""))*100,""0.00"")&amp;"" +/- ""&amp;TEXT(VALUE(REGEXEXTRACT(G30,""[0-9]*\.?[0-9]+$""))*100,""0.00"")"),"57.43 +/- 2.67")</f>
        <v>57.43 +/- 2.67</v>
      </c>
      <c r="P30" s="9" t="str">
        <f>IFERROR(__xludf.DUMMYFUNCTION("TEXT(VALUE(REGEXEXTRACT(H30,""^[+-]?[0-9]*\.?[0-9]+""))*100,""0.00"")&amp;"" +/- ""&amp;TEXT(VALUE(REGEXEXTRACT(H30,""[0-9]*\.?[0-9]+$""))*100,""0.00"")"),"42.98 +/- 2.71")</f>
        <v>42.98 +/- 2.71</v>
      </c>
    </row>
    <row r="31">
      <c r="A31" s="6" t="s">
        <v>583</v>
      </c>
      <c r="B31" s="16" t="s">
        <v>1409</v>
      </c>
      <c r="C31" s="16" t="s">
        <v>1410</v>
      </c>
      <c r="D31" s="16" t="s">
        <v>1411</v>
      </c>
      <c r="E31" s="16" t="s">
        <v>1412</v>
      </c>
      <c r="F31" s="16" t="s">
        <v>1413</v>
      </c>
      <c r="G31" s="16" t="s">
        <v>1414</v>
      </c>
      <c r="H31" s="16" t="s">
        <v>1415</v>
      </c>
      <c r="I31" s="20" t="str">
        <f t="shared" si="2"/>
        <v>Z→S</v>
      </c>
      <c r="J31" s="10" t="str">
        <f>IFERROR(__xludf.DUMMYFUNCTION("TEXT(VALUE(REGEXEXTRACT(B31,""^[+-]?[0-9]*\.?[0-9]+""))*100,""0.00"")&amp;"" +/- ""&amp;TEXT(VALUE(REGEXEXTRACT(B31,""[0-9]*\.?[0-9]+$""))*100,""0.00"")"),"64.70 +/- 3.30")</f>
        <v>64.70 +/- 3.30</v>
      </c>
      <c r="K31" s="9" t="str">
        <f>IFERROR(__xludf.DUMMYFUNCTION("TEXT(VALUE(REGEXEXTRACT(C31,""^[+-]?[0-9]*\.?[0-9]+""))*100,""0.00"")&amp;"" +/- ""&amp;TEXT(VALUE(REGEXEXTRACT(C31,""[0-9]*\.?[0-9]+$""))*100,""0.00"")"),"44.19 +/- 3.74")</f>
        <v>44.19 +/- 3.74</v>
      </c>
      <c r="L31" s="9" t="str">
        <f>IFERROR(__xludf.DUMMYFUNCTION("TEXT(VALUE(REGEXEXTRACT(D31,""^[+-]?[0-9]*\.?[0-9]+""))*100,""0.00"")&amp;"" +/- ""&amp;TEXT(VALUE(REGEXEXTRACT(D31,""[0-9]*\.?[0-9]+$""))*100,""0.00"")"),"21.35 +/- 7.42")</f>
        <v>21.35 +/- 7.42</v>
      </c>
      <c r="M31" s="9" t="str">
        <f>IFERROR(__xludf.DUMMYFUNCTION("TEXT(VALUE(REGEXEXTRACT(E31,""^[+-]?[0-9]*\.?[0-9]+""))*100,""0.00"")&amp;"" +/- ""&amp;TEXT(VALUE(REGEXEXTRACT(E31,""[0-9]*\.?[0-9]+$""))*100,""0.00"")"),"54.44 +/- 4.20")</f>
        <v>54.44 +/- 4.20</v>
      </c>
      <c r="N31" s="9" t="str">
        <f>IFERROR(__xludf.DUMMYFUNCTION("TEXT(VALUE(REGEXEXTRACT(F31,""^[+-]?[0-9]*\.?[0-9]+""))*100,""0.00"")&amp;"" +/- ""&amp;TEXT(VALUE(REGEXEXTRACT(F31,""[0-9]*\.?[0-9]+$""))*100,""0.00"")"),"60.03 +/- 3.26")</f>
        <v>60.03 +/- 3.26</v>
      </c>
      <c r="O31" s="9" t="str">
        <f>IFERROR(__xludf.DUMMYFUNCTION("TEXT(VALUE(REGEXEXTRACT(G31,""^[+-]?[0-9]*\.?[0-9]+""))*100,""0.00"")&amp;"" +/- ""&amp;TEXT(VALUE(REGEXEXTRACT(G31,""[0-9]*\.?[0-9]+$""))*100,""0.00"")"),"59.57 +/- 4.74")</f>
        <v>59.57 +/- 4.74</v>
      </c>
      <c r="P31" s="9" t="str">
        <f>IFERROR(__xludf.DUMMYFUNCTION("TEXT(VALUE(REGEXEXTRACT(H31,""^[+-]?[0-9]*\.?[0-9]+""))*100,""0.00"")&amp;"" +/- ""&amp;TEXT(VALUE(REGEXEXTRACT(H31,""[0-9]*\.?[0-9]+$""))*100,""0.00"")"),"44.67 +/- 3.05")</f>
        <v>44.67 +/- 3.05</v>
      </c>
    </row>
    <row r="32">
      <c r="A32" s="6" t="s">
        <v>371</v>
      </c>
      <c r="B32" s="14"/>
      <c r="C32" s="21" t="s">
        <v>671</v>
      </c>
      <c r="D32" s="21" t="s">
        <v>606</v>
      </c>
      <c r="E32" s="21" t="s">
        <v>607</v>
      </c>
      <c r="F32" s="21" t="s">
        <v>607</v>
      </c>
      <c r="G32" s="21" t="s">
        <v>607</v>
      </c>
      <c r="H32" s="21" t="s">
        <v>605</v>
      </c>
      <c r="I32" s="20" t="str">
        <f t="shared" si="2"/>
        <v>W/T/L</v>
      </c>
      <c r="K32" s="20" t="str">
        <f>IFERROR(__xludf.DUMMYFUNCTION("SUM(ARRAYFORMULA(IFERROR(
  (VALUE(REGEXEXTRACT($J$26:$J$31,""^[+-]?[0-9]*\.?[0-9]+""))&gt;
   VALUE(REGEXEXTRACT(K$26:K$31,""^[+-]?[0-9]*\.?[0-9]+"")))*1,0)))
&amp;""/""&amp;
SUM(ARRAYFORMULA(IFERROR(
  (VALUE(REGEXEXTRACT($J$26:$J$31,""^[+-]?[0-9]*\.?[0-9]+""))=
 "&amp;"  VALUE(REGEXEXTRACT(K$26:K$31,""^[+-]?[0-9]*\.?[0-9]+"")))*1,0)))
&amp;""/""&amp;
SUM(ARRAYFORMULA(IFERROR(
  (VALUE(REGEXEXTRACT($J$26:$J$31,""^[+-]?[0-9]*\.?[0-9]+""))&lt;
   VALUE(REGEXEXTRACT(K$26:K$31,""^[+-]?[0-9]*\.?[0-9]+"")))*1,0)))"),"4/2/0")</f>
        <v>4/2/0</v>
      </c>
      <c r="L32" s="20" t="str">
        <f>IFERROR(__xludf.DUMMYFUNCTION("SUM(ARRAYFORMULA(IFERROR(
  (VALUE(REGEXEXTRACT($J$26:$J$31,""^[+-]?[0-9]*\.?[0-9]+""))&gt;
   VALUE(REGEXEXTRACT(L$26:L$31,""^[+-]?[0-9]*\.?[0-9]+"")))*1,0)))
&amp;""/""&amp;
SUM(ARRAYFORMULA(IFERROR(
  (VALUE(REGEXEXTRACT($J$26:$J$31,""^[+-]?[0-9]*\.?[0-9]+""))=
 "&amp;"  VALUE(REGEXEXTRACT(L$26:L$31,""^[+-]?[0-9]*\.?[0-9]+"")))*1,0)))
&amp;""/""&amp;
SUM(ARRAYFORMULA(IFERROR(
  (VALUE(REGEXEXTRACT($J$26:$J$31,""^[+-]?[0-9]*\.?[0-9]+""))&lt;
   VALUE(REGEXEXTRACT(L$26:L$31,""^[+-]?[0-9]*\.?[0-9]+"")))*1,0)))"),"6/0/0")</f>
        <v>6/0/0</v>
      </c>
      <c r="M32" s="20" t="str">
        <f>IFERROR(__xludf.DUMMYFUNCTION("SUM(ARRAYFORMULA(IFERROR(
  (VALUE(REGEXEXTRACT($J$26:$J$31,""^[+-]?[0-9]*\.?[0-9]+""))&gt;
   VALUE(REGEXEXTRACT(M$26:M$31,""^[+-]?[0-9]*\.?[0-9]+"")))*1,0)))
&amp;""/""&amp;
SUM(ARRAYFORMULA(IFERROR(
  (VALUE(REGEXEXTRACT($J$26:$J$31,""^[+-]?[0-9]*\.?[0-9]+""))=
 "&amp;"  VALUE(REGEXEXTRACT(M$26:M$31,""^[+-]?[0-9]*\.?[0-9]+"")))*1,0)))
&amp;""/""&amp;
SUM(ARRAYFORMULA(IFERROR(
  (VALUE(REGEXEXTRACT($J$26:$J$31,""^[+-]?[0-9]*\.?[0-9]+""))&lt;
   VALUE(REGEXEXTRACT(M$26:M$31,""^[+-]?[0-9]*\.?[0-9]+"")))*1,0)))"),"2/2/2")</f>
        <v>2/2/2</v>
      </c>
      <c r="N32" s="20" t="str">
        <f>IFERROR(__xludf.DUMMYFUNCTION("SUM(ARRAYFORMULA(IFERROR(
  (VALUE(REGEXEXTRACT($J$26:$J$31,""^[+-]?[0-9]*\.?[0-9]+""))&gt;
   VALUE(REGEXEXTRACT(N$26:N$31,""^[+-]?[0-9]*\.?[0-9]+"")))*1,0)))
&amp;""/""&amp;
SUM(ARRAYFORMULA(IFERROR(
  (VALUE(REGEXEXTRACT($J$26:$J$31,""^[+-]?[0-9]*\.?[0-9]+""))=
 "&amp;"  VALUE(REGEXEXTRACT(N$26:N$31,""^[+-]?[0-9]*\.?[0-9]+"")))*1,0)))
&amp;""/""&amp;
SUM(ARRAYFORMULA(IFERROR(
  (VALUE(REGEXEXTRACT($J$26:$J$31,""^[+-]?[0-9]*\.?[0-9]+""))&lt;
   VALUE(REGEXEXTRACT(N$26:N$31,""^[+-]?[0-9]*\.?[0-9]+"")))*1,0)))"),"2/2/2")</f>
        <v>2/2/2</v>
      </c>
      <c r="O32" s="20" t="str">
        <f>IFERROR(__xludf.DUMMYFUNCTION("SUM(ARRAYFORMULA(IFERROR(
  (VALUE(REGEXEXTRACT($J$26:$J$31,""^[+-]?[0-9]*\.?[0-9]+""))&gt;
   VALUE(REGEXEXTRACT(O$26:O$31,""^[+-]?[0-9]*\.?[0-9]+"")))*1,0)))
&amp;""/""&amp;
SUM(ARRAYFORMULA(IFERROR(
  (VALUE(REGEXEXTRACT($J$26:$J$31,""^[+-]?[0-9]*\.?[0-9]+""))=
 "&amp;"  VALUE(REGEXEXTRACT(O$26:O$31,""^[+-]?[0-9]*\.?[0-9]+"")))*1,0)))
&amp;""/""&amp;
SUM(ARRAYFORMULA(IFERROR(
  (VALUE(REGEXEXTRACT($J$26:$J$31,""^[+-]?[0-9]*\.?[0-9]+""))&lt;
   VALUE(REGEXEXTRACT(O$26:O$31,""^[+-]?[0-9]*\.?[0-9]+"")))*1,0)))"),"2/2/2")</f>
        <v>2/2/2</v>
      </c>
      <c r="P32" s="20" t="str">
        <f>IFERROR(__xludf.DUMMYFUNCTION("SUM(ARRAYFORMULA(IFERROR(
  (VALUE(REGEXEXTRACT($J$26:$J$31,""^[+-]?[0-9]*\.?[0-9]+""))&gt;
   VALUE(REGEXEXTRACT(P$26:P$31,""^[+-]?[0-9]*\.?[0-9]+"")))*1,0)))
&amp;""/""&amp;
SUM(ARRAYFORMULA(IFERROR(
  (VALUE(REGEXEXTRACT($J$26:$J$31,""^[+-]?[0-9]*\.?[0-9]+""))=
 "&amp;"  VALUE(REGEXEXTRACT(P$26:P$31,""^[+-]?[0-9]*\.?[0-9]+"")))*1,0)))
&amp;""/""&amp;
SUM(ARRAYFORMULA(IFERROR(
  (VALUE(REGEXEXTRACT($J$26:$J$31,""^[+-]?[0-9]*\.?[0-9]+""))&lt;
   VALUE(REGEXEXTRACT(P$26:P$31,""^[+-]?[0-9]*\.?[0-9]+"")))*1,0)))"),"3/2/1")</f>
        <v>3/2/1</v>
      </c>
    </row>
    <row r="33">
      <c r="A33" s="6" t="s">
        <v>489</v>
      </c>
      <c r="B33" s="14" t="s">
        <v>1416</v>
      </c>
      <c r="C33" s="14" t="s">
        <v>1417</v>
      </c>
      <c r="D33" s="14" t="s">
        <v>1418</v>
      </c>
      <c r="E33" s="14" t="s">
        <v>1419</v>
      </c>
      <c r="F33" s="14" t="s">
        <v>1420</v>
      </c>
      <c r="G33" s="14" t="s">
        <v>1421</v>
      </c>
      <c r="H33" s="14" t="s">
        <v>1422</v>
      </c>
      <c r="I33" s="20" t="str">
        <f t="shared" si="2"/>
        <v>Average (%)</v>
      </c>
      <c r="J33" s="9">
        <f>IFERROR(__xludf.DUMMYFUNCTION("ROUND(AVERAGE(ARRAYFORMULA(IFERROR(VALUE(REGEXEXTRACT(J$26:J$31,""^[+-]?[0-9]*\.?[0-9]+"")),""""))),2)"),58.52)</f>
        <v>58.52</v>
      </c>
      <c r="K33" s="9">
        <f>IFERROR(__xludf.DUMMYFUNCTION("ROUND(AVERAGE(ARRAYFORMULA(IFERROR(VALUE(REGEXEXTRACT(K$26:K$31,""^[+-]?[0-9]*\.?[0-9]+"")),""""))),2)"),47.4)</f>
        <v>47.4</v>
      </c>
      <c r="L33" s="9">
        <f>IFERROR(__xludf.DUMMYFUNCTION("ROUND(AVERAGE(ARRAYFORMULA(IFERROR(VALUE(REGEXEXTRACT(L$26:L$31,""^[+-]?[0-9]*\.?[0-9]+"")),""""))),2)"),36.07)</f>
        <v>36.07</v>
      </c>
      <c r="M33" s="9">
        <f>IFERROR(__xludf.DUMMYFUNCTION("ROUND(AVERAGE(ARRAYFORMULA(IFERROR(VALUE(REGEXEXTRACT(M$26:M$31,""^[+-]?[0-9]*\.?[0-9]+"")),""""))),2)"),54.78)</f>
        <v>54.78</v>
      </c>
      <c r="N33" s="9">
        <f>IFERROR(__xludf.DUMMYFUNCTION("ROUND(AVERAGE(ARRAYFORMULA(IFERROR(VALUE(REGEXEXTRACT(N$26:N$31,""^[+-]?[0-9]*\.?[0-9]+"")),""""))),2)"),59.86)</f>
        <v>59.86</v>
      </c>
      <c r="O33" s="9">
        <f>IFERROR(__xludf.DUMMYFUNCTION("ROUND(AVERAGE(ARRAYFORMULA(IFERROR(VALUE(REGEXEXTRACT(O$26:O$31,""^[+-]?[0-9]*\.?[0-9]+"")),""""))),2)"),58.7)</f>
        <v>58.7</v>
      </c>
      <c r="P33" s="9">
        <f>IFERROR(__xludf.DUMMYFUNCTION("ROUND(AVERAGE(ARRAYFORMULA(IFERROR(VALUE(REGEXEXTRACT(P$26:P$31,""^[+-]?[0-9]*\.?[0-9]+"")),""""))),2)"),52.69)</f>
        <v>52.69</v>
      </c>
    </row>
    <row r="34">
      <c r="A34" s="4" t="s">
        <v>659</v>
      </c>
      <c r="B34" s="2"/>
      <c r="C34" s="2"/>
      <c r="D34" s="2"/>
      <c r="E34" s="2"/>
      <c r="F34" s="2"/>
      <c r="G34" s="2"/>
      <c r="H34" s="2"/>
      <c r="I34" s="4" t="s">
        <v>659</v>
      </c>
    </row>
    <row r="35">
      <c r="A35" s="6" t="s">
        <v>660</v>
      </c>
      <c r="B35" s="16" t="s">
        <v>1423</v>
      </c>
      <c r="C35" s="16" t="s">
        <v>1424</v>
      </c>
      <c r="D35" s="16" t="s">
        <v>1425</v>
      </c>
      <c r="E35" s="16" t="s">
        <v>1426</v>
      </c>
      <c r="F35" s="16" t="s">
        <v>1427</v>
      </c>
      <c r="G35" s="16" t="s">
        <v>1428</v>
      </c>
      <c r="H35" s="16" t="s">
        <v>1429</v>
      </c>
      <c r="I35" s="20" t="str">
        <f t="shared" ref="I35:I56" si="3">A35</f>
        <v>AR1→AR3</v>
      </c>
      <c r="J35" s="9" t="str">
        <f>IFERROR(__xludf.DUMMYFUNCTION("TEXT(VALUE(REGEXEXTRACT(B35,""^[+-]?[0-9]*\.?[0-9]+""))*100,""0.00"")&amp;"" +/- ""&amp;TEXT(VALUE(REGEXEXTRACT(B35,""[0-9]*\.?[0-9]+$""))*100,""0.00"")"),"33.47 +/- 2.65")</f>
        <v>33.47 +/- 2.65</v>
      </c>
      <c r="K35" s="9" t="str">
        <f>IFERROR(__xludf.DUMMYFUNCTION("TEXT(VALUE(REGEXEXTRACT(C35,""^[+-]?[0-9]*\.?[0-9]+""))*100,""0.00"")&amp;"" +/- ""&amp;TEXT(VALUE(REGEXEXTRACT(C35,""[0-9]*\.?[0-9]+$""))*100,""0.00"")"),"24.44 +/- 8.15")</f>
        <v>24.44 +/- 8.15</v>
      </c>
      <c r="L35" s="9" t="str">
        <f>IFERROR(__xludf.DUMMYFUNCTION("TEXT(VALUE(REGEXEXTRACT(D35,""^[+-]?[0-9]*\.?[0-9]+""))*100,""0.00"")&amp;"" +/- ""&amp;TEXT(VALUE(REGEXEXTRACT(D35,""[0-9]*\.?[0-9]+$""))*100,""0.00"")"),"20.52 +/- 13.48")</f>
        <v>20.52 +/- 13.48</v>
      </c>
      <c r="M35" s="9" t="str">
        <f>IFERROR(__xludf.DUMMYFUNCTION("TEXT(VALUE(REGEXEXTRACT(E35,""^[+-]?[0-9]*\.?[0-9]+""))*100,""0.00"")&amp;"" +/- ""&amp;TEXT(VALUE(REGEXEXTRACT(E35,""[0-9]*\.?[0-9]+$""))*100,""0.00"")"),"45.48 +/- 5.62")</f>
        <v>45.48 +/- 5.62</v>
      </c>
      <c r="N35" s="9" t="str">
        <f>IFERROR(__xludf.DUMMYFUNCTION("TEXT(VALUE(REGEXEXTRACT(F35,""^[+-]?[0-9]*\.?[0-9]+""))*100,""0.00"")&amp;"" +/- ""&amp;TEXT(VALUE(REGEXEXTRACT(F35,""[0-9]*\.?[0-9]+$""))*100,""0.00"")"),"32.25 +/- 3.10")</f>
        <v>32.25 +/- 3.10</v>
      </c>
      <c r="O35" s="9" t="str">
        <f>IFERROR(__xludf.DUMMYFUNCTION("TEXT(VALUE(REGEXEXTRACT(G35,""^[+-]?[0-9]*\.?[0-9]+""))*100,""0.00"")&amp;"" +/- ""&amp;TEXT(VALUE(REGEXEXTRACT(G35,""[0-9]*\.?[0-9]+$""))*100,""0.00"")"),"32.73 +/- 3.08")</f>
        <v>32.73 +/- 3.08</v>
      </c>
      <c r="P35" s="10" t="str">
        <f>IFERROR(__xludf.DUMMYFUNCTION("TEXT(VALUE(REGEXEXTRACT(H35,""^[+-]?[0-9]*\.?[0-9]+""))*100,""0.00"")&amp;"" +/- ""&amp;TEXT(VALUE(REGEXEXTRACT(H35,""[0-9]*\.?[0-9]+$""))*100,""0.00"")"),"62.24 +/- 4.09")</f>
        <v>62.24 +/- 4.09</v>
      </c>
    </row>
    <row r="36">
      <c r="A36" s="6" t="s">
        <v>676</v>
      </c>
      <c r="B36" s="16" t="s">
        <v>1430</v>
      </c>
      <c r="C36" s="16" t="s">
        <v>1431</v>
      </c>
      <c r="D36" s="16" t="s">
        <v>1432</v>
      </c>
      <c r="E36" s="16" t="s">
        <v>1433</v>
      </c>
      <c r="F36" s="16" t="s">
        <v>1434</v>
      </c>
      <c r="G36" s="16" t="s">
        <v>1435</v>
      </c>
      <c r="H36" s="16" t="s">
        <v>1436</v>
      </c>
      <c r="I36" s="20" t="str">
        <f t="shared" si="3"/>
        <v>AR1→AR4</v>
      </c>
      <c r="J36" s="9" t="str">
        <f>IFERROR(__xludf.DUMMYFUNCTION("TEXT(VALUE(REGEXEXTRACT(B36,""^[+-]?[0-9]*\.?[0-9]+""))*100,""0.00"")&amp;"" +/- ""&amp;TEXT(VALUE(REGEXEXTRACT(B36,""[0-9]*\.?[0-9]+$""))*100,""0.00"")"),"45.26 +/- 3.44")</f>
        <v>45.26 +/- 3.44</v>
      </c>
      <c r="K36" s="9" t="str">
        <f>IFERROR(__xludf.DUMMYFUNCTION("TEXT(VALUE(REGEXEXTRACT(C36,""^[+-]?[0-9]*\.?[0-9]+""))*100,""0.00"")&amp;"" +/- ""&amp;TEXT(VALUE(REGEXEXTRACT(C36,""[0-9]*\.?[0-9]+$""))*100,""0.00"")"),"3.81 +/- 4.75")</f>
        <v>3.81 +/- 4.75</v>
      </c>
      <c r="L36" s="9" t="str">
        <f>IFERROR(__xludf.DUMMYFUNCTION("TEXT(VALUE(REGEXEXTRACT(D36,""^[+-]?[0-9]*\.?[0-9]+""))*100,""0.00"")&amp;"" +/- ""&amp;TEXT(VALUE(REGEXEXTRACT(D36,""[0-9]*\.?[0-9]+$""))*100,""0.00"")"),"0.61 +/- 2.31")</f>
        <v>0.61 +/- 2.31</v>
      </c>
      <c r="M36" s="9" t="str">
        <f>IFERROR(__xludf.DUMMYFUNCTION("TEXT(VALUE(REGEXEXTRACT(E36,""^[+-]?[0-9]*\.?[0-9]+""))*100,""0.00"")&amp;"" +/- ""&amp;TEXT(VALUE(REGEXEXTRACT(E36,""[0-9]*\.?[0-9]+$""))*100,""0.00"")"),"31.28 +/- 9.83")</f>
        <v>31.28 +/- 9.83</v>
      </c>
      <c r="N36" s="9" t="str">
        <f>IFERROR(__xludf.DUMMYFUNCTION("TEXT(VALUE(REGEXEXTRACT(F36,""^[+-]?[0-9]*\.?[0-9]+""))*100,""0.00"")&amp;"" +/- ""&amp;TEXT(VALUE(REGEXEXTRACT(F36,""[0-9]*\.?[0-9]+$""))*100,""0.00"")"),"46.19 +/- 3.49")</f>
        <v>46.19 +/- 3.49</v>
      </c>
      <c r="O36" s="9" t="str">
        <f>IFERROR(__xludf.DUMMYFUNCTION("TEXT(VALUE(REGEXEXTRACT(G36,""^[+-]?[0-9]*\.?[0-9]+""))*100,""0.00"")&amp;"" +/- ""&amp;TEXT(VALUE(REGEXEXTRACT(G36,""[0-9]*\.?[0-9]+$""))*100,""0.00"")"),"46.17 +/- 2.01")</f>
        <v>46.17 +/- 2.01</v>
      </c>
      <c r="P36" s="10" t="str">
        <f>IFERROR(__xludf.DUMMYFUNCTION("TEXT(VALUE(REGEXEXTRACT(H36,""^[+-]?[0-9]*\.?[0-9]+""))*100,""0.00"")&amp;"" +/- ""&amp;TEXT(VALUE(REGEXEXTRACT(H36,""[0-9]*\.?[0-9]+$""))*100,""0.00"")"),"51.41 +/- 3.49")</f>
        <v>51.41 +/- 3.49</v>
      </c>
    </row>
    <row r="37">
      <c r="A37" s="6" t="s">
        <v>684</v>
      </c>
      <c r="B37" s="16" t="s">
        <v>1437</v>
      </c>
      <c r="C37" s="16" t="s">
        <v>686</v>
      </c>
      <c r="D37" s="16" t="s">
        <v>686</v>
      </c>
      <c r="E37" s="16" t="s">
        <v>1438</v>
      </c>
      <c r="F37" s="16" t="s">
        <v>1439</v>
      </c>
      <c r="G37" s="16" t="s">
        <v>1440</v>
      </c>
      <c r="H37" s="16" t="s">
        <v>1441</v>
      </c>
      <c r="I37" s="20" t="str">
        <f t="shared" si="3"/>
        <v>AR1→AR5</v>
      </c>
      <c r="J37" s="9" t="str">
        <f>IFERROR(__xludf.DUMMYFUNCTION("TEXT(VALUE(REGEXEXTRACT(B37,""^[+-]?[0-9]*\.?[0-9]+""))*100,""0.00"")&amp;"" +/- ""&amp;TEXT(VALUE(REGEXEXTRACT(B37,""[0-9]*\.?[0-9]+$""))*100,""0.00"")"),"58.50 +/- 4.88")</f>
        <v>58.50 +/- 4.88</v>
      </c>
      <c r="K37" s="9" t="str">
        <f>IFERROR(__xludf.DUMMYFUNCTION("TEXT(VALUE(REGEXEXTRACT(C37,""^[+-]?[0-9]*\.?[0-9]+""))*100,""0.00"")&amp;"" +/- ""&amp;TEXT(VALUE(REGEXEXTRACT(C37,""[0-9]*\.?[0-9]+$""))*100,""0.00"")"),"0.00 +/- 0.00")</f>
        <v>0.00 +/- 0.00</v>
      </c>
      <c r="L37" s="9" t="str">
        <f>IFERROR(__xludf.DUMMYFUNCTION("TEXT(VALUE(REGEXEXTRACT(D37,""^[+-]?[0-9]*\.?[0-9]+""))*100,""0.00"")&amp;"" +/- ""&amp;TEXT(VALUE(REGEXEXTRACT(D37,""[0-9]*\.?[0-9]+$""))*100,""0.00"")"),"0.00 +/- 0.00")</f>
        <v>0.00 +/- 0.00</v>
      </c>
      <c r="M37" s="9" t="str">
        <f>IFERROR(__xludf.DUMMYFUNCTION("TEXT(VALUE(REGEXEXTRACT(E37,""^[+-]?[0-9]*\.?[0-9]+""))*100,""0.00"")&amp;"" +/- ""&amp;TEXT(VALUE(REGEXEXTRACT(E37,""[0-9]*\.?[0-9]+$""))*100,""0.00"")"),"49.05 +/- 13.65")</f>
        <v>49.05 +/- 13.65</v>
      </c>
      <c r="N37" s="10" t="str">
        <f>IFERROR(__xludf.DUMMYFUNCTION("TEXT(VALUE(REGEXEXTRACT(F37,""^[+-]?[0-9]*\.?[0-9]+""))*100,""0.00"")&amp;"" +/- ""&amp;TEXT(VALUE(REGEXEXTRACT(F37,""[0-9]*\.?[0-9]+$""))*100,""0.00"")"),"59.42 +/- 5.31")</f>
        <v>59.42 +/- 5.31</v>
      </c>
      <c r="O37" s="9" t="str">
        <f>IFERROR(__xludf.DUMMYFUNCTION("TEXT(VALUE(REGEXEXTRACT(G37,""^[+-]?[0-9]*\.?[0-9]+""))*100,""0.00"")&amp;"" +/- ""&amp;TEXT(VALUE(REGEXEXTRACT(G37,""[0-9]*\.?[0-9]+$""))*100,""0.00"")"),"57.46 +/- 5.02")</f>
        <v>57.46 +/- 5.02</v>
      </c>
      <c r="P37" s="9" t="str">
        <f>IFERROR(__xludf.DUMMYFUNCTION("TEXT(VALUE(REGEXEXTRACT(H37,""^[+-]?[0-9]*\.?[0-9]+""))*100,""0.00"")&amp;"" +/- ""&amp;TEXT(VALUE(REGEXEXTRACT(H37,""[0-9]*\.?[0-9]+$""))*100,""0.00"")"),"57.94 +/- 5.97")</f>
        <v>57.94 +/- 5.97</v>
      </c>
    </row>
    <row r="38">
      <c r="A38" s="6" t="s">
        <v>702</v>
      </c>
      <c r="B38" s="16" t="s">
        <v>1442</v>
      </c>
      <c r="C38" s="16" t="s">
        <v>1443</v>
      </c>
      <c r="D38" s="16" t="s">
        <v>686</v>
      </c>
      <c r="E38" s="16" t="s">
        <v>1444</v>
      </c>
      <c r="F38" s="16" t="s">
        <v>1445</v>
      </c>
      <c r="G38" s="16" t="s">
        <v>1446</v>
      </c>
      <c r="H38" s="16" t="s">
        <v>1447</v>
      </c>
      <c r="I38" s="20" t="str">
        <f t="shared" si="3"/>
        <v>AR1→AR6</v>
      </c>
      <c r="J38" s="10" t="str">
        <f>IFERROR(__xludf.DUMMYFUNCTION("TEXT(VALUE(REGEXEXTRACT(B38,""^[+-]?[0-9]*\.?[0-9]+""))*100,""0.00"")&amp;"" +/- ""&amp;TEXT(VALUE(REGEXEXTRACT(B38,""[0-9]*\.?[0-9]+$""))*100,""0.00"")"),"28.96 +/- 3.36")</f>
        <v>28.96 +/- 3.36</v>
      </c>
      <c r="K38" s="9" t="str">
        <f>IFERROR(__xludf.DUMMYFUNCTION("TEXT(VALUE(REGEXEXTRACT(C38,""^[+-]?[0-9]*\.?[0-9]+""))*100,""0.00"")&amp;"" +/- ""&amp;TEXT(VALUE(REGEXEXTRACT(C38,""[0-9]*\.?[0-9]+$""))*100,""0.00"")"),"14.47 +/- 11.74")</f>
        <v>14.47 +/- 11.74</v>
      </c>
      <c r="L38" s="9" t="str">
        <f>IFERROR(__xludf.DUMMYFUNCTION("TEXT(VALUE(REGEXEXTRACT(D38,""^[+-]?[0-9]*\.?[0-9]+""))*100,""0.00"")&amp;"" +/- ""&amp;TEXT(VALUE(REGEXEXTRACT(D38,""[0-9]*\.?[0-9]+$""))*100,""0.00"")"),"0.00 +/- 0.00")</f>
        <v>0.00 +/- 0.00</v>
      </c>
      <c r="M38" s="9" t="str">
        <f>IFERROR(__xludf.DUMMYFUNCTION("TEXT(VALUE(REGEXEXTRACT(E38,""^[+-]?[0-9]*\.?[0-9]+""))*100,""0.00"")&amp;"" +/- ""&amp;TEXT(VALUE(REGEXEXTRACT(E38,""[0-9]*\.?[0-9]+$""))*100,""0.00"")"),"30.46 +/- 3.04")</f>
        <v>30.46 +/- 3.04</v>
      </c>
      <c r="N38" s="9" t="str">
        <f>IFERROR(__xludf.DUMMYFUNCTION("TEXT(VALUE(REGEXEXTRACT(F38,""^[+-]?[0-9]*\.?[0-9]+""))*100,""0.00"")&amp;"" +/- ""&amp;TEXT(VALUE(REGEXEXTRACT(F38,""[0-9]*\.?[0-9]+$""))*100,""0.00"")"),"27.95 +/- 3.67")</f>
        <v>27.95 +/- 3.67</v>
      </c>
      <c r="O38" s="9" t="str">
        <f>IFERROR(__xludf.DUMMYFUNCTION("TEXT(VALUE(REGEXEXTRACT(G38,""^[+-]?[0-9]*\.?[0-9]+""))*100,""0.00"")&amp;"" +/- ""&amp;TEXT(VALUE(REGEXEXTRACT(G38,""[0-9]*\.?[0-9]+$""))*100,""0.00"")"),"27.10 +/- 4.26")</f>
        <v>27.10 +/- 4.26</v>
      </c>
      <c r="P38" s="9" t="str">
        <f>IFERROR(__xludf.DUMMYFUNCTION("TEXT(VALUE(REGEXEXTRACT(H38,""^[+-]?[0-9]*\.?[0-9]+""))*100,""0.00"")&amp;"" +/- ""&amp;TEXT(VALUE(REGEXEXTRACT(H38,""[0-9]*\.?[0-9]+$""))*100,""0.00"")"),"27.19 +/- 2.89")</f>
        <v>27.19 +/- 2.89</v>
      </c>
    </row>
    <row r="39">
      <c r="A39" s="6" t="s">
        <v>738</v>
      </c>
      <c r="B39" s="16" t="s">
        <v>1448</v>
      </c>
      <c r="C39" s="16" t="s">
        <v>1449</v>
      </c>
      <c r="D39" s="16" t="s">
        <v>1450</v>
      </c>
      <c r="E39" s="16" t="s">
        <v>1451</v>
      </c>
      <c r="F39" s="16" t="s">
        <v>1452</v>
      </c>
      <c r="G39" s="16" t="s">
        <v>1453</v>
      </c>
      <c r="H39" s="16" t="s">
        <v>1455</v>
      </c>
      <c r="I39" s="20" t="str">
        <f t="shared" si="3"/>
        <v>AR3→AR1</v>
      </c>
      <c r="J39" s="9" t="str">
        <f>IFERROR(__xludf.DUMMYFUNCTION("TEXT(VALUE(REGEXEXTRACT(B39,""^[+-]?[0-9]*\.?[0-9]+""))*100,""0.00"")&amp;"" +/- ""&amp;TEXT(VALUE(REGEXEXTRACT(B39,""[0-9]*\.?[0-9]+$""))*100,""0.00"")"),"19.11 +/- 3.77")</f>
        <v>19.11 +/- 3.77</v>
      </c>
      <c r="K39" s="10" t="str">
        <f>IFERROR(__xludf.DUMMYFUNCTION("TEXT(VALUE(REGEXEXTRACT(C39,""^[+-]?[0-9]*\.?[0-9]+""))*100,""0.00"")&amp;"" +/- ""&amp;TEXT(VALUE(REGEXEXTRACT(C39,""[0-9]*\.?[0-9]+$""))*100,""0.00"")"),"28.14 +/- 3.88")</f>
        <v>28.14 +/- 3.88</v>
      </c>
      <c r="L39" s="9" t="str">
        <f>IFERROR(__xludf.DUMMYFUNCTION("TEXT(VALUE(REGEXEXTRACT(D39,""^[+-]?[0-9]*\.?[0-9]+""))*100,""0.00"")&amp;"" +/- ""&amp;TEXT(VALUE(REGEXEXTRACT(D39,""[0-9]*\.?[0-9]+$""))*100,""0.00"")"),"4.14 +/- 7.64")</f>
        <v>4.14 +/- 7.64</v>
      </c>
      <c r="M39" s="9" t="str">
        <f>IFERROR(__xludf.DUMMYFUNCTION("TEXT(VALUE(REGEXEXTRACT(E39,""^[+-]?[0-9]*\.?[0-9]+""))*100,""0.00"")&amp;"" +/- ""&amp;TEXT(VALUE(REGEXEXTRACT(E39,""[0-9]*\.?[0-9]+$""))*100,""0.00"")"),"22.71 +/- 3.24")</f>
        <v>22.71 +/- 3.24</v>
      </c>
      <c r="N39" s="9" t="str">
        <f>IFERROR(__xludf.DUMMYFUNCTION("TEXT(VALUE(REGEXEXTRACT(F39,""^[+-]?[0-9]*\.?[0-9]+""))*100,""0.00"")&amp;"" +/- ""&amp;TEXT(VALUE(REGEXEXTRACT(F39,""[0-9]*\.?[0-9]+$""))*100,""0.00"")"),"19.61 +/- 3.23")</f>
        <v>19.61 +/- 3.23</v>
      </c>
      <c r="O39" s="9" t="str">
        <f>IFERROR(__xludf.DUMMYFUNCTION("TEXT(VALUE(REGEXEXTRACT(G39,""^[+-]?[0-9]*\.?[0-9]+""))*100,""0.00"")&amp;"" +/- ""&amp;TEXT(VALUE(REGEXEXTRACT(G39,""[0-9]*\.?[0-9]+$""))*100,""0.00"")"),"18.93 +/- 3.12")</f>
        <v>18.93 +/- 3.12</v>
      </c>
      <c r="P39" s="9" t="str">
        <f>IFERROR(__xludf.DUMMYFUNCTION("TEXT(VALUE(REGEXEXTRACT(H39,""^[+-]?[0-9]*\.?[0-9]+""))*100,""0.00"")&amp;"" +/- ""&amp;TEXT(VALUE(REGEXEXTRACT(H39,""[0-9]*\.?[0-9]+$""))*100,""0.00"")"),"18.34 +/- 3.21")</f>
        <v>18.34 +/- 3.21</v>
      </c>
    </row>
    <row r="40">
      <c r="A40" s="6" t="s">
        <v>752</v>
      </c>
      <c r="B40" s="16" t="s">
        <v>1459</v>
      </c>
      <c r="C40" s="16" t="s">
        <v>1460</v>
      </c>
      <c r="D40" s="16" t="s">
        <v>1461</v>
      </c>
      <c r="E40" s="16" t="s">
        <v>1462</v>
      </c>
      <c r="F40" s="16" t="s">
        <v>1463</v>
      </c>
      <c r="G40" s="16" t="s">
        <v>1464</v>
      </c>
      <c r="H40" s="16" t="s">
        <v>1465</v>
      </c>
      <c r="I40" s="20" t="str">
        <f t="shared" si="3"/>
        <v>AR3→AR4</v>
      </c>
      <c r="J40" s="9" t="str">
        <f>IFERROR(__xludf.DUMMYFUNCTION("TEXT(VALUE(REGEXEXTRACT(B40,""^[+-]?[0-9]*\.?[0-9]+""))*100,""0.00"")&amp;"" +/- ""&amp;TEXT(VALUE(REGEXEXTRACT(B40,""[0-9]*\.?[0-9]+$""))*100,""0.00"")"),"51.33 +/- 3.93")</f>
        <v>51.33 +/- 3.93</v>
      </c>
      <c r="K40" s="9" t="str">
        <f>IFERROR(__xludf.DUMMYFUNCTION("TEXT(VALUE(REGEXEXTRACT(C40,""^[+-]?[0-9]*\.?[0-9]+""))*100,""0.00"")&amp;"" +/- ""&amp;TEXT(VALUE(REGEXEXTRACT(C40,""[0-9]*\.?[0-9]+$""))*100,""0.00"")"),"47.07 +/- 2.38")</f>
        <v>47.07 +/- 2.38</v>
      </c>
      <c r="L40" s="9" t="str">
        <f>IFERROR(__xludf.DUMMYFUNCTION("TEXT(VALUE(REGEXEXTRACT(D40,""^[+-]?[0-9]*\.?[0-9]+""))*100,""0.00"")&amp;"" +/- ""&amp;TEXT(VALUE(REGEXEXTRACT(D40,""[0-9]*\.?[0-9]+$""))*100,""0.00"")"),"10.92 +/- 7.79")</f>
        <v>10.92 +/- 7.79</v>
      </c>
      <c r="M40" s="9" t="str">
        <f>IFERROR(__xludf.DUMMYFUNCTION("TEXT(VALUE(REGEXEXTRACT(E40,""^[+-]?[0-9]*\.?[0-9]+""))*100,""0.00"")&amp;"" +/- ""&amp;TEXT(VALUE(REGEXEXTRACT(E40,""[0-9]*\.?[0-9]+$""))*100,""0.00"")"),"50.69 +/- 2.87")</f>
        <v>50.69 +/- 2.87</v>
      </c>
      <c r="N40" s="9" t="str">
        <f>IFERROR(__xludf.DUMMYFUNCTION("TEXT(VALUE(REGEXEXTRACT(F40,""^[+-]?[0-9]*\.?[0-9]+""))*100,""0.00"")&amp;"" +/- ""&amp;TEXT(VALUE(REGEXEXTRACT(F40,""[0-9]*\.?[0-9]+$""))*100,""0.00"")"),"50.73 +/- 3.57")</f>
        <v>50.73 +/- 3.57</v>
      </c>
      <c r="O40" s="10" t="str">
        <f>IFERROR(__xludf.DUMMYFUNCTION("TEXT(VALUE(REGEXEXTRACT(G40,""^[+-]?[0-9]*\.?[0-9]+""))*100,""0.00"")&amp;"" +/- ""&amp;TEXT(VALUE(REGEXEXTRACT(G40,""[0-9]*\.?[0-9]+$""))*100,""0.00"")"),"52.21 +/- 4.65")</f>
        <v>52.21 +/- 4.65</v>
      </c>
      <c r="P40" s="9" t="str">
        <f>IFERROR(__xludf.DUMMYFUNCTION("TEXT(VALUE(REGEXEXTRACT(H40,""^[+-]?[0-9]*\.?[0-9]+""))*100,""0.00"")&amp;"" +/- ""&amp;TEXT(VALUE(REGEXEXTRACT(H40,""[0-9]*\.?[0-9]+$""))*100,""0.00"")"),"47.36 +/- 8.40")</f>
        <v>47.36 +/- 8.40</v>
      </c>
    </row>
    <row r="41">
      <c r="A41" s="6" t="s">
        <v>771</v>
      </c>
      <c r="B41" s="16" t="s">
        <v>1466</v>
      </c>
      <c r="C41" s="16" t="s">
        <v>1467</v>
      </c>
      <c r="D41" s="16" t="s">
        <v>686</v>
      </c>
      <c r="E41" s="16" t="s">
        <v>1468</v>
      </c>
      <c r="F41" s="16" t="s">
        <v>1469</v>
      </c>
      <c r="G41" s="16" t="s">
        <v>1470</v>
      </c>
      <c r="H41" s="16" t="s">
        <v>1471</v>
      </c>
      <c r="I41" s="20" t="str">
        <f t="shared" si="3"/>
        <v>AR3→AR5</v>
      </c>
      <c r="J41" s="9" t="str">
        <f>IFERROR(__xludf.DUMMYFUNCTION("TEXT(VALUE(REGEXEXTRACT(B41,""^[+-]?[0-9]*\.?[0-9]+""))*100,""0.00"")&amp;"" +/- ""&amp;TEXT(VALUE(REGEXEXTRACT(B41,""[0-9]*\.?[0-9]+$""))*100,""0.00"")"),"72.75 +/- 4.25")</f>
        <v>72.75 +/- 4.25</v>
      </c>
      <c r="K41" s="9" t="str">
        <f>IFERROR(__xludf.DUMMYFUNCTION("TEXT(VALUE(REGEXEXTRACT(C41,""^[+-]?[0-9]*\.?[0-9]+""))*100,""0.00"")&amp;"" +/- ""&amp;TEXT(VALUE(REGEXEXTRACT(C41,""[0-9]*\.?[0-9]+$""))*100,""0.00"")"),"54.06 +/- 2.66")</f>
        <v>54.06 +/- 2.66</v>
      </c>
      <c r="L41" s="9" t="str">
        <f>IFERROR(__xludf.DUMMYFUNCTION("TEXT(VALUE(REGEXEXTRACT(D41,""^[+-]?[0-9]*\.?[0-9]+""))*100,""0.00"")&amp;"" +/- ""&amp;TEXT(VALUE(REGEXEXTRACT(D41,""[0-9]*\.?[0-9]+$""))*100,""0.00"")"),"0.00 +/- 0.00")</f>
        <v>0.00 +/- 0.00</v>
      </c>
      <c r="M41" s="9" t="str">
        <f>IFERROR(__xludf.DUMMYFUNCTION("TEXT(VALUE(REGEXEXTRACT(E41,""^[+-]?[0-9]*\.?[0-9]+""))*100,""0.00"")&amp;"" +/- ""&amp;TEXT(VALUE(REGEXEXTRACT(E41,""[0-9]*\.?[0-9]+$""))*100,""0.00"")"),"57.58 +/- 1.34")</f>
        <v>57.58 +/- 1.34</v>
      </c>
      <c r="N41" s="9" t="str">
        <f>IFERROR(__xludf.DUMMYFUNCTION("TEXT(VALUE(REGEXEXTRACT(F41,""^[+-]?[0-9]*\.?[0-9]+""))*100,""0.00"")&amp;"" +/- ""&amp;TEXT(VALUE(REGEXEXTRACT(F41,""[0-9]*\.?[0-9]+$""))*100,""0.00"")"),"73.42 +/- 5.69")</f>
        <v>73.42 +/- 5.69</v>
      </c>
      <c r="O41" s="10" t="str">
        <f>IFERROR(__xludf.DUMMYFUNCTION("TEXT(VALUE(REGEXEXTRACT(G41,""^[+-]?[0-9]*\.?[0-9]+""))*100,""0.00"")&amp;"" +/- ""&amp;TEXT(VALUE(REGEXEXTRACT(G41,""[0-9]*\.?[0-9]+$""))*100,""0.00"")"),"73.79 +/- 4.98")</f>
        <v>73.79 +/- 4.98</v>
      </c>
      <c r="P41" s="9" t="str">
        <f>IFERROR(__xludf.DUMMYFUNCTION("TEXT(VALUE(REGEXEXTRACT(H41,""^[+-]?[0-9]*\.?[0-9]+""))*100,""0.00"")&amp;"" +/- ""&amp;TEXT(VALUE(REGEXEXTRACT(H41,""[0-9]*\.?[0-9]+$""))*100,""0.00"")"),"47.97 +/- 4.94")</f>
        <v>47.97 +/- 4.94</v>
      </c>
    </row>
    <row r="42">
      <c r="A42" s="6" t="s">
        <v>798</v>
      </c>
      <c r="B42" s="16" t="s">
        <v>1472</v>
      </c>
      <c r="C42" s="16" t="s">
        <v>1473</v>
      </c>
      <c r="D42" s="16" t="s">
        <v>1474</v>
      </c>
      <c r="E42" s="16" t="s">
        <v>686</v>
      </c>
      <c r="F42" s="16" t="s">
        <v>1475</v>
      </c>
      <c r="G42" s="16" t="s">
        <v>1476</v>
      </c>
      <c r="H42" s="16" t="s">
        <v>1477</v>
      </c>
      <c r="I42" s="20" t="str">
        <f t="shared" si="3"/>
        <v>AR3→AR6</v>
      </c>
      <c r="J42" s="9" t="str">
        <f>IFERROR(__xludf.DUMMYFUNCTION("TEXT(VALUE(REGEXEXTRACT(B42,""^[+-]?[0-9]*\.?[0-9]+""))*100,""0.00"")&amp;"" +/- ""&amp;TEXT(VALUE(REGEXEXTRACT(B42,""[0-9]*\.?[0-9]+$""))*100,""0.00"")"),"3.10 +/- 6.20")</f>
        <v>3.10 +/- 6.20</v>
      </c>
      <c r="K42" s="9" t="str">
        <f>IFERROR(__xludf.DUMMYFUNCTION("TEXT(VALUE(REGEXEXTRACT(C42,""^[+-]?[0-9]*\.?[0-9]+""))*100,""0.00"")&amp;"" +/- ""&amp;TEXT(VALUE(REGEXEXTRACT(C42,""[0-9]*\.?[0-9]+$""))*100,""0.00"")"),"26.91 +/- 4.38")</f>
        <v>26.91 +/- 4.38</v>
      </c>
      <c r="L42" s="9" t="str">
        <f>IFERROR(__xludf.DUMMYFUNCTION("TEXT(VALUE(REGEXEXTRACT(D42,""^[+-]?[0-9]*\.?[0-9]+""))*100,""0.00"")&amp;"" +/- ""&amp;TEXT(VALUE(REGEXEXTRACT(D42,""[0-9]*\.?[0-9]+$""))*100,""0.00"")"),"2.92 +/- 5.38")</f>
        <v>2.92 +/- 5.38</v>
      </c>
      <c r="M42" s="9" t="str">
        <f>IFERROR(__xludf.DUMMYFUNCTION("TEXT(VALUE(REGEXEXTRACT(E42,""^[+-]?[0-9]*\.?[0-9]+""))*100,""0.00"")&amp;"" +/- ""&amp;TEXT(VALUE(REGEXEXTRACT(E42,""[0-9]*\.?[0-9]+$""))*100,""0.00"")"),"0.00 +/- 0.00")</f>
        <v>0.00 +/- 0.00</v>
      </c>
      <c r="N42" s="9" t="str">
        <f>IFERROR(__xludf.DUMMYFUNCTION("TEXT(VALUE(REGEXEXTRACT(F42,""^[+-]?[0-9]*\.?[0-9]+""))*100,""0.00"")&amp;"" +/- ""&amp;TEXT(VALUE(REGEXEXTRACT(F42,""[0-9]*\.?[0-9]+$""))*100,""0.00"")"),"4.44 +/- 7.00")</f>
        <v>4.44 +/- 7.00</v>
      </c>
      <c r="O42" s="9" t="str">
        <f>IFERROR(__xludf.DUMMYFUNCTION("TEXT(VALUE(REGEXEXTRACT(G42,""^[+-]?[0-9]*\.?[0-9]+""))*100,""0.00"")&amp;"" +/- ""&amp;TEXT(VALUE(REGEXEXTRACT(G42,""[0-9]*\.?[0-9]+$""))*100,""0.00"")"),"2.65 +/- 6.00")</f>
        <v>2.65 +/- 6.00</v>
      </c>
      <c r="P42" s="9" t="str">
        <f>IFERROR(__xludf.DUMMYFUNCTION("TEXT(VALUE(REGEXEXTRACT(H42,""^[+-]?[0-9]*\.?[0-9]+""))*100,""0.00"")&amp;"" +/- ""&amp;TEXT(VALUE(REGEXEXTRACT(H42,""[0-9]*\.?[0-9]+$""))*100,""0.00"")"),"18.65 +/- 9.26")</f>
        <v>18.65 +/- 9.26</v>
      </c>
    </row>
    <row r="43">
      <c r="A43" s="6" t="s">
        <v>806</v>
      </c>
      <c r="B43" s="16" t="s">
        <v>1478</v>
      </c>
      <c r="C43" s="16" t="s">
        <v>1479</v>
      </c>
      <c r="D43" s="16" t="s">
        <v>1480</v>
      </c>
      <c r="E43" s="16" t="s">
        <v>1481</v>
      </c>
      <c r="F43" s="16" t="s">
        <v>1482</v>
      </c>
      <c r="G43" s="16" t="s">
        <v>1483</v>
      </c>
      <c r="H43" s="16" t="s">
        <v>1484</v>
      </c>
      <c r="I43" s="20" t="str">
        <f t="shared" si="3"/>
        <v>AR4→AR1</v>
      </c>
      <c r="J43" s="9" t="str">
        <f>IFERROR(__xludf.DUMMYFUNCTION("TEXT(VALUE(REGEXEXTRACT(B43,""^[+-]?[0-9]*\.?[0-9]+""))*100,""0.00"")&amp;"" +/- ""&amp;TEXT(VALUE(REGEXEXTRACT(B43,""[0-9]*\.?[0-9]+$""))*100,""0.00"")"),"17.07 +/- 1.92")</f>
        <v>17.07 +/- 1.92</v>
      </c>
      <c r="K43" s="9" t="str">
        <f>IFERROR(__xludf.DUMMYFUNCTION("TEXT(VALUE(REGEXEXTRACT(C43,""^[+-]?[0-9]*\.?[0-9]+""))*100,""0.00"")&amp;"" +/- ""&amp;TEXT(VALUE(REGEXEXTRACT(C43,""[0-9]*\.?[0-9]+$""))*100,""0.00"")"),"24.37 +/- 0.81")</f>
        <v>24.37 +/- 0.81</v>
      </c>
      <c r="L43" s="9" t="str">
        <f>IFERROR(__xludf.DUMMYFUNCTION("TEXT(VALUE(REGEXEXTRACT(D43,""^[+-]?[0-9]*\.?[0-9]+""))*100,""0.00"")&amp;"" +/- ""&amp;TEXT(VALUE(REGEXEXTRACT(D43,""[0-9]*\.?[0-9]+$""))*100,""0.00"")"),"14.29 +/- 5.26")</f>
        <v>14.29 +/- 5.26</v>
      </c>
      <c r="M43" s="10" t="str">
        <f>IFERROR(__xludf.DUMMYFUNCTION("TEXT(VALUE(REGEXEXTRACT(E43,""^[+-]?[0-9]*\.?[0-9]+""))*100,""0.00"")&amp;"" +/- ""&amp;TEXT(VALUE(REGEXEXTRACT(E43,""[0-9]*\.?[0-9]+$""))*100,""0.00"")"),"18.87 +/- 1.72")</f>
        <v>18.87 +/- 1.72</v>
      </c>
      <c r="N43" s="9" t="str">
        <f>IFERROR(__xludf.DUMMYFUNCTION("TEXT(VALUE(REGEXEXTRACT(F43,""^[+-]?[0-9]*\.?[0-9]+""))*100,""0.00"")&amp;"" +/- ""&amp;TEXT(VALUE(REGEXEXTRACT(F43,""[0-9]*\.?[0-9]+$""))*100,""0.00"")"),"18.23 +/- 2.80")</f>
        <v>18.23 +/- 2.80</v>
      </c>
      <c r="O43" s="9" t="str">
        <f>IFERROR(__xludf.DUMMYFUNCTION("TEXT(VALUE(REGEXEXTRACT(G43,""^[+-]?[0-9]*\.?[0-9]+""))*100,""0.00"")&amp;"" +/- ""&amp;TEXT(VALUE(REGEXEXTRACT(G43,""[0-9]*\.?[0-9]+$""))*100,""0.00"")"),"18.47 +/- 2.38")</f>
        <v>18.47 +/- 2.38</v>
      </c>
      <c r="P43" s="9" t="str">
        <f>IFERROR(__xludf.DUMMYFUNCTION("TEXT(VALUE(REGEXEXTRACT(H43,""^[+-]?[0-9]*\.?[0-9]+""))*100,""0.00"")&amp;"" +/- ""&amp;TEXT(VALUE(REGEXEXTRACT(H43,""[0-9]*\.?[0-9]+$""))*100,""0.00"")"),"17.73 +/- 3.42")</f>
        <v>17.73 +/- 3.42</v>
      </c>
    </row>
    <row r="44">
      <c r="A44" s="6" t="s">
        <v>819</v>
      </c>
      <c r="B44" s="16" t="s">
        <v>1485</v>
      </c>
      <c r="C44" s="16" t="s">
        <v>1486</v>
      </c>
      <c r="D44" s="16" t="s">
        <v>1487</v>
      </c>
      <c r="E44" s="16" t="s">
        <v>1488</v>
      </c>
      <c r="F44" s="16" t="s">
        <v>1489</v>
      </c>
      <c r="G44" s="16" t="s">
        <v>1490</v>
      </c>
      <c r="H44" s="16" t="s">
        <v>1491</v>
      </c>
      <c r="I44" s="20" t="str">
        <f t="shared" si="3"/>
        <v>AR4→AR3</v>
      </c>
      <c r="J44" s="9" t="str">
        <f>IFERROR(__xludf.DUMMYFUNCTION("TEXT(VALUE(REGEXEXTRACT(B44,""^[+-]?[0-9]*\.?[0-9]+""))*100,""0.00"")&amp;"" +/- ""&amp;TEXT(VALUE(REGEXEXTRACT(B44,""[0-9]*\.?[0-9]+$""))*100,""0.00"")"),"55.69 +/- 3.43")</f>
        <v>55.69 +/- 3.43</v>
      </c>
      <c r="K44" s="9" t="str">
        <f>IFERROR(__xludf.DUMMYFUNCTION("TEXT(VALUE(REGEXEXTRACT(C44,""^[+-]?[0-9]*\.?[0-9]+""))*100,""0.00"")&amp;"" +/- ""&amp;TEXT(VALUE(REGEXEXTRACT(C44,""[0-9]*\.?[0-9]+$""))*100,""0.00"")"),"63.93 +/- 5.82")</f>
        <v>63.93 +/- 5.82</v>
      </c>
      <c r="L44" s="9" t="str">
        <f>IFERROR(__xludf.DUMMYFUNCTION("TEXT(VALUE(REGEXEXTRACT(D44,""^[+-]?[0-9]*\.?[0-9]+""))*100,""0.00"")&amp;"" +/- ""&amp;TEXT(VALUE(REGEXEXTRACT(D44,""[0-9]*\.?[0-9]+$""))*100,""0.00"")"),"45.07 +/- 10.81")</f>
        <v>45.07 +/- 10.81</v>
      </c>
      <c r="M44" s="10" t="str">
        <f>IFERROR(__xludf.DUMMYFUNCTION("TEXT(VALUE(REGEXEXTRACT(E44,""^[+-]?[0-9]*\.?[0-9]+""))*100,""0.00"")&amp;"" +/- ""&amp;TEXT(VALUE(REGEXEXTRACT(E44,""[0-9]*\.?[0-9]+$""))*100,""0.00"")"),"57.95 +/- 5.89")</f>
        <v>57.95 +/- 5.89</v>
      </c>
      <c r="N44" s="9" t="str">
        <f>IFERROR(__xludf.DUMMYFUNCTION("TEXT(VALUE(REGEXEXTRACT(F44,""^[+-]?[0-9]*\.?[0-9]+""))*100,""0.00"")&amp;"" +/- ""&amp;TEXT(VALUE(REGEXEXTRACT(F44,""[0-9]*\.?[0-9]+$""))*100,""0.00"")"),"38.66 +/- 4.27")</f>
        <v>38.66 +/- 4.27</v>
      </c>
      <c r="O44" s="9" t="str">
        <f>IFERROR(__xludf.DUMMYFUNCTION("TEXT(VALUE(REGEXEXTRACT(G44,""^[+-]?[0-9]*\.?[0-9]+""))*100,""0.00"")&amp;"" +/- ""&amp;TEXT(VALUE(REGEXEXTRACT(G44,""[0-9]*\.?[0-9]+$""))*100,""0.00"")"),"43.37 +/- 4.94")</f>
        <v>43.37 +/- 4.94</v>
      </c>
      <c r="P44" s="9" t="str">
        <f>IFERROR(__xludf.DUMMYFUNCTION("TEXT(VALUE(REGEXEXTRACT(H44,""^[+-]?[0-9]*\.?[0-9]+""))*100,""0.00"")&amp;"" +/- ""&amp;TEXT(VALUE(REGEXEXTRACT(H44,""[0-9]*\.?[0-9]+$""))*100,""0.00"")"),"29.15 +/- 4.33")</f>
        <v>29.15 +/- 4.33</v>
      </c>
    </row>
    <row r="45">
      <c r="A45" s="6" t="s">
        <v>833</v>
      </c>
      <c r="B45" s="16" t="s">
        <v>1492</v>
      </c>
      <c r="C45" s="16" t="s">
        <v>1493</v>
      </c>
      <c r="D45" s="16" t="s">
        <v>1494</v>
      </c>
      <c r="E45" s="16" t="s">
        <v>1495</v>
      </c>
      <c r="F45" s="16" t="s">
        <v>1496</v>
      </c>
      <c r="G45" s="16" t="s">
        <v>1497</v>
      </c>
      <c r="H45" s="16" t="s">
        <v>1498</v>
      </c>
      <c r="I45" s="20" t="str">
        <f t="shared" si="3"/>
        <v>AR4→AR5</v>
      </c>
      <c r="J45" s="10" t="str">
        <f>IFERROR(__xludf.DUMMYFUNCTION("TEXT(VALUE(REGEXEXTRACT(B45,""^[+-]?[0-9]*\.?[0-9]+""))*100,""0.00"")&amp;"" +/- ""&amp;TEXT(VALUE(REGEXEXTRACT(B45,""[0-9]*\.?[0-9]+$""))*100,""0.00"")"),"77.57 +/- 3.74")</f>
        <v>77.57 +/- 3.74</v>
      </c>
      <c r="K45" s="9" t="str">
        <f>IFERROR(__xludf.DUMMYFUNCTION("TEXT(VALUE(REGEXEXTRACT(C45,""^[+-]?[0-9]*\.?[0-9]+""))*100,""0.00"")&amp;"" +/- ""&amp;TEXT(VALUE(REGEXEXTRACT(C45,""[0-9]*\.?[0-9]+$""))*100,""0.00"")"),"61.08 +/- 9.88")</f>
        <v>61.08 +/- 9.88</v>
      </c>
      <c r="L45" s="9" t="str">
        <f>IFERROR(__xludf.DUMMYFUNCTION("TEXT(VALUE(REGEXEXTRACT(D45,""^[+-]?[0-9]*\.?[0-9]+""))*100,""0.00"")&amp;"" +/- ""&amp;TEXT(VALUE(REGEXEXTRACT(D45,""[0-9]*\.?[0-9]+$""))*100,""0.00"")"),"61.90 +/- 10.41")</f>
        <v>61.90 +/- 10.41</v>
      </c>
      <c r="M45" s="9" t="str">
        <f>IFERROR(__xludf.DUMMYFUNCTION("TEXT(VALUE(REGEXEXTRACT(E45,""^[+-]?[0-9]*\.?[0-9]+""))*100,""0.00"")&amp;"" +/- ""&amp;TEXT(VALUE(REGEXEXTRACT(E45,""[0-9]*\.?[0-9]+$""))*100,""0.00"")"),"74.73 +/- 7.59")</f>
        <v>74.73 +/- 7.59</v>
      </c>
      <c r="N45" s="9" t="str">
        <f>IFERROR(__xludf.DUMMYFUNCTION("TEXT(VALUE(REGEXEXTRACT(F45,""^[+-]?[0-9]*\.?[0-9]+""))*100,""0.00"")&amp;"" +/- ""&amp;TEXT(VALUE(REGEXEXTRACT(F45,""[0-9]*\.?[0-9]+$""))*100,""0.00"")"),"71.27 +/- 6.04")</f>
        <v>71.27 +/- 6.04</v>
      </c>
      <c r="O45" s="9" t="str">
        <f>IFERROR(__xludf.DUMMYFUNCTION("TEXT(VALUE(REGEXEXTRACT(G45,""^[+-]?[0-9]*\.?[0-9]+""))*100,""0.00"")&amp;"" +/- ""&amp;TEXT(VALUE(REGEXEXTRACT(G45,""[0-9]*\.?[0-9]+$""))*100,""0.00"")"),"75.94 +/- 5.50")</f>
        <v>75.94 +/- 5.50</v>
      </c>
      <c r="P45" s="9" t="str">
        <f>IFERROR(__xludf.DUMMYFUNCTION("TEXT(VALUE(REGEXEXTRACT(H45,""^[+-]?[0-9]*\.?[0-9]+""))*100,""0.00"")&amp;"" +/- ""&amp;TEXT(VALUE(REGEXEXTRACT(H45,""[0-9]*\.?[0-9]+$""))*100,""0.00"")"),"49.70 +/- 10.47")</f>
        <v>49.70 +/- 10.47</v>
      </c>
    </row>
    <row r="46">
      <c r="A46" s="6" t="s">
        <v>849</v>
      </c>
      <c r="B46" s="16" t="s">
        <v>1499</v>
      </c>
      <c r="C46" s="16" t="s">
        <v>1500</v>
      </c>
      <c r="D46" s="16" t="s">
        <v>1501</v>
      </c>
      <c r="E46" s="16" t="s">
        <v>1502</v>
      </c>
      <c r="F46" s="16" t="s">
        <v>1503</v>
      </c>
      <c r="G46" s="16" t="s">
        <v>1504</v>
      </c>
      <c r="H46" s="16" t="s">
        <v>1505</v>
      </c>
      <c r="I46" s="20" t="str">
        <f t="shared" si="3"/>
        <v>AR4→AR6</v>
      </c>
      <c r="J46" s="9" t="str">
        <f>IFERROR(__xludf.DUMMYFUNCTION("TEXT(VALUE(REGEXEXTRACT(B46,""^[+-]?[0-9]*\.?[0-9]+""))*100,""0.00"")&amp;"" +/- ""&amp;TEXT(VALUE(REGEXEXTRACT(B46,""[0-9]*\.?[0-9]+$""))*100,""0.00"")"),"27.04 +/- 0.71")</f>
        <v>27.04 +/- 0.71</v>
      </c>
      <c r="K46" s="9" t="str">
        <f>IFERROR(__xludf.DUMMYFUNCTION("TEXT(VALUE(REGEXEXTRACT(C46,""^[+-]?[0-9]*\.?[0-9]+""))*100,""0.00"")&amp;"" +/- ""&amp;TEXT(VALUE(REGEXEXTRACT(C46,""[0-9]*\.?[0-9]+$""))*100,""0.00"")"),"27.71 +/- 3.47")</f>
        <v>27.71 +/- 3.47</v>
      </c>
      <c r="L46" s="9" t="str">
        <f>IFERROR(__xludf.DUMMYFUNCTION("TEXT(VALUE(REGEXEXTRACT(D46,""^[+-]?[0-9]*\.?[0-9]+""))*100,""0.00"")&amp;"" +/- ""&amp;TEXT(VALUE(REGEXEXTRACT(D46,""[0-9]*\.?[0-9]+$""))*100,""0.00"")"),"23.47 +/- 9.11")</f>
        <v>23.47 +/- 9.11</v>
      </c>
      <c r="M46" s="9" t="str">
        <f>IFERROR(__xludf.DUMMYFUNCTION("TEXT(VALUE(REGEXEXTRACT(E46,""^[+-]?[0-9]*\.?[0-9]+""))*100,""0.00"")&amp;"" +/- ""&amp;TEXT(VALUE(REGEXEXTRACT(E46,""[0-9]*\.?[0-9]+$""))*100,""0.00"")"),"28.19 +/- 0.71")</f>
        <v>28.19 +/- 0.71</v>
      </c>
      <c r="N46" s="9" t="str">
        <f>IFERROR(__xludf.DUMMYFUNCTION("TEXT(VALUE(REGEXEXTRACT(F46,""^[+-]?[0-9]*\.?[0-9]+""))*100,""0.00"")&amp;"" +/- ""&amp;TEXT(VALUE(REGEXEXTRACT(F46,""[0-9]*\.?[0-9]+$""))*100,""0.00"")"),"29.14 +/- 1.87")</f>
        <v>29.14 +/- 1.87</v>
      </c>
      <c r="O46" s="10" t="str">
        <f>IFERROR(__xludf.DUMMYFUNCTION("TEXT(VALUE(REGEXEXTRACT(G46,""^[+-]?[0-9]*\.?[0-9]+""))*100,""0.00"")&amp;"" +/- ""&amp;TEXT(VALUE(REGEXEXTRACT(G46,""[0-9]*\.?[0-9]+$""))*100,""0.00"")"),"29.30 +/- 1.94")</f>
        <v>29.30 +/- 1.94</v>
      </c>
      <c r="P46" s="9" t="str">
        <f>IFERROR(__xludf.DUMMYFUNCTION("TEXT(VALUE(REGEXEXTRACT(H46,""^[+-]?[0-9]*\.?[0-9]+""))*100,""0.00"")&amp;"" +/- ""&amp;TEXT(VALUE(REGEXEXTRACT(H46,""[0-9]*\.?[0-9]+$""))*100,""0.00"")"),"27.66 +/- 2.25")</f>
        <v>27.66 +/- 2.25</v>
      </c>
    </row>
    <row r="47">
      <c r="A47" s="6" t="s">
        <v>864</v>
      </c>
      <c r="B47" s="16" t="s">
        <v>1506</v>
      </c>
      <c r="C47" s="16" t="s">
        <v>1507</v>
      </c>
      <c r="D47" s="16" t="s">
        <v>1508</v>
      </c>
      <c r="E47" s="16" t="s">
        <v>1509</v>
      </c>
      <c r="F47" s="16" t="s">
        <v>1510</v>
      </c>
      <c r="G47" s="16" t="s">
        <v>1511</v>
      </c>
      <c r="H47" s="16" t="s">
        <v>1512</v>
      </c>
      <c r="I47" s="20" t="str">
        <f t="shared" si="3"/>
        <v>AR5→AR1</v>
      </c>
      <c r="J47" s="9" t="str">
        <f>IFERROR(__xludf.DUMMYFUNCTION("TEXT(VALUE(REGEXEXTRACT(B47,""^[+-]?[0-9]*\.?[0-9]+""))*100,""0.00"")&amp;"" +/- ""&amp;TEXT(VALUE(REGEXEXTRACT(B47,""[0-9]*\.?[0-9]+$""))*100,""0.00"")"),"18.64 +/- 1.66")</f>
        <v>18.64 +/- 1.66</v>
      </c>
      <c r="K47" s="10" t="str">
        <f>IFERROR(__xludf.DUMMYFUNCTION("TEXT(VALUE(REGEXEXTRACT(C47,""^[+-]?[0-9]*\.?[0-9]+""))*100,""0.00"")&amp;"" +/- ""&amp;TEXT(VALUE(REGEXEXTRACT(C47,""[0-9]*\.?[0-9]+$""))*100,""0.00"")"),"24.72 +/- 1.79")</f>
        <v>24.72 +/- 1.79</v>
      </c>
      <c r="L47" s="9" t="str">
        <f>IFERROR(__xludf.DUMMYFUNCTION("TEXT(VALUE(REGEXEXTRACT(D47,""^[+-]?[0-9]*\.?[0-9]+""))*100,""0.00"")&amp;"" +/- ""&amp;TEXT(VALUE(REGEXEXTRACT(D47,""[0-9]*\.?[0-9]+$""))*100,""0.00"")"),"4.99 +/- 7.47")</f>
        <v>4.99 +/- 7.47</v>
      </c>
      <c r="M47" s="9" t="str">
        <f>IFERROR(__xludf.DUMMYFUNCTION("TEXT(VALUE(REGEXEXTRACT(E47,""^[+-]?[0-9]*\.?[0-9]+""))*100,""0.00"")&amp;"" +/- ""&amp;TEXT(VALUE(REGEXEXTRACT(E47,""[0-9]*\.?[0-9]+$""))*100,""0.00"")"),"19.75 +/- 1.37")</f>
        <v>19.75 +/- 1.37</v>
      </c>
      <c r="N47" s="9" t="str">
        <f>IFERROR(__xludf.DUMMYFUNCTION("TEXT(VALUE(REGEXEXTRACT(F47,""^[+-]?[0-9]*\.?[0-9]+""))*100,""0.00"")&amp;"" +/- ""&amp;TEXT(VALUE(REGEXEXTRACT(F47,""[0-9]*\.?[0-9]+$""))*100,""0.00"")"),"18.30 +/- 2.40")</f>
        <v>18.30 +/- 2.40</v>
      </c>
      <c r="O47" s="9" t="str">
        <f>IFERROR(__xludf.DUMMYFUNCTION("TEXT(VALUE(REGEXEXTRACT(G47,""^[+-]?[0-9]*\.?[0-9]+""))*100,""0.00"")&amp;"" +/- ""&amp;TEXT(VALUE(REGEXEXTRACT(G47,""[0-9]*\.?[0-9]+$""))*100,""0.00"")"),"17.87 +/- 1.53")</f>
        <v>17.87 +/- 1.53</v>
      </c>
      <c r="P47" s="9" t="str">
        <f>IFERROR(__xludf.DUMMYFUNCTION("TEXT(VALUE(REGEXEXTRACT(H47,""^[+-]?[0-9]*\.?[0-9]+""))*100,""0.00"")&amp;"" +/- ""&amp;TEXT(VALUE(REGEXEXTRACT(H47,""[0-9]*\.?[0-9]+$""))*100,""0.00"")"),"18.01 +/- 1.16")</f>
        <v>18.01 +/- 1.16</v>
      </c>
    </row>
    <row r="48">
      <c r="A48" s="6" t="s">
        <v>878</v>
      </c>
      <c r="B48" s="16" t="s">
        <v>1513</v>
      </c>
      <c r="C48" s="16" t="s">
        <v>1514</v>
      </c>
      <c r="D48" s="16" t="s">
        <v>1515</v>
      </c>
      <c r="E48" s="16" t="s">
        <v>1516</v>
      </c>
      <c r="F48" s="16" t="s">
        <v>1517</v>
      </c>
      <c r="G48" s="16" t="s">
        <v>1518</v>
      </c>
      <c r="H48" s="16" t="s">
        <v>1519</v>
      </c>
      <c r="I48" s="20" t="str">
        <f t="shared" si="3"/>
        <v>AR5→AR3</v>
      </c>
      <c r="J48" s="9" t="str">
        <f>IFERROR(__xludf.DUMMYFUNCTION("TEXT(VALUE(REGEXEXTRACT(B48,""^[+-]?[0-9]*\.?[0-9]+""))*100,""0.00"")&amp;"" +/- ""&amp;TEXT(VALUE(REGEXEXTRACT(B48,""[0-9]*\.?[0-9]+$""))*100,""0.00"")"),"48.42 +/- 4.34")</f>
        <v>48.42 +/- 4.34</v>
      </c>
      <c r="K48" s="10" t="str">
        <f>IFERROR(__xludf.DUMMYFUNCTION("TEXT(VALUE(REGEXEXTRACT(C48,""^[+-]?[0-9]*\.?[0-9]+""))*100,""0.00"")&amp;"" +/- ""&amp;TEXT(VALUE(REGEXEXTRACT(C48,""[0-9]*\.?[0-9]+$""))*100,""0.00"")"),"62.16 +/- 2.46")</f>
        <v>62.16 +/- 2.46</v>
      </c>
      <c r="L48" s="9" t="str">
        <f>IFERROR(__xludf.DUMMYFUNCTION("TEXT(VALUE(REGEXEXTRACT(D48,""^[+-]?[0-9]*\.?[0-9]+""))*100,""0.00"")&amp;"" +/- ""&amp;TEXT(VALUE(REGEXEXTRACT(D48,""[0-9]*\.?[0-9]+$""))*100,""0.00"")"),"8.59 +/- 11.94")</f>
        <v>8.59 +/- 11.94</v>
      </c>
      <c r="M48" s="9" t="str">
        <f>IFERROR(__xludf.DUMMYFUNCTION("TEXT(VALUE(REGEXEXTRACT(E48,""^[+-]?[0-9]*\.?[0-9]+""))*100,""0.00"")&amp;"" +/- ""&amp;TEXT(VALUE(REGEXEXTRACT(E48,""[0-9]*\.?[0-9]+$""))*100,""0.00"")"),"49.73 +/- 4.22")</f>
        <v>49.73 +/- 4.22</v>
      </c>
      <c r="N48" s="9" t="str">
        <f>IFERROR(__xludf.DUMMYFUNCTION("TEXT(VALUE(REGEXEXTRACT(F48,""^[+-]?[0-9]*\.?[0-9]+""))*100,""0.00"")&amp;"" +/- ""&amp;TEXT(VALUE(REGEXEXTRACT(F48,""[0-9]*\.?[0-9]+$""))*100,""0.00"")"),"44.10 +/- 3.38")</f>
        <v>44.10 +/- 3.38</v>
      </c>
      <c r="O48" s="9" t="str">
        <f>IFERROR(__xludf.DUMMYFUNCTION("TEXT(VALUE(REGEXEXTRACT(G48,""^[+-]?[0-9]*\.?[0-9]+""))*100,""0.00"")&amp;"" +/- ""&amp;TEXT(VALUE(REGEXEXTRACT(G48,""[0-9]*\.?[0-9]+$""))*100,""0.00"")"),"46.44 +/- 3.80")</f>
        <v>46.44 +/- 3.80</v>
      </c>
      <c r="P48" s="9" t="str">
        <f>IFERROR(__xludf.DUMMYFUNCTION("TEXT(VALUE(REGEXEXTRACT(H48,""^[+-]?[0-9]*\.?[0-9]+""))*100,""0.00"")&amp;"" +/- ""&amp;TEXT(VALUE(REGEXEXTRACT(H48,""[0-9]*\.?[0-9]+$""))*100,""0.00"")"),"47.02 +/- 4.09")</f>
        <v>47.02 +/- 4.09</v>
      </c>
    </row>
    <row r="49">
      <c r="A49" s="6" t="s">
        <v>892</v>
      </c>
      <c r="B49" s="16" t="s">
        <v>1520</v>
      </c>
      <c r="C49" s="16" t="s">
        <v>1521</v>
      </c>
      <c r="D49" s="16" t="s">
        <v>1522</v>
      </c>
      <c r="E49" s="16" t="s">
        <v>1523</v>
      </c>
      <c r="F49" s="16" t="s">
        <v>1524</v>
      </c>
      <c r="G49" s="16" t="s">
        <v>1525</v>
      </c>
      <c r="H49" s="16" t="s">
        <v>1526</v>
      </c>
      <c r="I49" s="20" t="str">
        <f t="shared" si="3"/>
        <v>AR5→AR4</v>
      </c>
      <c r="J49" s="9" t="str">
        <f>IFERROR(__xludf.DUMMYFUNCTION("TEXT(VALUE(REGEXEXTRACT(B49,""^[+-]?[0-9]*\.?[0-9]+""))*100,""0.00"")&amp;"" +/- ""&amp;TEXT(VALUE(REGEXEXTRACT(B49,""[0-9]*\.?[0-9]+$""))*100,""0.00"")"),"52.78 +/- 2.37")</f>
        <v>52.78 +/- 2.37</v>
      </c>
      <c r="K49" s="10" t="str">
        <f>IFERROR(__xludf.DUMMYFUNCTION("TEXT(VALUE(REGEXEXTRACT(C49,""^[+-]?[0-9]*\.?[0-9]+""))*100,""0.00"")&amp;"" +/- ""&amp;TEXT(VALUE(REGEXEXTRACT(C49,""[0-9]*\.?[0-9]+$""))*100,""0.00"")"),"54.15 +/- 2.08")</f>
        <v>54.15 +/- 2.08</v>
      </c>
      <c r="L49" s="9" t="str">
        <f>IFERROR(__xludf.DUMMYFUNCTION("TEXT(VALUE(REGEXEXTRACT(D49,""^[+-]?[0-9]*\.?[0-9]+""))*100,""0.00"")&amp;"" +/- ""&amp;TEXT(VALUE(REGEXEXTRACT(D49,""[0-9]*\.?[0-9]+$""))*100,""0.00"")"),"1.59 +/- 3.61")</f>
        <v>1.59 +/- 3.61</v>
      </c>
      <c r="M49" s="9" t="str">
        <f>IFERROR(__xludf.DUMMYFUNCTION("TEXT(VALUE(REGEXEXTRACT(E49,""^[+-]?[0-9]*\.?[0-9]+""))*100,""0.00"")&amp;"" +/- ""&amp;TEXT(VALUE(REGEXEXTRACT(E49,""[0-9]*\.?[0-9]+$""))*100,""0.00"")"),"53.15 +/- 2.49")</f>
        <v>53.15 +/- 2.49</v>
      </c>
      <c r="N49" s="9" t="str">
        <f>IFERROR(__xludf.DUMMYFUNCTION("TEXT(VALUE(REGEXEXTRACT(F49,""^[+-]?[0-9]*\.?[0-9]+""))*100,""0.00"")&amp;"" +/- ""&amp;TEXT(VALUE(REGEXEXTRACT(F49,""[0-9]*\.?[0-9]+$""))*100,""0.00"")"),"54.33 +/- 3.24")</f>
        <v>54.33 +/- 3.24</v>
      </c>
      <c r="O49" s="9" t="str">
        <f>IFERROR(__xludf.DUMMYFUNCTION("TEXT(VALUE(REGEXEXTRACT(G49,""^[+-]?[0-9]*\.?[0-9]+""))*100,""0.00"")&amp;"" +/- ""&amp;TEXT(VALUE(REGEXEXTRACT(G49,""[0-9]*\.?[0-9]+$""))*100,""0.00"")"),"53.17 +/- 2.51")</f>
        <v>53.17 +/- 2.51</v>
      </c>
      <c r="P49" s="9" t="str">
        <f>IFERROR(__xludf.DUMMYFUNCTION("TEXT(VALUE(REGEXEXTRACT(H49,""^[+-]?[0-9]*\.?[0-9]+""))*100,""0.00"")&amp;"" +/- ""&amp;TEXT(VALUE(REGEXEXTRACT(H49,""[0-9]*\.?[0-9]+$""))*100,""0.00"")"),"50.96 +/- 2.06")</f>
        <v>50.96 +/- 2.06</v>
      </c>
    </row>
    <row r="50">
      <c r="A50" s="6" t="s">
        <v>907</v>
      </c>
      <c r="B50" s="16" t="s">
        <v>1527</v>
      </c>
      <c r="C50" s="16" t="s">
        <v>1528</v>
      </c>
      <c r="D50" s="16" t="s">
        <v>686</v>
      </c>
      <c r="E50" s="16" t="s">
        <v>1529</v>
      </c>
      <c r="F50" s="16" t="s">
        <v>1530</v>
      </c>
      <c r="G50" s="16" t="s">
        <v>1531</v>
      </c>
      <c r="H50" s="16" t="s">
        <v>1532</v>
      </c>
      <c r="I50" s="20" t="str">
        <f t="shared" si="3"/>
        <v>AR5→AR6</v>
      </c>
      <c r="J50" s="9" t="str">
        <f>IFERROR(__xludf.DUMMYFUNCTION("TEXT(VALUE(REGEXEXTRACT(B50,""^[+-]?[0-9]*\.?[0-9]+""))*100,""0.00"")&amp;"" +/- ""&amp;TEXT(VALUE(REGEXEXTRACT(B50,""[0-9]*\.?[0-9]+$""))*100,""0.00"")"),"33.97 +/- 4.73")</f>
        <v>33.97 +/- 4.73</v>
      </c>
      <c r="K50" s="10" t="str">
        <f>IFERROR(__xludf.DUMMYFUNCTION("TEXT(VALUE(REGEXEXTRACT(C50,""^[+-]?[0-9]*\.?[0-9]+""))*100,""0.00"")&amp;"" +/- ""&amp;TEXT(VALUE(REGEXEXTRACT(C50,""[0-9]*\.?[0-9]+$""))*100,""0.00"")"),"39.84 +/- 1.08")</f>
        <v>39.84 +/- 1.08</v>
      </c>
      <c r="L50" s="9" t="str">
        <f>IFERROR(__xludf.DUMMYFUNCTION("TEXT(VALUE(REGEXEXTRACT(D50,""^[+-]?[0-9]*\.?[0-9]+""))*100,""0.00"")&amp;"" +/- ""&amp;TEXT(VALUE(REGEXEXTRACT(D50,""[0-9]*\.?[0-9]+$""))*100,""0.00"")"),"0.00 +/- 0.00")</f>
        <v>0.00 +/- 0.00</v>
      </c>
      <c r="M50" s="9" t="str">
        <f>IFERROR(__xludf.DUMMYFUNCTION("TEXT(VALUE(REGEXEXTRACT(E50,""^[+-]?[0-9]*\.?[0-9]+""))*100,""0.00"")&amp;"" +/- ""&amp;TEXT(VALUE(REGEXEXTRACT(E50,""[0-9]*\.?[0-9]+$""))*100,""0.00"")"),"29.47 +/- 3.34")</f>
        <v>29.47 +/- 3.34</v>
      </c>
      <c r="N50" s="9" t="str">
        <f>IFERROR(__xludf.DUMMYFUNCTION("TEXT(VALUE(REGEXEXTRACT(F50,""^[+-]?[0-9]*\.?[0-9]+""))*100,""0.00"")&amp;"" +/- ""&amp;TEXT(VALUE(REGEXEXTRACT(F50,""[0-9]*\.?[0-9]+$""))*100,""0.00"")"),"29.04 +/- 2.66")</f>
        <v>29.04 +/- 2.66</v>
      </c>
      <c r="O50" s="9" t="str">
        <f>IFERROR(__xludf.DUMMYFUNCTION("TEXT(VALUE(REGEXEXTRACT(G50,""^[+-]?[0-9]*\.?[0-9]+""))*100,""0.00"")&amp;"" +/- ""&amp;TEXT(VALUE(REGEXEXTRACT(G50,""[0-9]*\.?[0-9]+$""))*100,""0.00"")"),"32.12 +/- 4.08")</f>
        <v>32.12 +/- 4.08</v>
      </c>
      <c r="P50" s="9" t="str">
        <f>IFERROR(__xludf.DUMMYFUNCTION("TEXT(VALUE(REGEXEXTRACT(H50,""^[+-]?[0-9]*\.?[0-9]+""))*100,""0.00"")&amp;"" +/- ""&amp;TEXT(VALUE(REGEXEXTRACT(H50,""[0-9]*\.?[0-9]+$""))*100,""0.00"")"),"31.45 +/- 3.96")</f>
        <v>31.45 +/- 3.96</v>
      </c>
    </row>
    <row r="51">
      <c r="A51" s="6" t="s">
        <v>922</v>
      </c>
      <c r="B51" s="16" t="s">
        <v>1533</v>
      </c>
      <c r="C51" s="16" t="s">
        <v>1534</v>
      </c>
      <c r="D51" s="16" t="s">
        <v>686</v>
      </c>
      <c r="E51" s="16" t="s">
        <v>1535</v>
      </c>
      <c r="F51" s="16" t="s">
        <v>1536</v>
      </c>
      <c r="G51" s="16" t="s">
        <v>1537</v>
      </c>
      <c r="H51" s="16" t="s">
        <v>1538</v>
      </c>
      <c r="I51" s="20" t="str">
        <f t="shared" si="3"/>
        <v>AR6→AR1</v>
      </c>
      <c r="J51" s="9" t="str">
        <f>IFERROR(__xludf.DUMMYFUNCTION("TEXT(VALUE(REGEXEXTRACT(B51,""^[+-]?[0-9]*\.?[0-9]+""))*100,""0.00"")&amp;"" +/- ""&amp;TEXT(VALUE(REGEXEXTRACT(B51,""[0-9]*\.?[0-9]+$""))*100,""0.00"")"),"24.26 +/- 4.57")</f>
        <v>24.26 +/- 4.57</v>
      </c>
      <c r="K51" s="9" t="str">
        <f>IFERROR(__xludf.DUMMYFUNCTION("TEXT(VALUE(REGEXEXTRACT(C51,""^[+-]?[0-9]*\.?[0-9]+""))*100,""0.00"")&amp;"" +/- ""&amp;TEXT(VALUE(REGEXEXTRACT(C51,""[0-9]*\.?[0-9]+$""))*100,""0.00"")"),"15.94 +/- 7.03")</f>
        <v>15.94 +/- 7.03</v>
      </c>
      <c r="L51" s="9" t="str">
        <f>IFERROR(__xludf.DUMMYFUNCTION("TEXT(VALUE(REGEXEXTRACT(D51,""^[+-]?[0-9]*\.?[0-9]+""))*100,""0.00"")&amp;"" +/- ""&amp;TEXT(VALUE(REGEXEXTRACT(D51,""[0-9]*\.?[0-9]+$""))*100,""0.00"")"),"0.00 +/- 0.00")</f>
        <v>0.00 +/- 0.00</v>
      </c>
      <c r="M51" s="9" t="str">
        <f>IFERROR(__xludf.DUMMYFUNCTION("TEXT(VALUE(REGEXEXTRACT(E51,""^[+-]?[0-9]*\.?[0-9]+""))*100,""0.00"")&amp;"" +/- ""&amp;TEXT(VALUE(REGEXEXTRACT(E51,""[0-9]*\.?[0-9]+$""))*100,""0.00"")"),"25.31 +/- 4.61")</f>
        <v>25.31 +/- 4.61</v>
      </c>
      <c r="N51" s="9" t="str">
        <f>IFERROR(__xludf.DUMMYFUNCTION("TEXT(VALUE(REGEXEXTRACT(F51,""^[+-]?[0-9]*\.?[0-9]+""))*100,""0.00"")&amp;"" +/- ""&amp;TEXT(VALUE(REGEXEXTRACT(F51,""[0-9]*\.?[0-9]+$""))*100,""0.00"")"),"19.61 +/- 4.15")</f>
        <v>19.61 +/- 4.15</v>
      </c>
      <c r="O51" s="9" t="str">
        <f>IFERROR(__xludf.DUMMYFUNCTION("TEXT(VALUE(REGEXEXTRACT(G51,""^[+-]?[0-9]*\.?[0-9]+""))*100,""0.00"")&amp;"" +/- ""&amp;TEXT(VALUE(REGEXEXTRACT(G51,""[0-9]*\.?[0-9]+$""))*100,""0.00"")"),"21.58 +/- 4.10")</f>
        <v>21.58 +/- 4.10</v>
      </c>
      <c r="P51" s="10" t="str">
        <f>IFERROR(__xludf.DUMMYFUNCTION("TEXT(VALUE(REGEXEXTRACT(H51,""^[+-]?[0-9]*\.?[0-9]+""))*100,""0.00"")&amp;"" +/- ""&amp;TEXT(VALUE(REGEXEXTRACT(H51,""[0-9]*\.?[0-9]+$""))*100,""0.00"")"),"25.39 +/- 5.37")</f>
        <v>25.39 +/- 5.37</v>
      </c>
    </row>
    <row r="52">
      <c r="A52" s="6" t="s">
        <v>944</v>
      </c>
      <c r="B52" s="16" t="s">
        <v>1539</v>
      </c>
      <c r="C52" s="16" t="s">
        <v>1540</v>
      </c>
      <c r="D52" s="16" t="s">
        <v>1541</v>
      </c>
      <c r="E52" s="16" t="s">
        <v>1542</v>
      </c>
      <c r="F52" s="16" t="s">
        <v>1543</v>
      </c>
      <c r="G52" s="16" t="s">
        <v>1544</v>
      </c>
      <c r="H52" s="16" t="s">
        <v>1545</v>
      </c>
      <c r="I52" s="20" t="str">
        <f t="shared" si="3"/>
        <v>AR6→AR3</v>
      </c>
      <c r="J52" s="9" t="str">
        <f>IFERROR(__xludf.DUMMYFUNCTION("TEXT(VALUE(REGEXEXTRACT(B52,""^[+-]?[0-9]*\.?[0-9]+""))*100,""0.00"")&amp;"" +/- ""&amp;TEXT(VALUE(REGEXEXTRACT(B52,""[0-9]*\.?[0-9]+$""))*100,""0.00"")"),"37.99 +/- 3.23")</f>
        <v>37.99 +/- 3.23</v>
      </c>
      <c r="K52" s="9" t="str">
        <f>IFERROR(__xludf.DUMMYFUNCTION("TEXT(VALUE(REGEXEXTRACT(C52,""^[+-]?[0-9]*\.?[0-9]+""))*100,""0.00"")&amp;"" +/- ""&amp;TEXT(VALUE(REGEXEXTRACT(C52,""[0-9]*\.?[0-9]+$""))*100,""0.00"")"),"48.40 +/- 11.09")</f>
        <v>48.40 +/- 11.09</v>
      </c>
      <c r="L52" s="9" t="str">
        <f>IFERROR(__xludf.DUMMYFUNCTION("TEXT(VALUE(REGEXEXTRACT(D52,""^[+-]?[0-9]*\.?[0-9]+""))*100,""0.00"")&amp;"" +/- ""&amp;TEXT(VALUE(REGEXEXTRACT(D52,""[0-9]*\.?[0-9]+$""))*100,""0.00"")"),"3.86 +/- 9.23")</f>
        <v>3.86 +/- 9.23</v>
      </c>
      <c r="M52" s="9" t="str">
        <f>IFERROR(__xludf.DUMMYFUNCTION("TEXT(VALUE(REGEXEXTRACT(E52,""^[+-]?[0-9]*\.?[0-9]+""))*100,""0.00"")&amp;"" +/- ""&amp;TEXT(VALUE(REGEXEXTRACT(E52,""[0-9]*\.?[0-9]+$""))*100,""0.00"")"),"39.20 +/- 6.04")</f>
        <v>39.20 +/- 6.04</v>
      </c>
      <c r="N52" s="9" t="str">
        <f>IFERROR(__xludf.DUMMYFUNCTION("TEXT(VALUE(REGEXEXTRACT(F52,""^[+-]?[0-9]*\.?[0-9]+""))*100,""0.00"")&amp;"" +/- ""&amp;TEXT(VALUE(REGEXEXTRACT(F52,""[0-9]*\.?[0-9]+$""))*100,""0.00"")"),"32.72 +/- 3.03")</f>
        <v>32.72 +/- 3.03</v>
      </c>
      <c r="O52" s="9" t="str">
        <f>IFERROR(__xludf.DUMMYFUNCTION("TEXT(VALUE(REGEXEXTRACT(G52,""^[+-]?[0-9]*\.?[0-9]+""))*100,""0.00"")&amp;"" +/- ""&amp;TEXT(VALUE(REGEXEXTRACT(G52,""[0-9]*\.?[0-9]+$""))*100,""0.00"")"),"34.10 +/- 3.41")</f>
        <v>34.10 +/- 3.41</v>
      </c>
      <c r="P52" s="10" t="str">
        <f>IFERROR(__xludf.DUMMYFUNCTION("TEXT(VALUE(REGEXEXTRACT(H52,""^[+-]?[0-9]*\.?[0-9]+""))*100,""0.00"")&amp;"" +/- ""&amp;TEXT(VALUE(REGEXEXTRACT(H52,""[0-9]*\.?[0-9]+$""))*100,""0.00"")"),"49.63 +/- 5.21")</f>
        <v>49.63 +/- 5.21</v>
      </c>
    </row>
    <row r="53">
      <c r="A53" s="6" t="s">
        <v>959</v>
      </c>
      <c r="B53" s="16" t="s">
        <v>1546</v>
      </c>
      <c r="C53" s="16" t="s">
        <v>1547</v>
      </c>
      <c r="D53" s="16" t="s">
        <v>1548</v>
      </c>
      <c r="E53" s="16" t="s">
        <v>1549</v>
      </c>
      <c r="F53" s="16" t="s">
        <v>1550</v>
      </c>
      <c r="G53" s="16" t="s">
        <v>1551</v>
      </c>
      <c r="H53" s="16" t="s">
        <v>1552</v>
      </c>
      <c r="I53" s="20" t="str">
        <f t="shared" si="3"/>
        <v>AR6→AR4</v>
      </c>
      <c r="J53" s="9" t="str">
        <f>IFERROR(__xludf.DUMMYFUNCTION("TEXT(VALUE(REGEXEXTRACT(B53,""^[+-]?[0-9]*\.?[0-9]+""))*100,""0.00"")&amp;"" +/- ""&amp;TEXT(VALUE(REGEXEXTRACT(B53,""[0-9]*\.?[0-9]+$""))*100,""0.00"")"),"36.90 +/- 3.67")</f>
        <v>36.90 +/- 3.67</v>
      </c>
      <c r="K53" s="9" t="str">
        <f>IFERROR(__xludf.DUMMYFUNCTION("TEXT(VALUE(REGEXEXTRACT(C53,""^[+-]?[0-9]*\.?[0-9]+""))*100,""0.00"")&amp;"" +/- ""&amp;TEXT(VALUE(REGEXEXTRACT(C53,""[0-9]*\.?[0-9]+$""))*100,""0.00"")"),"0.94 +/- 2.86")</f>
        <v>0.94 +/- 2.86</v>
      </c>
      <c r="L53" s="9" t="str">
        <f>IFERROR(__xludf.DUMMYFUNCTION("TEXT(VALUE(REGEXEXTRACT(D53,""^[+-]?[0-9]*\.?[0-9]+""))*100,""0.00"")&amp;"" +/- ""&amp;TEXT(VALUE(REGEXEXTRACT(D53,""[0-9]*\.?[0-9]+$""))*100,""0.00"")"),"8.14 +/- 5.78")</f>
        <v>8.14 +/- 5.78</v>
      </c>
      <c r="M53" s="9" t="str">
        <f>IFERROR(__xludf.DUMMYFUNCTION("TEXT(VALUE(REGEXEXTRACT(E53,""^[+-]?[0-9]*\.?[0-9]+""))*100,""0.00"")&amp;"" +/- ""&amp;TEXT(VALUE(REGEXEXTRACT(E53,""[0-9]*\.?[0-9]+$""))*100,""0.00"")"),"29.76 +/- 5.05")</f>
        <v>29.76 +/- 5.05</v>
      </c>
      <c r="N53" s="9" t="str">
        <f>IFERROR(__xludf.DUMMYFUNCTION("TEXT(VALUE(REGEXEXTRACT(F53,""^[+-]?[0-9]*\.?[0-9]+""))*100,""0.00"")&amp;"" +/- ""&amp;TEXT(VALUE(REGEXEXTRACT(F53,""[0-9]*\.?[0-9]+$""))*100,""0.00"")"),"36.65 +/- 3.96")</f>
        <v>36.65 +/- 3.96</v>
      </c>
      <c r="O53" s="9" t="str">
        <f>IFERROR(__xludf.DUMMYFUNCTION("TEXT(VALUE(REGEXEXTRACT(G53,""^[+-]?[0-9]*\.?[0-9]+""))*100,""0.00"")&amp;"" +/- ""&amp;TEXT(VALUE(REGEXEXTRACT(G53,""[0-9]*\.?[0-9]+$""))*100,""0.00"")"),"35.69 +/- 4.26")</f>
        <v>35.69 +/- 4.26</v>
      </c>
      <c r="P53" s="10" t="str">
        <f>IFERROR(__xludf.DUMMYFUNCTION("TEXT(VALUE(REGEXEXTRACT(H53,""^[+-]?[0-9]*\.?[0-9]+""))*100,""0.00"")&amp;"" +/- ""&amp;TEXT(VALUE(REGEXEXTRACT(H53,""[0-9]*\.?[0-9]+$""))*100,""0.00"")"),"37.38 +/- 3.72")</f>
        <v>37.38 +/- 3.72</v>
      </c>
    </row>
    <row r="54">
      <c r="A54" s="6" t="s">
        <v>974</v>
      </c>
      <c r="B54" s="16" t="s">
        <v>1553</v>
      </c>
      <c r="C54" s="16" t="s">
        <v>1554</v>
      </c>
      <c r="D54" s="16" t="s">
        <v>1555</v>
      </c>
      <c r="E54" s="16" t="s">
        <v>1556</v>
      </c>
      <c r="F54" s="16" t="s">
        <v>1557</v>
      </c>
      <c r="G54" s="16" t="s">
        <v>1558</v>
      </c>
      <c r="H54" s="16" t="s">
        <v>1559</v>
      </c>
      <c r="I54" s="20" t="str">
        <f t="shared" si="3"/>
        <v>AR6→AR5</v>
      </c>
      <c r="J54" s="9" t="str">
        <f>IFERROR(__xludf.DUMMYFUNCTION("TEXT(VALUE(REGEXEXTRACT(B54,""^[+-]?[0-9]*\.?[0-9]+""))*100,""0.00"")&amp;"" +/- ""&amp;TEXT(VALUE(REGEXEXTRACT(B54,""[0-9]*\.?[0-9]+$""))*100,""0.00"")"),"59.91 +/- 6.76")</f>
        <v>59.91 +/- 6.76</v>
      </c>
      <c r="K54" s="9" t="str">
        <f>IFERROR(__xludf.DUMMYFUNCTION("TEXT(VALUE(REGEXEXTRACT(C54,""^[+-]?[0-9]*\.?[0-9]+""))*100,""0.00"")&amp;"" +/- ""&amp;TEXT(VALUE(REGEXEXTRACT(C54,""[0-9]*\.?[0-9]+$""))*100,""0.00"")"),"48.74 +/- 8.54")</f>
        <v>48.74 +/- 8.54</v>
      </c>
      <c r="L54" s="9" t="str">
        <f>IFERROR(__xludf.DUMMYFUNCTION("TEXT(VALUE(REGEXEXTRACT(D54,""^[+-]?[0-9]*\.?[0-9]+""))*100,""0.00"")&amp;"" +/- ""&amp;TEXT(VALUE(REGEXEXTRACT(D54,""[0-9]*\.?[0-9]+$""))*100,""0.00"")"),"8.23 +/- 10.59")</f>
        <v>8.23 +/- 10.59</v>
      </c>
      <c r="M54" s="9" t="str">
        <f>IFERROR(__xludf.DUMMYFUNCTION("TEXT(VALUE(REGEXEXTRACT(E54,""^[+-]?[0-9]*\.?[0-9]+""))*100,""0.00"")&amp;"" +/- ""&amp;TEXT(VALUE(REGEXEXTRACT(E54,""[0-9]*\.?[0-9]+$""))*100,""0.00"")"),"61.37 +/- 4.91")</f>
        <v>61.37 +/- 4.91</v>
      </c>
      <c r="N54" s="9" t="str">
        <f>IFERROR(__xludf.DUMMYFUNCTION("TEXT(VALUE(REGEXEXTRACT(F54,""^[+-]?[0-9]*\.?[0-9]+""))*100,""0.00"")&amp;"" +/- ""&amp;TEXT(VALUE(REGEXEXTRACT(F54,""[0-9]*\.?[0-9]+$""))*100,""0.00"")"),"62.66 +/- 4.97")</f>
        <v>62.66 +/- 4.97</v>
      </c>
      <c r="O54" s="10" t="str">
        <f>IFERROR(__xludf.DUMMYFUNCTION("TEXT(VALUE(REGEXEXTRACT(G54,""^[+-]?[0-9]*\.?[0-9]+""))*100,""0.00"")&amp;"" +/- ""&amp;TEXT(VALUE(REGEXEXTRACT(G54,""[0-9]*\.?[0-9]+$""))*100,""0.00"")"),"60.93 +/- 5.97")</f>
        <v>60.93 +/- 5.97</v>
      </c>
      <c r="P54" s="9" t="str">
        <f>IFERROR(__xludf.DUMMYFUNCTION("TEXT(VALUE(REGEXEXTRACT(H54,""^[+-]?[0-9]*\.?[0-9]+""))*100,""0.00"")&amp;"" +/- ""&amp;TEXT(VALUE(REGEXEXTRACT(H54,""[0-9]*\.?[0-9]+$""))*100,""0.00"")"),"57.51 +/- 5.38")</f>
        <v>57.51 +/- 5.38</v>
      </c>
    </row>
    <row r="55">
      <c r="A55" s="6" t="s">
        <v>371</v>
      </c>
      <c r="B55" s="14"/>
      <c r="C55" s="21" t="s">
        <v>1560</v>
      </c>
      <c r="D55" s="21" t="s">
        <v>487</v>
      </c>
      <c r="E55" s="21" t="s">
        <v>397</v>
      </c>
      <c r="F55" s="21" t="s">
        <v>474</v>
      </c>
      <c r="G55" s="21" t="s">
        <v>488</v>
      </c>
      <c r="H55" s="21" t="s">
        <v>992</v>
      </c>
      <c r="I55" s="20" t="str">
        <f t="shared" si="3"/>
        <v>W/T/L</v>
      </c>
      <c r="K55" s="20" t="str">
        <f>IFERROR(__xludf.DUMMYFUNCTION("SUM(ARRAYFORMULA(IFERROR(
  (VALUE(REGEXEXTRACT($J$35:$J$54,""^[+-]?[0-9]*\.?[0-9]+""))&gt;
   VALUE(REGEXEXTRACT(K$35:K$54,""^[+-]?[0-9]*\.?[0-9]+"")))*1,0)))
&amp;""/""&amp;
SUM(ARRAYFORMULA(IFERROR(
  (VALUE(REGEXEXTRACT($J$35:$J$54,""^[+-]?[0-9]*\.?[0-9]+""))=
 "&amp;"  VALUE(REGEXEXTRACT(K$35:K$54,""^[+-]?[0-9]*\.?[0-9]+"")))*1,0)))
&amp;""/""&amp;
SUM(ARRAYFORMULA(IFERROR(
  (VALUE(REGEXEXTRACT($J$35:$J$54,""^[+-]?[0-9]*\.?[0-9]+""))&lt;
   VALUE(REGEXEXTRACT(K$35:K$54,""^[+-]?[0-9]*\.?[0-9]+"")))*1,0)))"),"10/0/10")</f>
        <v>10/0/10</v>
      </c>
      <c r="L55" s="20" t="str">
        <f>IFERROR(__xludf.DUMMYFUNCTION("SUM(ARRAYFORMULA(IFERROR(
  (VALUE(REGEXEXTRACT($J$35:$J$54,""^[+-]?[0-9]*\.?[0-9]+""))&gt;
   VALUE(REGEXEXTRACT(L$35:L$54,""^[+-]?[0-9]*\.?[0-9]+"")))*1,0)))
&amp;""/""&amp;
SUM(ARRAYFORMULA(IFERROR(
  (VALUE(REGEXEXTRACT($J$35:$J$54,""^[+-]?[0-9]*\.?[0-9]+""))=
 "&amp;"  VALUE(REGEXEXTRACT(L$35:L$54,""^[+-]?[0-9]*\.?[0-9]+"")))*1,0)))
&amp;""/""&amp;
SUM(ARRAYFORMULA(IFERROR(
  (VALUE(REGEXEXTRACT($J$35:$J$54,""^[+-]?[0-9]*\.?[0-9]+""))&lt;
   VALUE(REGEXEXTRACT(L$35:L$54,""^[+-]?[0-9]*\.?[0-9]+"")))*1,0)))"),"20/0/0")</f>
        <v>20/0/0</v>
      </c>
      <c r="M55" s="20" t="str">
        <f>IFERROR(__xludf.DUMMYFUNCTION("SUM(ARRAYFORMULA(IFERROR(
  (VALUE(REGEXEXTRACT($J$35:$J$54,""^[+-]?[0-9]*\.?[0-9]+""))&gt;
   VALUE(REGEXEXTRACT(M$35:M$54,""^[+-]?[0-9]*\.?[0-9]+"")))*1,0)))
&amp;""/""&amp;
SUM(ARRAYFORMULA(IFERROR(
  (VALUE(REGEXEXTRACT($J$35:$J$54,""^[+-]?[0-9]*\.?[0-9]+""))=
 "&amp;"  VALUE(REGEXEXTRACT(M$35:M$54,""^[+-]?[0-9]*\.?[0-9]+"")))*1,0)))
&amp;""/""&amp;
SUM(ARRAYFORMULA(IFERROR(
  (VALUE(REGEXEXTRACT($J$35:$J$54,""^[+-]?[0-9]*\.?[0-9]+""))&lt;
   VALUE(REGEXEXTRACT(M$35:M$54,""^[+-]?[0-9]*\.?[0-9]+"")))*1,0)))"),"8/0/12")</f>
        <v>8/0/12</v>
      </c>
      <c r="N55" s="20" t="str">
        <f>IFERROR(__xludf.DUMMYFUNCTION("SUM(ARRAYFORMULA(IFERROR(
  (VALUE(REGEXEXTRACT($J$35:$J$54,""^[+-]?[0-9]*\.?[0-9]+""))&gt;
   VALUE(REGEXEXTRACT(N$35:N$54,""^[+-]?[0-9]*\.?[0-9]+"")))*1,0)))
&amp;""/""&amp;
SUM(ARRAYFORMULA(IFERROR(
  (VALUE(REGEXEXTRACT($J$35:$J$54,""^[+-]?[0-9]*\.?[0-9]+""))=
 "&amp;"  VALUE(REGEXEXTRACT(N$35:N$54,""^[+-]?[0-9]*\.?[0-9]+"")))*1,0)))
&amp;""/""&amp;
SUM(ARRAYFORMULA(IFERROR(
  (VALUE(REGEXEXTRACT($J$35:$J$54,""^[+-]?[0-9]*\.?[0-9]+""))&lt;
   VALUE(REGEXEXTRACT(N$35:N$54,""^[+-]?[0-9]*\.?[0-9]+"")))*1,0)))"),"11/0/9")</f>
        <v>11/0/9</v>
      </c>
      <c r="O55" s="20" t="str">
        <f>IFERROR(__xludf.DUMMYFUNCTION("SUM(ARRAYFORMULA(IFERROR(
  (VALUE(REGEXEXTRACT($J$35:$J$54,""^[+-]?[0-9]*\.?[0-9]+""))&gt;
   VALUE(REGEXEXTRACT(O$35:O$54,""^[+-]?[0-9]*\.?[0-9]+"")))*1,0)))
&amp;""/""&amp;
SUM(ARRAYFORMULA(IFERROR(
  (VALUE(REGEXEXTRACT($J$35:$J$54,""^[+-]?[0-9]*\.?[0-9]+""))=
 "&amp;"  VALUE(REGEXEXTRACT(O$35:O$54,""^[+-]?[0-9]*\.?[0-9]+"")))*1,0)))
&amp;""/""&amp;
SUM(ARRAYFORMULA(IFERROR(
  (VALUE(REGEXEXTRACT($J$35:$J$54,""^[+-]?[0-9]*\.?[0-9]+""))&lt;
   VALUE(REGEXEXTRACT(O$35:O$54,""^[+-]?[0-9]*\.?[0-9]+"")))*1,0)))"),"13/0/7")</f>
        <v>13/0/7</v>
      </c>
      <c r="P55" s="20" t="str">
        <f>IFERROR(__xludf.DUMMYFUNCTION("SUM(ARRAYFORMULA(IFERROR(
  (VALUE(REGEXEXTRACT($J$35:$J$54,""^[+-]?[0-9]*\.?[0-9]+""))&gt;
   VALUE(REGEXEXTRACT(P$35:P$54,""^[+-]?[0-9]*\.?[0-9]+"")))*1,0)))
&amp;""/""&amp;
SUM(ARRAYFORMULA(IFERROR(
  (VALUE(REGEXEXTRACT($J$35:$J$54,""^[+-]?[0-9]*\.?[0-9]+""))=
 "&amp;"  VALUE(REGEXEXTRACT(P$35:P$54,""^[+-]?[0-9]*\.?[0-9]+"")))*1,0)))
&amp;""/""&amp;
SUM(ARRAYFORMULA(IFERROR(
  (VALUE(REGEXEXTRACT($J$35:$J$54,""^[+-]?[0-9]*\.?[0-9]+""))&lt;
   VALUE(REGEXEXTRACT(P$35:P$54,""^[+-]?[0-9]*\.?[0-9]+"")))*1,0)))"),"12/0/8")</f>
        <v>12/0/8</v>
      </c>
    </row>
    <row r="56">
      <c r="A56" s="6" t="s">
        <v>489</v>
      </c>
      <c r="B56" s="14" t="s">
        <v>1561</v>
      </c>
      <c r="C56" s="14" t="s">
        <v>1562</v>
      </c>
      <c r="D56" s="14" t="s">
        <v>496</v>
      </c>
      <c r="E56" s="14" t="s">
        <v>1563</v>
      </c>
      <c r="F56" s="14" t="s">
        <v>1564</v>
      </c>
      <c r="G56" s="14" t="s">
        <v>1565</v>
      </c>
      <c r="H56" s="14" t="s">
        <v>1566</v>
      </c>
      <c r="I56" s="20" t="str">
        <f t="shared" si="3"/>
        <v>Average (%)</v>
      </c>
      <c r="J56" s="9">
        <f>IFERROR(__xludf.DUMMYFUNCTION("ROUND(AVERAGE(ARRAYFORMULA(IFERROR(VALUE(REGEXEXTRACT(J$35:J$54,""^[+-]?[0-9]*\.?[0-9]+"")),""""))),2)"),40.14)</f>
        <v>40.14</v>
      </c>
      <c r="K56" s="9">
        <f>IFERROR(__xludf.DUMMYFUNCTION("ROUND(AVERAGE(ARRAYFORMULA(IFERROR(VALUE(REGEXEXTRACT(K$35:K$54,""^[+-]?[0-9]*\.?[0-9]+"")),""""))),2)"),33.54)</f>
        <v>33.54</v>
      </c>
      <c r="L56" s="9">
        <f>IFERROR(__xludf.DUMMYFUNCTION("ROUND(AVERAGE(ARRAYFORMULA(IFERROR(VALUE(REGEXEXTRACT(L$35:L$54,""^[+-]?[0-9]*\.?[0-9]+"")),""""))),2)"),10.96)</f>
        <v>10.96</v>
      </c>
      <c r="M56" s="9">
        <f>IFERROR(__xludf.DUMMYFUNCTION("ROUND(AVERAGE(ARRAYFORMULA(IFERROR(VALUE(REGEXEXTRACT(M$35:M$54,""^[+-]?[0-9]*\.?[0-9]+"")),""""))),2)"),38.74)</f>
        <v>38.74</v>
      </c>
      <c r="N56" s="9">
        <f>IFERROR(__xludf.DUMMYFUNCTION("ROUND(AVERAGE(ARRAYFORMULA(IFERROR(VALUE(REGEXEXTRACT(N$35:N$54,""^[+-]?[0-9]*\.?[0-9]+"")),""""))),2)"),38.44)</f>
        <v>38.44</v>
      </c>
      <c r="O56" s="9">
        <f>IFERROR(__xludf.DUMMYFUNCTION("ROUND(AVERAGE(ARRAYFORMULA(IFERROR(VALUE(REGEXEXTRACT(O$35:O$54,""^[+-]?[0-9]*\.?[0-9]+"")),""""))),2)"),39.0)</f>
        <v>39</v>
      </c>
      <c r="P56" s="9">
        <f>IFERROR(__xludf.DUMMYFUNCTION("ROUND(AVERAGE(ARRAYFORMULA(IFERROR(VALUE(REGEXEXTRACT(P$35:P$54,""^[+-]?[0-9]*\.?[0-9]+"")),""""))),2)"),38.63)</f>
        <v>38.63</v>
      </c>
    </row>
    <row r="57">
      <c r="A57" s="4" t="s">
        <v>1013</v>
      </c>
      <c r="B57" s="2"/>
      <c r="C57" s="2"/>
      <c r="D57" s="2"/>
      <c r="E57" s="2"/>
      <c r="F57" s="2"/>
      <c r="G57" s="2"/>
      <c r="H57" s="2"/>
      <c r="I57" s="4" t="s">
        <v>1013</v>
      </c>
    </row>
    <row r="58">
      <c r="A58" s="6" t="s">
        <v>1014</v>
      </c>
      <c r="B58" s="16" t="s">
        <v>1567</v>
      </c>
      <c r="C58" s="16" t="s">
        <v>1568</v>
      </c>
      <c r="D58" s="16" t="s">
        <v>1569</v>
      </c>
      <c r="E58" s="16" t="s">
        <v>1570</v>
      </c>
      <c r="F58" s="16" t="s">
        <v>1571</v>
      </c>
      <c r="G58" s="16" t="s">
        <v>1572</v>
      </c>
      <c r="H58" s="16" t="s">
        <v>1573</v>
      </c>
      <c r="I58" s="20" t="str">
        <f t="shared" ref="I58:I81" si="4">A58</f>
        <v>EQ→JDT</v>
      </c>
      <c r="J58" s="10" t="str">
        <f>IFERROR(__xludf.DUMMYFUNCTION("TEXT(VALUE(REGEXEXTRACT(B58,""^[+-]?[0-9]*\.?[0-9]+""))*100,""0.00"")&amp;"" +/- ""&amp;TEXT(VALUE(REGEXEXTRACT(B58,""[0-9]*\.?[0-9]+$""))*100,""0.00"")"),"55.02 +/- 0.99")</f>
        <v>55.02 +/- 0.99</v>
      </c>
      <c r="K58" s="9" t="str">
        <f>IFERROR(__xludf.DUMMYFUNCTION("TEXT(VALUE(REGEXEXTRACT(C58,""^[+-]?[0-9]*\.?[0-9]+""))*100,""0.00"")&amp;"" +/- ""&amp;TEXT(VALUE(REGEXEXTRACT(C58,""[0-9]*\.?[0-9]+$""))*100,""0.00"")"),"54.61 +/- 1.23")</f>
        <v>54.61 +/- 1.23</v>
      </c>
      <c r="L58" s="9" t="str">
        <f>IFERROR(__xludf.DUMMYFUNCTION("TEXT(VALUE(REGEXEXTRACT(D58,""^[+-]?[0-9]*\.?[0-9]+""))*100,""0.00"")&amp;"" +/- ""&amp;TEXT(VALUE(REGEXEXTRACT(D58,""[0-9]*\.?[0-9]+$""))*100,""0.00"")"),"50.59 +/- 1.11")</f>
        <v>50.59 +/- 1.11</v>
      </c>
      <c r="M58" s="9" t="str">
        <f>IFERROR(__xludf.DUMMYFUNCTION("TEXT(VALUE(REGEXEXTRACT(E58,""^[+-]?[0-9]*\.?[0-9]+""))*100,""0.00"")&amp;"" +/- ""&amp;TEXT(VALUE(REGEXEXTRACT(E58,""[0-9]*\.?[0-9]+$""))*100,""0.00"")"),"50.89 +/- 1.95")</f>
        <v>50.89 +/- 1.95</v>
      </c>
      <c r="N58" s="9" t="str">
        <f>IFERROR(__xludf.DUMMYFUNCTION("TEXT(VALUE(REGEXEXTRACT(F58,""^[+-]?[0-9]*\.?[0-9]+""))*100,""0.00"")&amp;"" +/- ""&amp;TEXT(VALUE(REGEXEXTRACT(F58,""[0-9]*\.?[0-9]+$""))*100,""0.00"")"),"45.11 +/- 1.78")</f>
        <v>45.11 +/- 1.78</v>
      </c>
      <c r="O58" s="9" t="str">
        <f>IFERROR(__xludf.DUMMYFUNCTION("TEXT(VALUE(REGEXEXTRACT(G58,""^[+-]?[0-9]*\.?[0-9]+""))*100,""0.00"")&amp;"" +/- ""&amp;TEXT(VALUE(REGEXEXTRACT(G58,""[0-9]*\.?[0-9]+$""))*100,""0.00"")"),"48.95 +/- 1.48")</f>
        <v>48.95 +/- 1.48</v>
      </c>
      <c r="P58" s="9" t="str">
        <f>IFERROR(__xludf.DUMMYFUNCTION("TEXT(VALUE(REGEXEXTRACT(H58,""^[+-]?[0-9]*\.?[0-9]+""))*100,""0.00"")&amp;"" +/- ""&amp;TEXT(VALUE(REGEXEXTRACT(H58,""[0-9]*\.?[0-9]+$""))*100,""0.00"")"),"50.24 +/- 1.76")</f>
        <v>50.24 +/- 1.76</v>
      </c>
    </row>
    <row r="59">
      <c r="A59" s="6" t="s">
        <v>1026</v>
      </c>
      <c r="B59" s="16" t="s">
        <v>1574</v>
      </c>
      <c r="C59" s="16" t="s">
        <v>1575</v>
      </c>
      <c r="D59" s="16" t="s">
        <v>1576</v>
      </c>
      <c r="E59" s="16" t="s">
        <v>1577</v>
      </c>
      <c r="F59" s="16" t="s">
        <v>1578</v>
      </c>
      <c r="G59" s="16" t="s">
        <v>1579</v>
      </c>
      <c r="H59" s="16" t="s">
        <v>1580</v>
      </c>
      <c r="I59" s="20" t="str">
        <f t="shared" si="4"/>
        <v>EQ→LC</v>
      </c>
      <c r="J59" s="9" t="str">
        <f>IFERROR(__xludf.DUMMYFUNCTION("TEXT(VALUE(REGEXEXTRACT(B59,""^[+-]?[0-9]*\.?[0-9]+""))*100,""0.00"")&amp;"" +/- ""&amp;TEXT(VALUE(REGEXEXTRACT(B59,""[0-9]*\.?[0-9]+$""))*100,""0.00"")"),"33.43 +/- 1.43")</f>
        <v>33.43 +/- 1.43</v>
      </c>
      <c r="K59" s="9" t="str">
        <f>IFERROR(__xludf.DUMMYFUNCTION("TEXT(VALUE(REGEXEXTRACT(C59,""^[+-]?[0-9]*\.?[0-9]+""))*100,""0.00"")&amp;"" +/- ""&amp;TEXT(VALUE(REGEXEXTRACT(C59,""[0-9]*\.?[0-9]+$""))*100,""0.00"")"),"33.90 +/- 1.90")</f>
        <v>33.90 +/- 1.90</v>
      </c>
      <c r="L59" s="9" t="str">
        <f>IFERROR(__xludf.DUMMYFUNCTION("TEXT(VALUE(REGEXEXTRACT(D59,""^[+-]?[0-9]*\.?[0-9]+""))*100,""0.00"")&amp;"" +/- ""&amp;TEXT(VALUE(REGEXEXTRACT(D59,""[0-9]*\.?[0-9]+$""))*100,""0.00"")"),"24.72 +/- 0.65")</f>
        <v>24.72 +/- 0.65</v>
      </c>
      <c r="M59" s="9" t="str">
        <f>IFERROR(__xludf.DUMMYFUNCTION("TEXT(VALUE(REGEXEXTRACT(E59,""^[+-]?[0-9]*\.?[0-9]+""))*100,""0.00"")&amp;"" +/- ""&amp;TEXT(VALUE(REGEXEXTRACT(E59,""[0-9]*\.?[0-9]+$""))*100,""0.00"")"),"29.86 +/- 1.99")</f>
        <v>29.86 +/- 1.99</v>
      </c>
      <c r="N59" s="9" t="str">
        <f>IFERROR(__xludf.DUMMYFUNCTION("TEXT(VALUE(REGEXEXTRACT(F59,""^[+-]?[0-9]*\.?[0-9]+""))*100,""0.00"")&amp;"" +/- ""&amp;TEXT(VALUE(REGEXEXTRACT(F59,""[0-9]*\.?[0-9]+$""))*100,""0.00"")"),"22.49 +/- 1.68")</f>
        <v>22.49 +/- 1.68</v>
      </c>
      <c r="O59" s="9" t="str">
        <f>IFERROR(__xludf.DUMMYFUNCTION("TEXT(VALUE(REGEXEXTRACT(G59,""^[+-]?[0-9]*\.?[0-9]+""))*100,""0.00"")&amp;"" +/- ""&amp;TEXT(VALUE(REGEXEXTRACT(G59,""[0-9]*\.?[0-9]+$""))*100,""0.00"")"),"26.22 +/- 2.02")</f>
        <v>26.22 +/- 2.02</v>
      </c>
      <c r="P59" s="10" t="str">
        <f>IFERROR(__xludf.DUMMYFUNCTION("TEXT(VALUE(REGEXEXTRACT(H59,""^[+-]?[0-9]*\.?[0-9]+""))*100,""0.00"")&amp;"" +/- ""&amp;TEXT(VALUE(REGEXEXTRACT(H59,""[0-9]*\.?[0-9]+$""))*100,""0.00"")"),"33.45 +/- 1.34")</f>
        <v>33.45 +/- 1.34</v>
      </c>
    </row>
    <row r="60">
      <c r="A60" s="6" t="s">
        <v>1036</v>
      </c>
      <c r="B60" s="16" t="s">
        <v>1588</v>
      </c>
      <c r="C60" s="16" t="s">
        <v>1589</v>
      </c>
      <c r="D60" s="16" t="s">
        <v>1590</v>
      </c>
      <c r="E60" s="16" t="s">
        <v>1591</v>
      </c>
      <c r="F60" s="16" t="s">
        <v>1592</v>
      </c>
      <c r="G60" s="16" t="s">
        <v>1593</v>
      </c>
      <c r="H60" s="16" t="s">
        <v>1594</v>
      </c>
      <c r="I60" s="20" t="str">
        <f t="shared" si="4"/>
        <v>EQ→ML</v>
      </c>
      <c r="J60" s="9" t="str">
        <f>IFERROR(__xludf.DUMMYFUNCTION("TEXT(VALUE(REGEXEXTRACT(B60,""^[+-]?[0-9]*\.?[0-9]+""))*100,""0.00"")&amp;"" +/- ""&amp;TEXT(VALUE(REGEXEXTRACT(B60,""[0-9]*\.?[0-9]+$""))*100,""0.00"")"),"26.80 +/- 1.02")</f>
        <v>26.80 +/- 1.02</v>
      </c>
      <c r="K60" s="9" t="str">
        <f>IFERROR(__xludf.DUMMYFUNCTION("TEXT(VALUE(REGEXEXTRACT(C60,""^[+-]?[0-9]*\.?[0-9]+""))*100,""0.00"")&amp;"" +/- ""&amp;TEXT(VALUE(REGEXEXTRACT(C60,""[0-9]*\.?[0-9]+$""))*100,""0.00"")"),"28.51 +/- 1.18")</f>
        <v>28.51 +/- 1.18</v>
      </c>
      <c r="L60" s="9" t="str">
        <f>IFERROR(__xludf.DUMMYFUNCTION("TEXT(VALUE(REGEXEXTRACT(D60,""^[+-]?[0-9]*\.?[0-9]+""))*100,""0.00"")&amp;"" +/- ""&amp;TEXT(VALUE(REGEXEXTRACT(D60,""[0-9]*\.?[0-9]+$""))*100,""0.00"")"),"27.37 +/- 0.79")</f>
        <v>27.37 +/- 0.79</v>
      </c>
      <c r="M60" s="9" t="str">
        <f>IFERROR(__xludf.DUMMYFUNCTION("TEXT(VALUE(REGEXEXTRACT(E60,""^[+-]?[0-9]*\.?[0-9]+""))*100,""0.00"")&amp;"" +/- ""&amp;TEXT(VALUE(REGEXEXTRACT(E60,""[0-9]*\.?[0-9]+$""))*100,""0.00"")"),"25.23 +/- 1.24")</f>
        <v>25.23 +/- 1.24</v>
      </c>
      <c r="N60" s="9" t="str">
        <f>IFERROR(__xludf.DUMMYFUNCTION("TEXT(VALUE(REGEXEXTRACT(F60,""^[+-]?[0-9]*\.?[0-9]+""))*100,""0.00"")&amp;"" +/- ""&amp;TEXT(VALUE(REGEXEXTRACT(F60,""[0-9]*\.?[0-9]+$""))*100,""0.00"")"),"22.64 +/- 0.73")</f>
        <v>22.64 +/- 0.73</v>
      </c>
      <c r="O60" s="9" t="str">
        <f>IFERROR(__xludf.DUMMYFUNCTION("TEXT(VALUE(REGEXEXTRACT(G60,""^[+-]?[0-9]*\.?[0-9]+""))*100,""0.00"")&amp;"" +/- ""&amp;TEXT(VALUE(REGEXEXTRACT(G60,""[0-9]*\.?[0-9]+$""))*100,""0.00"")"),"23.58 +/- 0.92")</f>
        <v>23.58 +/- 0.92</v>
      </c>
      <c r="P60" s="10" t="str">
        <f>IFERROR(__xludf.DUMMYFUNCTION("TEXT(VALUE(REGEXEXTRACT(H60,""^[+-]?[0-9]*\.?[0-9]+""))*100,""0.00"")&amp;"" +/- ""&amp;TEXT(VALUE(REGEXEXTRACT(H60,""[0-9]*\.?[0-9]+$""))*100,""0.00"")"),"28.95 +/- 1.82")</f>
        <v>28.95 +/- 1.82</v>
      </c>
    </row>
    <row r="61">
      <c r="A61" s="6" t="s">
        <v>1044</v>
      </c>
      <c r="B61" s="16" t="s">
        <v>1595</v>
      </c>
      <c r="C61" s="16" t="s">
        <v>1596</v>
      </c>
      <c r="D61" s="16" t="s">
        <v>1597</v>
      </c>
      <c r="E61" s="16" t="s">
        <v>1598</v>
      </c>
      <c r="F61" s="16" t="s">
        <v>1599</v>
      </c>
      <c r="G61" s="16" t="s">
        <v>1600</v>
      </c>
      <c r="H61" s="16" t="s">
        <v>1601</v>
      </c>
      <c r="I61" s="20" t="str">
        <f t="shared" si="4"/>
        <v>EQ→PDE</v>
      </c>
      <c r="J61" s="10" t="str">
        <f>IFERROR(__xludf.DUMMYFUNCTION("TEXT(VALUE(REGEXEXTRACT(B61,""^[+-]?[0-9]*\.?[0-9]+""))*100,""0.00"")&amp;"" +/- ""&amp;TEXT(VALUE(REGEXEXTRACT(B61,""[0-9]*\.?[0-9]+$""))*100,""0.00"")"),"34.08 +/- 0.80")</f>
        <v>34.08 +/- 0.80</v>
      </c>
      <c r="K61" s="9" t="str">
        <f>IFERROR(__xludf.DUMMYFUNCTION("TEXT(VALUE(REGEXEXTRACT(C61,""^[+-]?[0-9]*\.?[0-9]+""))*100,""0.00"")&amp;"" +/- ""&amp;TEXT(VALUE(REGEXEXTRACT(C61,""[0-9]*\.?[0-9]+$""))*100,""0.00"")"),"35.77 +/- 1.19")</f>
        <v>35.77 +/- 1.19</v>
      </c>
      <c r="L61" s="9" t="str">
        <f>IFERROR(__xludf.DUMMYFUNCTION("TEXT(VALUE(REGEXEXTRACT(D61,""^[+-]?[0-9]*\.?[0-9]+""))*100,""0.00"")&amp;"" +/- ""&amp;TEXT(VALUE(REGEXEXTRACT(D61,""[0-9]*\.?[0-9]+$""))*100,""0.00"")"),"33.87 +/- 0.50")</f>
        <v>33.87 +/- 0.50</v>
      </c>
      <c r="M61" s="9" t="str">
        <f>IFERROR(__xludf.DUMMYFUNCTION("TEXT(VALUE(REGEXEXTRACT(E61,""^[+-]?[0-9]*\.?[0-9]+""))*100,""0.00"")&amp;"" +/- ""&amp;TEXT(VALUE(REGEXEXTRACT(E61,""[0-9]*\.?[0-9]+$""))*100,""0.00"")"),"34.01 +/- 0.84")</f>
        <v>34.01 +/- 0.84</v>
      </c>
      <c r="N61" s="9" t="str">
        <f>IFERROR(__xludf.DUMMYFUNCTION("TEXT(VALUE(REGEXEXTRACT(F61,""^[+-]?[0-9]*\.?[0-9]+""))*100,""0.00"")&amp;"" +/- ""&amp;TEXT(VALUE(REGEXEXTRACT(F61,""[0-9]*\.?[0-9]+$""))*100,""0.00"")"),"31.52 +/- 0.67")</f>
        <v>31.52 +/- 0.67</v>
      </c>
      <c r="O61" s="9" t="str">
        <f>IFERROR(__xludf.DUMMYFUNCTION("TEXT(VALUE(REGEXEXTRACT(G61,""^[+-]?[0-9]*\.?[0-9]+""))*100,""0.00"")&amp;"" +/- ""&amp;TEXT(VALUE(REGEXEXTRACT(G61,""[0-9]*\.?[0-9]+$""))*100,""0.00"")"),"32.85 +/- 0.82")</f>
        <v>32.85 +/- 0.82</v>
      </c>
      <c r="P61" s="9" t="str">
        <f>IFERROR(__xludf.DUMMYFUNCTION("TEXT(VALUE(REGEXEXTRACT(H61,""^[+-]?[0-9]*\.?[0-9]+""))*100,""0.00"")&amp;"" +/- ""&amp;TEXT(VALUE(REGEXEXTRACT(H61,""[0-9]*\.?[0-9]+$""))*100,""0.00"")"),"31.47 +/- 1.87")</f>
        <v>31.47 +/- 1.87</v>
      </c>
    </row>
    <row r="62">
      <c r="A62" s="6" t="s">
        <v>1051</v>
      </c>
      <c r="B62" s="16" t="s">
        <v>1609</v>
      </c>
      <c r="C62" s="16" t="s">
        <v>1610</v>
      </c>
      <c r="D62" s="16" t="s">
        <v>1611</v>
      </c>
      <c r="E62" s="16" t="s">
        <v>1612</v>
      </c>
      <c r="F62" s="16" t="s">
        <v>1613</v>
      </c>
      <c r="G62" s="16" t="s">
        <v>1614</v>
      </c>
      <c r="H62" s="16" t="s">
        <v>1615</v>
      </c>
      <c r="I62" s="20" t="str">
        <f t="shared" si="4"/>
        <v>JDT→EQ</v>
      </c>
      <c r="J62" s="9" t="str">
        <f>IFERROR(__xludf.DUMMYFUNCTION("TEXT(VALUE(REGEXEXTRACT(B62,""^[+-]?[0-9]*\.?[0-9]+""))*100,""0.00"")&amp;"" +/- ""&amp;TEXT(VALUE(REGEXEXTRACT(B62,""[0-9]*\.?[0-9]+$""))*100,""0.00"")"),"48.48 +/- 1.86")</f>
        <v>48.48 +/- 1.86</v>
      </c>
      <c r="K62" s="9" t="str">
        <f>IFERROR(__xludf.DUMMYFUNCTION("TEXT(VALUE(REGEXEXTRACT(C62,""^[+-]?[0-9]*\.?[0-9]+""))*100,""0.00"")&amp;"" +/- ""&amp;TEXT(VALUE(REGEXEXTRACT(C62,""[0-9]*\.?[0-9]+$""))*100,""0.00"")"),"37.07 +/- 1.40")</f>
        <v>37.07 +/- 1.40</v>
      </c>
      <c r="L62" s="9" t="str">
        <f>IFERROR(__xludf.DUMMYFUNCTION("TEXT(VALUE(REGEXEXTRACT(D62,""^[+-]?[0-9]*\.?[0-9]+""))*100,""0.00"")&amp;"" +/- ""&amp;TEXT(VALUE(REGEXEXTRACT(D62,""[0-9]*\.?[0-9]+$""))*100,""0.00"")"),"49.46 +/- 1.92")</f>
        <v>49.46 +/- 1.92</v>
      </c>
      <c r="M62" s="9" t="str">
        <f>IFERROR(__xludf.DUMMYFUNCTION("TEXT(VALUE(REGEXEXTRACT(E62,""^[+-]?[0-9]*\.?[0-9]+""))*100,""0.00"")&amp;"" +/- ""&amp;TEXT(VALUE(REGEXEXTRACT(E62,""[0-9]*\.?[0-9]+$""))*100,""0.00"")"),"40.29 +/- 2.14")</f>
        <v>40.29 +/- 2.14</v>
      </c>
      <c r="N62" s="9" t="str">
        <f>IFERROR(__xludf.DUMMYFUNCTION("TEXT(VALUE(REGEXEXTRACT(F62,""^[+-]?[0-9]*\.?[0-9]+""))*100,""0.00"")&amp;"" +/- ""&amp;TEXT(VALUE(REGEXEXTRACT(F62,""[0-9]*\.?[0-9]+$""))*100,""0.00"")"),"52.76 +/- 2.37")</f>
        <v>52.76 +/- 2.37</v>
      </c>
      <c r="O62" s="9" t="str">
        <f>IFERROR(__xludf.DUMMYFUNCTION("TEXT(VALUE(REGEXEXTRACT(G62,""^[+-]?[0-9]*\.?[0-9]+""))*100,""0.00"")&amp;"" +/- ""&amp;TEXT(VALUE(REGEXEXTRACT(G62,""[0-9]*\.?[0-9]+$""))*100,""0.00"")"),"49.17 +/- 2.09")</f>
        <v>49.17 +/- 2.09</v>
      </c>
      <c r="P62" s="10" t="str">
        <f>IFERROR(__xludf.DUMMYFUNCTION("TEXT(VALUE(REGEXEXTRACT(H62,""^[+-]?[0-9]*\.?[0-9]+""))*100,""0.00"")&amp;"" +/- ""&amp;TEXT(VALUE(REGEXEXTRACT(H62,""[0-9]*\.?[0-9]+$""))*100,""0.00"")"),"59.37 +/- 3.47")</f>
        <v>59.37 +/- 3.47</v>
      </c>
    </row>
    <row r="63">
      <c r="A63" s="6" t="s">
        <v>1059</v>
      </c>
      <c r="B63" s="16" t="s">
        <v>1623</v>
      </c>
      <c r="C63" s="16" t="s">
        <v>1624</v>
      </c>
      <c r="D63" s="16" t="s">
        <v>1625</v>
      </c>
      <c r="E63" s="16" t="s">
        <v>1626</v>
      </c>
      <c r="F63" s="16" t="s">
        <v>1627</v>
      </c>
      <c r="G63" s="16" t="s">
        <v>1628</v>
      </c>
      <c r="H63" s="16" t="s">
        <v>1629</v>
      </c>
      <c r="I63" s="20" t="str">
        <f t="shared" si="4"/>
        <v>JDT→LC</v>
      </c>
      <c r="J63" s="9" t="str">
        <f>IFERROR(__xludf.DUMMYFUNCTION("TEXT(VALUE(REGEXEXTRACT(B63,""^[+-]?[0-9]*\.?[0-9]+""))*100,""0.00"")&amp;"" +/- ""&amp;TEXT(VALUE(REGEXEXTRACT(B63,""[0-9]*\.?[0-9]+$""))*100,""0.00"")"),"36.75 +/- 1.14")</f>
        <v>36.75 +/- 1.14</v>
      </c>
      <c r="K63" s="10" t="str">
        <f>IFERROR(__xludf.DUMMYFUNCTION("TEXT(VALUE(REGEXEXTRACT(C63,""^[+-]?[0-9]*\.?[0-9]+""))*100,""0.00"")&amp;"" +/- ""&amp;TEXT(VALUE(REGEXEXTRACT(C63,""[0-9]*\.?[0-9]+$""))*100,""0.00"")"),"43.01 +/- 1.68")</f>
        <v>43.01 +/- 1.68</v>
      </c>
      <c r="L63" s="9" t="str">
        <f>IFERROR(__xludf.DUMMYFUNCTION("TEXT(VALUE(REGEXEXTRACT(D63,""^[+-]?[0-9]*\.?[0-9]+""))*100,""0.00"")&amp;"" +/- ""&amp;TEXT(VALUE(REGEXEXTRACT(D63,""[0-9]*\.?[0-9]+$""))*100,""0.00"")"),"38.40 +/- 1.80")</f>
        <v>38.40 +/- 1.80</v>
      </c>
      <c r="M63" s="9" t="str">
        <f>IFERROR(__xludf.DUMMYFUNCTION("TEXT(VALUE(REGEXEXTRACT(E63,""^[+-]?[0-9]*\.?[0-9]+""))*100,""0.00"")&amp;"" +/- ""&amp;TEXT(VALUE(REGEXEXTRACT(E63,""[0-9]*\.?[0-9]+$""))*100,""0.00"")"),"38.52 +/- 1.52")</f>
        <v>38.52 +/- 1.52</v>
      </c>
      <c r="N63" s="9" t="str">
        <f>IFERROR(__xludf.DUMMYFUNCTION("TEXT(VALUE(REGEXEXTRACT(F63,""^[+-]?[0-9]*\.?[0-9]+""))*100,""0.00"")&amp;"" +/- ""&amp;TEXT(VALUE(REGEXEXTRACT(F63,""[0-9]*\.?[0-9]+$""))*100,""0.00"")"),"33.22 +/- 1.61")</f>
        <v>33.22 +/- 1.61</v>
      </c>
      <c r="O63" s="9" t="str">
        <f>IFERROR(__xludf.DUMMYFUNCTION("TEXT(VALUE(REGEXEXTRACT(G63,""^[+-]?[0-9]*\.?[0-9]+""))*100,""0.00"")&amp;"" +/- ""&amp;TEXT(VALUE(REGEXEXTRACT(G63,""[0-9]*\.?[0-9]+$""))*100,""0.00"")"),"34.10 +/- 1.56")</f>
        <v>34.10 +/- 1.56</v>
      </c>
      <c r="P63" s="9" t="str">
        <f>IFERROR(__xludf.DUMMYFUNCTION("TEXT(VALUE(REGEXEXTRACT(H63,""^[+-]?[0-9]*\.?[0-9]+""))*100,""0.00"")&amp;"" +/- ""&amp;TEXT(VALUE(REGEXEXTRACT(H63,""[0-9]*\.?[0-9]+$""))*100,""0.00"")"),"30.99 +/- 2.90")</f>
        <v>30.99 +/- 2.90</v>
      </c>
    </row>
    <row r="64">
      <c r="A64" s="6" t="s">
        <v>1088</v>
      </c>
      <c r="B64" s="16" t="s">
        <v>1637</v>
      </c>
      <c r="C64" s="16" t="s">
        <v>1638</v>
      </c>
      <c r="D64" s="16" t="s">
        <v>1639</v>
      </c>
      <c r="E64" s="16" t="s">
        <v>1640</v>
      </c>
      <c r="F64" s="16" t="s">
        <v>1641</v>
      </c>
      <c r="G64" s="16" t="s">
        <v>1642</v>
      </c>
      <c r="H64" s="16" t="s">
        <v>1643</v>
      </c>
      <c r="I64" s="20" t="str">
        <f t="shared" si="4"/>
        <v>JDT→ML</v>
      </c>
      <c r="J64" s="10" t="str">
        <f>IFERROR(__xludf.DUMMYFUNCTION("TEXT(VALUE(REGEXEXTRACT(B64,""^[+-]?[0-9]*\.?[0-9]+""))*100,""0.00"")&amp;"" +/- ""&amp;TEXT(VALUE(REGEXEXTRACT(B64,""[0-9]*\.?[0-9]+$""))*100,""0.00"")"),"35.25 +/- 0.55")</f>
        <v>35.25 +/- 0.55</v>
      </c>
      <c r="K64" s="9" t="str">
        <f>IFERROR(__xludf.DUMMYFUNCTION("TEXT(VALUE(REGEXEXTRACT(C64,""^[+-]?[0-9]*\.?[0-9]+""))*100,""0.00"")&amp;"" +/- ""&amp;TEXT(VALUE(REGEXEXTRACT(C64,""[0-9]*\.?[0-9]+$""))*100,""0.00"")"),"33.37 +/- 1.01")</f>
        <v>33.37 +/- 1.01</v>
      </c>
      <c r="L64" s="9" t="str">
        <f>IFERROR(__xludf.DUMMYFUNCTION("TEXT(VALUE(REGEXEXTRACT(D64,""^[+-]?[0-9]*\.?[0-9]+""))*100,""0.00"")&amp;"" +/- ""&amp;TEXT(VALUE(REGEXEXTRACT(D64,""[0-9]*\.?[0-9]+$""))*100,""0.00"")"),"32.85 +/- 1.38")</f>
        <v>32.85 +/- 1.38</v>
      </c>
      <c r="M64" s="9" t="str">
        <f>IFERROR(__xludf.DUMMYFUNCTION("TEXT(VALUE(REGEXEXTRACT(E64,""^[+-]?[0-9]*\.?[0-9]+""))*100,""0.00"")&amp;"" +/- ""&amp;TEXT(VALUE(REGEXEXTRACT(E64,""[0-9]*\.?[0-9]+$""))*100,""0.00"")"),"34.88 +/- 0.73")</f>
        <v>34.88 +/- 0.73</v>
      </c>
      <c r="N64" s="9" t="str">
        <f>IFERROR(__xludf.DUMMYFUNCTION("TEXT(VALUE(REGEXEXTRACT(F64,""^[+-]?[0-9]*\.?[0-9]+""))*100,""0.00"")&amp;"" +/- ""&amp;TEXT(VALUE(REGEXEXTRACT(F64,""[0-9]*\.?[0-9]+$""))*100,""0.00"")"),"26.94 +/- 1.25")</f>
        <v>26.94 +/- 1.25</v>
      </c>
      <c r="O64" s="9" t="str">
        <f>IFERROR(__xludf.DUMMYFUNCTION("TEXT(VALUE(REGEXEXTRACT(G64,""^[+-]?[0-9]*\.?[0-9]+""))*100,""0.00"")&amp;"" +/- ""&amp;TEXT(VALUE(REGEXEXTRACT(G64,""[0-9]*\.?[0-9]+$""))*100,""0.00"")"),"33.53 +/- 0.85")</f>
        <v>33.53 +/- 0.85</v>
      </c>
      <c r="P64" s="9" t="str">
        <f>IFERROR(__xludf.DUMMYFUNCTION("TEXT(VALUE(REGEXEXTRACT(H64,""^[+-]?[0-9]*\.?[0-9]+""))*100,""0.00"")&amp;"" +/- ""&amp;TEXT(VALUE(REGEXEXTRACT(H64,""[0-9]*\.?[0-9]+$""))*100,""0.00"")"),"26.14 +/- 1.16")</f>
        <v>26.14 +/- 1.16</v>
      </c>
    </row>
    <row r="65">
      <c r="A65" s="6" t="s">
        <v>1097</v>
      </c>
      <c r="B65" s="16" t="s">
        <v>1672</v>
      </c>
      <c r="C65" s="16" t="s">
        <v>1675</v>
      </c>
      <c r="D65" s="16" t="s">
        <v>1677</v>
      </c>
      <c r="E65" s="16" t="s">
        <v>1680</v>
      </c>
      <c r="F65" s="16" t="s">
        <v>1682</v>
      </c>
      <c r="G65" s="16" t="s">
        <v>1684</v>
      </c>
      <c r="H65" s="16" t="s">
        <v>1685</v>
      </c>
      <c r="I65" s="20" t="str">
        <f t="shared" si="4"/>
        <v>JDT→PDE</v>
      </c>
      <c r="J65" s="9" t="str">
        <f>IFERROR(__xludf.DUMMYFUNCTION("TEXT(VALUE(REGEXEXTRACT(B65,""^[+-]?[0-9]*\.?[0-9]+""))*100,""0.00"")&amp;"" +/- ""&amp;TEXT(VALUE(REGEXEXTRACT(B65,""[0-9]*\.?[0-9]+$""))*100,""0.00"")"),"38.95 +/- 0.61")</f>
        <v>38.95 +/- 0.61</v>
      </c>
      <c r="K65" s="9" t="str">
        <f>IFERROR(__xludf.DUMMYFUNCTION("TEXT(VALUE(REGEXEXTRACT(C65,""^[+-]?[0-9]*\.?[0-9]+""))*100,""0.00"")&amp;"" +/- ""&amp;TEXT(VALUE(REGEXEXTRACT(C65,""[0-9]*\.?[0-9]+$""))*100,""0.00"")"),"39.51 +/- 1.11")</f>
        <v>39.51 +/- 1.11</v>
      </c>
      <c r="L65" s="9" t="str">
        <f>IFERROR(__xludf.DUMMYFUNCTION("TEXT(VALUE(REGEXEXTRACT(D65,""^[+-]?[0-9]*\.?[0-9]+""))*100,""0.00"")&amp;"" +/- ""&amp;TEXT(VALUE(REGEXEXTRACT(D65,""[0-9]*\.?[0-9]+$""))*100,""0.00"")"),"38.32 +/- 1.49")</f>
        <v>38.32 +/- 1.49</v>
      </c>
      <c r="M65" s="10" t="str">
        <f>IFERROR(__xludf.DUMMYFUNCTION("TEXT(VALUE(REGEXEXTRACT(E65,""^[+-]?[0-9]*\.?[0-9]+""))*100,""0.00"")&amp;"" +/- ""&amp;TEXT(VALUE(REGEXEXTRACT(E65,""[0-9]*\.?[0-9]+$""))*100,""0.00"")"),"39.55 +/- 0.85")</f>
        <v>39.55 +/- 0.85</v>
      </c>
      <c r="N65" s="9" t="str">
        <f>IFERROR(__xludf.DUMMYFUNCTION("TEXT(VALUE(REGEXEXTRACT(F65,""^[+-]?[0-9]*\.?[0-9]+""))*100,""0.00"")&amp;"" +/- ""&amp;TEXT(VALUE(REGEXEXTRACT(F65,""[0-9]*\.?[0-9]+$""))*100,""0.00"")"),"37.67 +/- 0.72")</f>
        <v>37.67 +/- 0.72</v>
      </c>
      <c r="O65" s="9" t="str">
        <f>IFERROR(__xludf.DUMMYFUNCTION("TEXT(VALUE(REGEXEXTRACT(G65,""^[+-]?[0-9]*\.?[0-9]+""))*100,""0.00"")&amp;"" +/- ""&amp;TEXT(VALUE(REGEXEXTRACT(G65,""[0-9]*\.?[0-9]+$""))*100,""0.00"")"),"38.84 +/- 0.64")</f>
        <v>38.84 +/- 0.64</v>
      </c>
      <c r="P65" s="9" t="str">
        <f>IFERROR(__xludf.DUMMYFUNCTION("TEXT(VALUE(REGEXEXTRACT(H65,""^[+-]?[0-9]*\.?[0-9]+""))*100,""0.00"")&amp;"" +/- ""&amp;TEXT(VALUE(REGEXEXTRACT(H65,""[0-9]*\.?[0-9]+$""))*100,""0.00"")"),"24.91 +/- 0.33")</f>
        <v>24.91 +/- 0.33</v>
      </c>
    </row>
    <row r="66">
      <c r="A66" s="6" t="s">
        <v>1105</v>
      </c>
      <c r="B66" s="16" t="s">
        <v>1693</v>
      </c>
      <c r="C66" s="16" t="s">
        <v>1694</v>
      </c>
      <c r="D66" s="16" t="s">
        <v>1695</v>
      </c>
      <c r="E66" s="16" t="s">
        <v>1697</v>
      </c>
      <c r="F66" s="16" t="s">
        <v>1699</v>
      </c>
      <c r="G66" s="16" t="s">
        <v>1701</v>
      </c>
      <c r="H66" s="16" t="s">
        <v>1703</v>
      </c>
      <c r="I66" s="20" t="str">
        <f t="shared" si="4"/>
        <v>LC→EQ</v>
      </c>
      <c r="J66" s="9" t="str">
        <f>IFERROR(__xludf.DUMMYFUNCTION("TEXT(VALUE(REGEXEXTRACT(B66,""^[+-]?[0-9]*\.?[0-9]+""))*100,""0.00"")&amp;"" +/- ""&amp;TEXT(VALUE(REGEXEXTRACT(B66,""[0-9]*\.?[0-9]+$""))*100,""0.00"")"),"43.54 +/- 1.27")</f>
        <v>43.54 +/- 1.27</v>
      </c>
      <c r="K66" s="9" t="str">
        <f>IFERROR(__xludf.DUMMYFUNCTION("TEXT(VALUE(REGEXEXTRACT(C66,""^[+-]?[0-9]*\.?[0-9]+""))*100,""0.00"")&amp;"" +/- ""&amp;TEXT(VALUE(REGEXEXTRACT(C66,""[0-9]*\.?[0-9]+$""))*100,""0.00"")"),"22.34 +/- 1.39")</f>
        <v>22.34 +/- 1.39</v>
      </c>
      <c r="L66" s="9" t="str">
        <f>IFERROR(__xludf.DUMMYFUNCTION("TEXT(VALUE(REGEXEXTRACT(D66,""^[+-]?[0-9]*\.?[0-9]+""))*100,""0.00"")&amp;"" +/- ""&amp;TEXT(VALUE(REGEXEXTRACT(D66,""[0-9]*\.?[0-9]+$""))*100,""0.00"")"),"20.11 +/- 1.70")</f>
        <v>20.11 +/- 1.70</v>
      </c>
      <c r="M66" s="9" t="str">
        <f>IFERROR(__xludf.DUMMYFUNCTION("TEXT(VALUE(REGEXEXTRACT(E66,""^[+-]?[0-9]*\.?[0-9]+""))*100,""0.00"")&amp;"" +/- ""&amp;TEXT(VALUE(REGEXEXTRACT(E66,""[0-9]*\.?[0-9]+$""))*100,""0.00"")"),"29.14 +/- 1.80")</f>
        <v>29.14 +/- 1.80</v>
      </c>
      <c r="N66" s="10" t="str">
        <f>IFERROR(__xludf.DUMMYFUNCTION("TEXT(VALUE(REGEXEXTRACT(F66,""^[+-]?[0-9]*\.?[0-9]+""))*100,""0.00"")&amp;"" +/- ""&amp;TEXT(VALUE(REGEXEXTRACT(F66,""[0-9]*\.?[0-9]+$""))*100,""0.00"")"),"57.41 +/- 2.76")</f>
        <v>57.41 +/- 2.76</v>
      </c>
      <c r="O66" s="9" t="str">
        <f>IFERROR(__xludf.DUMMYFUNCTION("TEXT(VALUE(REGEXEXTRACT(G66,""^[+-]?[0-9]*\.?[0-9]+""))*100,""0.00"")&amp;"" +/- ""&amp;TEXT(VALUE(REGEXEXTRACT(G66,""[0-9]*\.?[0-9]+$""))*100,""0.00"")"),"48.20 +/- 2.31")</f>
        <v>48.20 +/- 2.31</v>
      </c>
      <c r="P66" s="9" t="str">
        <f>IFERROR(__xludf.DUMMYFUNCTION("TEXT(VALUE(REGEXEXTRACT(H66,""^[+-]?[0-9]*\.?[0-9]+""))*100,""0.00"")&amp;"" +/- ""&amp;TEXT(VALUE(REGEXEXTRACT(H66,""[0-9]*\.?[0-9]+$""))*100,""0.00"")"),"47.20 +/- 1.69")</f>
        <v>47.20 +/- 1.69</v>
      </c>
    </row>
    <row r="67">
      <c r="A67" s="6" t="s">
        <v>1115</v>
      </c>
      <c r="B67" s="16" t="s">
        <v>1716</v>
      </c>
      <c r="C67" s="16" t="s">
        <v>1718</v>
      </c>
      <c r="D67" s="16" t="s">
        <v>1720</v>
      </c>
      <c r="E67" s="16" t="s">
        <v>1722</v>
      </c>
      <c r="F67" s="16" t="s">
        <v>1724</v>
      </c>
      <c r="G67" s="16" t="s">
        <v>1726</v>
      </c>
      <c r="H67" s="16" t="s">
        <v>1727</v>
      </c>
      <c r="I67" s="20" t="str">
        <f t="shared" si="4"/>
        <v>LC→JDT</v>
      </c>
      <c r="J67" s="10" t="str">
        <f>IFERROR(__xludf.DUMMYFUNCTION("TEXT(VALUE(REGEXEXTRACT(B67,""^[+-]?[0-9]*\.?[0-9]+""))*100,""0.00"")&amp;"" +/- ""&amp;TEXT(VALUE(REGEXEXTRACT(B67,""[0-9]*\.?[0-9]+$""))*100,""0.00"")"),"55.09 +/- 1.68")</f>
        <v>55.09 +/- 1.68</v>
      </c>
      <c r="K67" s="9" t="str">
        <f>IFERROR(__xludf.DUMMYFUNCTION("TEXT(VALUE(REGEXEXTRACT(C67,""^[+-]?[0-9]*\.?[0-9]+""))*100,""0.00"")&amp;"" +/- ""&amp;TEXT(VALUE(REGEXEXTRACT(C67,""[0-9]*\.?[0-9]+$""))*100,""0.00"")"),"24.76 +/- 1.56")</f>
        <v>24.76 +/- 1.56</v>
      </c>
      <c r="L67" s="9" t="str">
        <f>IFERROR(__xludf.DUMMYFUNCTION("TEXT(VALUE(REGEXEXTRACT(D67,""^[+-]?[0-9]*\.?[0-9]+""))*100,""0.00"")&amp;"" +/- ""&amp;TEXT(VALUE(REGEXEXTRACT(D67,""[0-9]*\.?[0-9]+$""))*100,""0.00"")"),"25.59 +/- 2.31")</f>
        <v>25.59 +/- 2.31</v>
      </c>
      <c r="M67" s="9" t="str">
        <f>IFERROR(__xludf.DUMMYFUNCTION("TEXT(VALUE(REGEXEXTRACT(E67,""^[+-]?[0-9]*\.?[0-9]+""))*100,""0.00"")&amp;"" +/- ""&amp;TEXT(VALUE(REGEXEXTRACT(E67,""[0-9]*\.?[0-9]+$""))*100,""0.00"")"),"45.95 +/- 1.45")</f>
        <v>45.95 +/- 1.45</v>
      </c>
      <c r="N67" s="9" t="str">
        <f>IFERROR(__xludf.DUMMYFUNCTION("TEXT(VALUE(REGEXEXTRACT(F67,""^[+-]?[0-9]*\.?[0-9]+""))*100,""0.00"")&amp;"" +/- ""&amp;TEXT(VALUE(REGEXEXTRACT(F67,""[0-9]*\.?[0-9]+$""))*100,""0.00"")"),"51.47 +/- 1.99")</f>
        <v>51.47 +/- 1.99</v>
      </c>
      <c r="O67" s="9" t="str">
        <f>IFERROR(__xludf.DUMMYFUNCTION("TEXT(VALUE(REGEXEXTRACT(G67,""^[+-]?[0-9]*\.?[0-9]+""))*100,""0.00"")&amp;"" +/- ""&amp;TEXT(VALUE(REGEXEXTRACT(G67,""[0-9]*\.?[0-9]+$""))*100,""0.00"")"),"52.66 +/- 1.81")</f>
        <v>52.66 +/- 1.81</v>
      </c>
      <c r="P67" s="9" t="str">
        <f>IFERROR(__xludf.DUMMYFUNCTION("TEXT(VALUE(REGEXEXTRACT(H67,""^[+-]?[0-9]*\.?[0-9]+""))*100,""0.00"")&amp;"" +/- ""&amp;TEXT(VALUE(REGEXEXTRACT(H67,""[0-9]*\.?[0-9]+$""))*100,""0.00"")"),"30.93 +/- 0.61")</f>
        <v>30.93 +/- 0.61</v>
      </c>
    </row>
    <row r="68">
      <c r="A68" s="6" t="s">
        <v>1125</v>
      </c>
      <c r="B68" s="16" t="s">
        <v>1731</v>
      </c>
      <c r="C68" s="16" t="s">
        <v>1735</v>
      </c>
      <c r="D68" s="16" t="s">
        <v>1738</v>
      </c>
      <c r="E68" s="16" t="s">
        <v>1741</v>
      </c>
      <c r="F68" s="16" t="s">
        <v>1743</v>
      </c>
      <c r="G68" s="16" t="s">
        <v>1746</v>
      </c>
      <c r="H68" s="16" t="s">
        <v>1748</v>
      </c>
      <c r="I68" s="20" t="str">
        <f t="shared" si="4"/>
        <v>LC→ML</v>
      </c>
      <c r="J68" s="10" t="str">
        <f>IFERROR(__xludf.DUMMYFUNCTION("TEXT(VALUE(REGEXEXTRACT(B68,""^[+-]?[0-9]*\.?[0-9]+""))*100,""0.00"")&amp;"" +/- ""&amp;TEXT(VALUE(REGEXEXTRACT(B68,""[0-9]*\.?[0-9]+$""))*100,""0.00"")"),"35.47 +/- 0.91")</f>
        <v>35.47 +/- 0.91</v>
      </c>
      <c r="K68" s="9" t="str">
        <f>IFERROR(__xludf.DUMMYFUNCTION("TEXT(VALUE(REGEXEXTRACT(C68,""^[+-]?[0-9]*\.?[0-9]+""))*100,""0.00"")&amp;"" +/- ""&amp;TEXT(VALUE(REGEXEXTRACT(C68,""[0-9]*\.?[0-9]+$""))*100,""0.00"")"),"20.55 +/- 0.71")</f>
        <v>20.55 +/- 0.71</v>
      </c>
      <c r="L68" s="9" t="str">
        <f>IFERROR(__xludf.DUMMYFUNCTION("TEXT(VALUE(REGEXEXTRACT(D68,""^[+-]?[0-9]*\.?[0-9]+""))*100,""0.00"")&amp;"" +/- ""&amp;TEXT(VALUE(REGEXEXTRACT(D68,""[0-9]*\.?[0-9]+$""))*100,""0.00"")"),"18.76 +/- 1.61")</f>
        <v>18.76 +/- 1.61</v>
      </c>
      <c r="M68" s="9" t="str">
        <f>IFERROR(__xludf.DUMMYFUNCTION("TEXT(VALUE(REGEXEXTRACT(E68,""^[+-]?[0-9]*\.?[0-9]+""))*100,""0.00"")&amp;"" +/- ""&amp;TEXT(VALUE(REGEXEXTRACT(E68,""[0-9]*\.?[0-9]+$""))*100,""0.00"")"),"30.09 +/- 1.50")</f>
        <v>30.09 +/- 1.50</v>
      </c>
      <c r="N68" s="9" t="str">
        <f>IFERROR(__xludf.DUMMYFUNCTION("TEXT(VALUE(REGEXEXTRACT(F68,""^[+-]?[0-9]*\.?[0-9]+""))*100,""0.00"")&amp;"" +/- ""&amp;TEXT(VALUE(REGEXEXTRACT(F68,""[0-9]*\.?[0-9]+$""))*100,""0.00"")"),"31.59 +/- 1.29")</f>
        <v>31.59 +/- 1.29</v>
      </c>
      <c r="O68" s="9" t="str">
        <f>IFERROR(__xludf.DUMMYFUNCTION("TEXT(VALUE(REGEXEXTRACT(G68,""^[+-]?[0-9]*\.?[0-9]+""))*100,""0.00"")&amp;"" +/- ""&amp;TEXT(VALUE(REGEXEXTRACT(G68,""[0-9]*\.?[0-9]+$""))*100,""0.00"")"),"34.95 +/- 0.91")</f>
        <v>34.95 +/- 0.91</v>
      </c>
      <c r="P68" s="9" t="str">
        <f>IFERROR(__xludf.DUMMYFUNCTION("TEXT(VALUE(REGEXEXTRACT(H68,""^[+-]?[0-9]*\.?[0-9]+""))*100,""0.00"")&amp;"" +/- ""&amp;TEXT(VALUE(REGEXEXTRACT(H68,""[0-9]*\.?[0-9]+$""))*100,""0.00"")"),"30.69 +/- 2.57")</f>
        <v>30.69 +/- 2.57</v>
      </c>
    </row>
    <row r="69">
      <c r="A69" s="6" t="s">
        <v>1136</v>
      </c>
      <c r="B69" s="16" t="s">
        <v>1749</v>
      </c>
      <c r="C69" s="16" t="s">
        <v>1750</v>
      </c>
      <c r="D69" s="16" t="s">
        <v>1751</v>
      </c>
      <c r="E69" s="16" t="s">
        <v>1752</v>
      </c>
      <c r="F69" s="16" t="s">
        <v>1753</v>
      </c>
      <c r="G69" s="16" t="s">
        <v>1754</v>
      </c>
      <c r="H69" s="16" t="s">
        <v>1756</v>
      </c>
      <c r="I69" s="20" t="str">
        <f t="shared" si="4"/>
        <v>LC→PDE</v>
      </c>
      <c r="J69" s="9" t="str">
        <f>IFERROR(__xludf.DUMMYFUNCTION("TEXT(VALUE(REGEXEXTRACT(B69,""^[+-]?[0-9]*\.?[0-9]+""))*100,""0.00"")&amp;"" +/- ""&amp;TEXT(VALUE(REGEXEXTRACT(B69,""[0-9]*\.?[0-9]+$""))*100,""0.00"")"),"35.09 +/- 1.63")</f>
        <v>35.09 +/- 1.63</v>
      </c>
      <c r="K69" s="9" t="str">
        <f>IFERROR(__xludf.DUMMYFUNCTION("TEXT(VALUE(REGEXEXTRACT(C69,""^[+-]?[0-9]*\.?[0-9]+""))*100,""0.00"")&amp;"" +/- ""&amp;TEXT(VALUE(REGEXEXTRACT(C69,""[0-9]*\.?[0-9]+$""))*100,""0.00"")"),"23.37 +/- 0.78")</f>
        <v>23.37 +/- 0.78</v>
      </c>
      <c r="L69" s="9" t="str">
        <f>IFERROR(__xludf.DUMMYFUNCTION("TEXT(VALUE(REGEXEXTRACT(D69,""^[+-]?[0-9]*\.?[0-9]+""))*100,""0.00"")&amp;"" +/- ""&amp;TEXT(VALUE(REGEXEXTRACT(D69,""[0-9]*\.?[0-9]+$""))*100,""0.00"")"),"20.96 +/- 2.19")</f>
        <v>20.96 +/- 2.19</v>
      </c>
      <c r="M69" s="9" t="str">
        <f>IFERROR(__xludf.DUMMYFUNCTION("TEXT(VALUE(REGEXEXTRACT(E69,""^[+-]?[0-9]*\.?[0-9]+""))*100,""0.00"")&amp;"" +/- ""&amp;TEXT(VALUE(REGEXEXTRACT(E69,""[0-9]*\.?[0-9]+$""))*100,""0.00"")"),"32.33 +/- 2.42")</f>
        <v>32.33 +/- 2.42</v>
      </c>
      <c r="N69" s="10" t="str">
        <f>IFERROR(__xludf.DUMMYFUNCTION("TEXT(VALUE(REGEXEXTRACT(F69,""^[+-]?[0-9]*\.?[0-9]+""))*100,""0.00"")&amp;"" +/- ""&amp;TEXT(VALUE(REGEXEXTRACT(F69,""[0-9]*\.?[0-9]+$""))*100,""0.00"")"),"36.34 +/- 0.90")</f>
        <v>36.34 +/- 0.90</v>
      </c>
      <c r="O69" s="9" t="str">
        <f>IFERROR(__xludf.DUMMYFUNCTION("TEXT(VALUE(REGEXEXTRACT(G69,""^[+-]?[0-9]*\.?[0-9]+""))*100,""0.00"")&amp;"" +/- ""&amp;TEXT(VALUE(REGEXEXTRACT(G69,""[0-9]*\.?[0-9]+$""))*100,""0.00"")"),"36.97 +/- 1.03")</f>
        <v>36.97 +/- 1.03</v>
      </c>
      <c r="P69" s="9" t="str">
        <f>IFERROR(__xludf.DUMMYFUNCTION("TEXT(VALUE(REGEXEXTRACT(H69,""^[+-]?[0-9]*\.?[0-9]+""))*100,""0.00"")&amp;"" +/- ""&amp;TEXT(VALUE(REGEXEXTRACT(H69,""[0-9]*\.?[0-9]+$""))*100,""0.00"")"),"23.53 +/- 0.49")</f>
        <v>23.53 +/- 0.49</v>
      </c>
    </row>
    <row r="70">
      <c r="A70" s="6" t="s">
        <v>1235</v>
      </c>
      <c r="B70" s="16" t="s">
        <v>1770</v>
      </c>
      <c r="C70" s="16" t="s">
        <v>1771</v>
      </c>
      <c r="D70" s="16" t="s">
        <v>1772</v>
      </c>
      <c r="E70" s="16" t="s">
        <v>1773</v>
      </c>
      <c r="F70" s="16" t="s">
        <v>1774</v>
      </c>
      <c r="G70" s="16" t="s">
        <v>1775</v>
      </c>
      <c r="H70" s="16" t="s">
        <v>1776</v>
      </c>
      <c r="I70" s="20" t="str">
        <f t="shared" si="4"/>
        <v>ML→EQ</v>
      </c>
      <c r="J70" s="9" t="str">
        <f>IFERROR(__xludf.DUMMYFUNCTION("TEXT(VALUE(REGEXEXTRACT(B70,""^[+-]?[0-9]*\.?[0-9]+""))*100,""0.00"")&amp;"" +/- ""&amp;TEXT(VALUE(REGEXEXTRACT(B70,""[0-9]*\.?[0-9]+$""))*100,""0.00"")"),"36.70 +/- 1.55")</f>
        <v>36.70 +/- 1.55</v>
      </c>
      <c r="K70" s="9" t="str">
        <f>IFERROR(__xludf.DUMMYFUNCTION("TEXT(VALUE(REGEXEXTRACT(C70,""^[+-]?[0-9]*\.?[0-9]+""))*100,""0.00"")&amp;"" +/- ""&amp;TEXT(VALUE(REGEXEXTRACT(C70,""[0-9]*\.?[0-9]+$""))*100,""0.00"")"),"9.35 +/- 1.49")</f>
        <v>9.35 +/- 1.49</v>
      </c>
      <c r="L70" s="9" t="str">
        <f>IFERROR(__xludf.DUMMYFUNCTION("TEXT(VALUE(REGEXEXTRACT(D70,""^[+-]?[0-9]*\.?[0-9]+""))*100,""0.00"")&amp;"" +/- ""&amp;TEXT(VALUE(REGEXEXTRACT(D70,""[0-9]*\.?[0-9]+$""))*100,""0.00"")"),"6.29 +/- 2.68")</f>
        <v>6.29 +/- 2.68</v>
      </c>
      <c r="M70" s="9" t="str">
        <f>IFERROR(__xludf.DUMMYFUNCTION("TEXT(VALUE(REGEXEXTRACT(E70,""^[+-]?[0-9]*\.?[0-9]+""))*100,""0.00"")&amp;"" +/- ""&amp;TEXT(VALUE(REGEXEXTRACT(E70,""[0-9]*\.?[0-9]+$""))*100,""0.00"")"),"24.42 +/- 1.45")</f>
        <v>24.42 +/- 1.45</v>
      </c>
      <c r="N70" s="9" t="str">
        <f>IFERROR(__xludf.DUMMYFUNCTION("TEXT(VALUE(REGEXEXTRACT(F70,""^[+-]?[0-9]*\.?[0-9]+""))*100,""0.00"")&amp;"" +/- ""&amp;TEXT(VALUE(REGEXEXTRACT(F70,""[0-9]*\.?[0-9]+$""))*100,""0.00"")"),"34.64 +/- 2.04")</f>
        <v>34.64 +/- 2.04</v>
      </c>
      <c r="O70" s="9" t="str">
        <f>IFERROR(__xludf.DUMMYFUNCTION("TEXT(VALUE(REGEXEXTRACT(G70,""^[+-]?[0-9]*\.?[0-9]+""))*100,""0.00"")&amp;"" +/- ""&amp;TEXT(VALUE(REGEXEXTRACT(G70,""[0-9]*\.?[0-9]+$""))*100,""0.00"")"),"36.26 +/- 2.59")</f>
        <v>36.26 +/- 2.59</v>
      </c>
      <c r="P70" s="10" t="str">
        <f>IFERROR(__xludf.DUMMYFUNCTION("TEXT(VALUE(REGEXEXTRACT(H70,""^[+-]?[0-9]*\.?[0-9]+""))*100,""0.00"")&amp;"" +/- ""&amp;TEXT(VALUE(REGEXEXTRACT(H70,""[0-9]*\.?[0-9]+$""))*100,""0.00"")"),"50.13 +/- 1.02")</f>
        <v>50.13 +/- 1.02</v>
      </c>
    </row>
    <row r="71">
      <c r="A71" s="6" t="s">
        <v>1243</v>
      </c>
      <c r="B71" s="16" t="s">
        <v>1791</v>
      </c>
      <c r="C71" s="16" t="s">
        <v>1792</v>
      </c>
      <c r="D71" s="16" t="s">
        <v>1793</v>
      </c>
      <c r="E71" s="16" t="s">
        <v>1795</v>
      </c>
      <c r="F71" s="16" t="s">
        <v>1796</v>
      </c>
      <c r="G71" s="16" t="s">
        <v>1798</v>
      </c>
      <c r="H71" s="16" t="s">
        <v>1800</v>
      </c>
      <c r="I71" s="20" t="str">
        <f t="shared" si="4"/>
        <v>ML→JDT</v>
      </c>
      <c r="J71" s="10" t="str">
        <f>IFERROR(__xludf.DUMMYFUNCTION("TEXT(VALUE(REGEXEXTRACT(B71,""^[+-]?[0-9]*\.?[0-9]+""))*100,""0.00"")&amp;"" +/- ""&amp;TEXT(VALUE(REGEXEXTRACT(B71,""[0-9]*\.?[0-9]+$""))*100,""0.00"")"),"48.95 +/- 2.80")</f>
        <v>48.95 +/- 2.80</v>
      </c>
      <c r="K71" s="9" t="str">
        <f>IFERROR(__xludf.DUMMYFUNCTION("TEXT(VALUE(REGEXEXTRACT(C71,""^[+-]?[0-9]*\.?[0-9]+""))*100,""0.00"")&amp;"" +/- ""&amp;TEXT(VALUE(REGEXEXTRACT(C71,""[0-9]*\.?[0-9]+$""))*100,""0.00"")"),"14.70 +/- 1.58")</f>
        <v>14.70 +/- 1.58</v>
      </c>
      <c r="L71" s="9" t="str">
        <f>IFERROR(__xludf.DUMMYFUNCTION("TEXT(VALUE(REGEXEXTRACT(D71,""^[+-]?[0-9]*\.?[0-9]+""))*100,""0.00"")&amp;"" +/- ""&amp;TEXT(VALUE(REGEXEXTRACT(D71,""[0-9]*\.?[0-9]+$""))*100,""0.00"")"),"9.93 +/- 2.40")</f>
        <v>9.93 +/- 2.40</v>
      </c>
      <c r="M71" s="9" t="str">
        <f>IFERROR(__xludf.DUMMYFUNCTION("TEXT(VALUE(REGEXEXTRACT(E71,""^[+-]?[0-9]*\.?[0-9]+""))*100,""0.00"")&amp;"" +/- ""&amp;TEXT(VALUE(REGEXEXTRACT(E71,""[0-9]*\.?[0-9]+$""))*100,""0.00"")"),"26.30 +/- 2.39")</f>
        <v>26.30 +/- 2.39</v>
      </c>
      <c r="N71" s="9" t="str">
        <f>IFERROR(__xludf.DUMMYFUNCTION("TEXT(VALUE(REGEXEXTRACT(F71,""^[+-]?[0-9]*\.?[0-9]+""))*100,""0.00"")&amp;"" +/- ""&amp;TEXT(VALUE(REGEXEXTRACT(F71,""[0-9]*\.?[0-9]+$""))*100,""0.00"")"),"48.50 +/- 2.60")</f>
        <v>48.50 +/- 2.60</v>
      </c>
      <c r="O71" s="9" t="str">
        <f>IFERROR(__xludf.DUMMYFUNCTION("TEXT(VALUE(REGEXEXTRACT(G71,""^[+-]?[0-9]*\.?[0-9]+""))*100,""0.00"")&amp;"" +/- ""&amp;TEXT(VALUE(REGEXEXTRACT(G71,""[0-9]*\.?[0-9]+$""))*100,""0.00"")"),"47.79 +/- 2.70")</f>
        <v>47.79 +/- 2.70</v>
      </c>
      <c r="P71" s="9" t="str">
        <f>IFERROR(__xludf.DUMMYFUNCTION("TEXT(VALUE(REGEXEXTRACT(H71,""^[+-]?[0-9]*\.?[0-9]+""))*100,""0.00"")&amp;"" +/- ""&amp;TEXT(VALUE(REGEXEXTRACT(H71,""[0-9]*\.?[0-9]+$""))*100,""0.00"")"),"32.27 +/- 0.67")</f>
        <v>32.27 +/- 0.67</v>
      </c>
    </row>
    <row r="72">
      <c r="A72" s="6" t="s">
        <v>1258</v>
      </c>
      <c r="B72" s="16" t="s">
        <v>1812</v>
      </c>
      <c r="C72" s="16" t="s">
        <v>1814</v>
      </c>
      <c r="D72" s="16" t="s">
        <v>1816</v>
      </c>
      <c r="E72" s="16" t="s">
        <v>1818</v>
      </c>
      <c r="F72" s="16" t="s">
        <v>1819</v>
      </c>
      <c r="G72" s="16" t="s">
        <v>1821</v>
      </c>
      <c r="H72" s="16" t="s">
        <v>1823</v>
      </c>
      <c r="I72" s="20" t="str">
        <f t="shared" si="4"/>
        <v>ML→LC</v>
      </c>
      <c r="J72" s="10" t="str">
        <f>IFERROR(__xludf.DUMMYFUNCTION("TEXT(VALUE(REGEXEXTRACT(B72,""^[+-]?[0-9]*\.?[0-9]+""))*100,""0.00"")&amp;"" +/- ""&amp;TEXT(VALUE(REGEXEXTRACT(B72,""[0-9]*\.?[0-9]+$""))*100,""0.00"")"),"38.08 +/- 1.70")</f>
        <v>38.08 +/- 1.70</v>
      </c>
      <c r="K72" s="9" t="str">
        <f>IFERROR(__xludf.DUMMYFUNCTION("TEXT(VALUE(REGEXEXTRACT(C72,""^[+-]?[0-9]*\.?[0-9]+""))*100,""0.00"")&amp;"" +/- ""&amp;TEXT(VALUE(REGEXEXTRACT(C72,""[0-9]*\.?[0-9]+$""))*100,""0.00"")"),"28.09 +/- 2.94")</f>
        <v>28.09 +/- 2.94</v>
      </c>
      <c r="L72" s="9" t="str">
        <f>IFERROR(__xludf.DUMMYFUNCTION("TEXT(VALUE(REGEXEXTRACT(D72,""^[+-]?[0-9]*\.?[0-9]+""))*100,""0.00"")&amp;"" +/- ""&amp;TEXT(VALUE(REGEXEXTRACT(D72,""[0-9]*\.?[0-9]+$""))*100,""0.00"")"),"14.89 +/- 4.13")</f>
        <v>14.89 +/- 4.13</v>
      </c>
      <c r="M72" s="9" t="str">
        <f>IFERROR(__xludf.DUMMYFUNCTION("TEXT(VALUE(REGEXEXTRACT(E72,""^[+-]?[0-9]*\.?[0-9]+""))*100,""0.00"")&amp;"" +/- ""&amp;TEXT(VALUE(REGEXEXTRACT(E72,""[0-9]*\.?[0-9]+$""))*100,""0.00"")"),"27.54 +/- 2.85")</f>
        <v>27.54 +/- 2.85</v>
      </c>
      <c r="N72" s="9" t="str">
        <f>IFERROR(__xludf.DUMMYFUNCTION("TEXT(VALUE(REGEXEXTRACT(F72,""^[+-]?[0-9]*\.?[0-9]+""))*100,""0.00"")&amp;"" +/- ""&amp;TEXT(VALUE(REGEXEXTRACT(F72,""[0-9]*\.?[0-9]+$""))*100,""0.00"")"),"33.74 +/- 2.22")</f>
        <v>33.74 +/- 2.22</v>
      </c>
      <c r="O72" s="9" t="str">
        <f>IFERROR(__xludf.DUMMYFUNCTION("TEXT(VALUE(REGEXEXTRACT(G72,""^[+-]?[0-9]*\.?[0-9]+""))*100,""0.00"")&amp;"" +/- ""&amp;TEXT(VALUE(REGEXEXTRACT(G72,""[0-9]*\.?[0-9]+$""))*100,""0.00"")"),"34.14 +/- 2.16")</f>
        <v>34.14 +/- 2.16</v>
      </c>
      <c r="P72" s="9" t="str">
        <f>IFERROR(__xludf.DUMMYFUNCTION("TEXT(VALUE(REGEXEXTRACT(H72,""^[+-]?[0-9]*\.?[0-9]+""))*100,""0.00"")&amp;"" +/- ""&amp;TEXT(VALUE(REGEXEXTRACT(H72,""[0-9]*\.?[0-9]+$""))*100,""0.00"")"),"16.35 +/- 0.65")</f>
        <v>16.35 +/- 0.65</v>
      </c>
    </row>
    <row r="73">
      <c r="A73" s="6" t="s">
        <v>1273</v>
      </c>
      <c r="B73" s="16" t="s">
        <v>1833</v>
      </c>
      <c r="C73" s="16" t="s">
        <v>1834</v>
      </c>
      <c r="D73" s="16" t="s">
        <v>1835</v>
      </c>
      <c r="E73" s="16" t="s">
        <v>1836</v>
      </c>
      <c r="F73" s="16" t="s">
        <v>1837</v>
      </c>
      <c r="G73" s="16" t="s">
        <v>1838</v>
      </c>
      <c r="H73" s="16" t="s">
        <v>1839</v>
      </c>
      <c r="I73" s="20" t="str">
        <f t="shared" si="4"/>
        <v>ML→PDE</v>
      </c>
      <c r="J73" s="9" t="str">
        <f>IFERROR(__xludf.DUMMYFUNCTION("TEXT(VALUE(REGEXEXTRACT(B73,""^[+-]?[0-9]*\.?[0-9]+""))*100,""0.00"")&amp;"" +/- ""&amp;TEXT(VALUE(REGEXEXTRACT(B73,""[0-9]*\.?[0-9]+$""))*100,""0.00"")"),"35.64 +/- 0.68")</f>
        <v>35.64 +/- 0.68</v>
      </c>
      <c r="K73" s="9" t="str">
        <f>IFERROR(__xludf.DUMMYFUNCTION("TEXT(VALUE(REGEXEXTRACT(C73,""^[+-]?[0-9]*\.?[0-9]+""))*100,""0.00"")&amp;"" +/- ""&amp;TEXT(VALUE(REGEXEXTRACT(C73,""[0-9]*\.?[0-9]+$""))*100,""0.00"")"),"12.42 +/- 1.75")</f>
        <v>12.42 +/- 1.75</v>
      </c>
      <c r="L73" s="9" t="str">
        <f>IFERROR(__xludf.DUMMYFUNCTION("TEXT(VALUE(REGEXEXTRACT(D73,""^[+-]?[0-9]*\.?[0-9]+""))*100,""0.00"")&amp;"" +/- ""&amp;TEXT(VALUE(REGEXEXTRACT(D73,""[0-9]*\.?[0-9]+$""))*100,""0.00"")"),"9.13 +/- 2.38")</f>
        <v>9.13 +/- 2.38</v>
      </c>
      <c r="M73" s="9" t="str">
        <f>IFERROR(__xludf.DUMMYFUNCTION("TEXT(VALUE(REGEXEXTRACT(E73,""^[+-]?[0-9]*\.?[0-9]+""))*100,""0.00"")&amp;"" +/- ""&amp;TEXT(VALUE(REGEXEXTRACT(E73,""[0-9]*\.?[0-9]+$""))*100,""0.00"")"),"32.66 +/- 1.03")</f>
        <v>32.66 +/- 1.03</v>
      </c>
      <c r="N73" s="9" t="str">
        <f>IFERROR(__xludf.DUMMYFUNCTION("TEXT(VALUE(REGEXEXTRACT(F73,""^[+-]?[0-9]*\.?[0-9]+""))*100,""0.00"")&amp;"" +/- ""&amp;TEXT(VALUE(REGEXEXTRACT(F73,""[0-9]*\.?[0-9]+$""))*100,""0.00"")"),"37.68 +/- 1.00")</f>
        <v>37.68 +/- 1.00</v>
      </c>
      <c r="O73" s="10" t="str">
        <f>IFERROR(__xludf.DUMMYFUNCTION("TEXT(VALUE(REGEXEXTRACT(G73,""^[+-]?[0-9]*\.?[0-9]+""))*100,""0.00"")&amp;"" +/- ""&amp;TEXT(VALUE(REGEXEXTRACT(G73,""[0-9]*\.?[0-9]+$""))*100,""0.00"")"),"37.82 +/- 1.10")</f>
        <v>37.82 +/- 1.10</v>
      </c>
      <c r="P73" s="9" t="str">
        <f>IFERROR(__xludf.DUMMYFUNCTION("TEXT(VALUE(REGEXEXTRACT(H73,""^[+-]?[0-9]*\.?[0-9]+""))*100,""0.00"")&amp;"" +/- ""&amp;TEXT(VALUE(REGEXEXTRACT(H73,""[0-9]*\.?[0-9]+$""))*100,""0.00"")"),"24.26 +/- 0.37")</f>
        <v>24.26 +/- 0.37</v>
      </c>
    </row>
    <row r="74">
      <c r="A74" s="6" t="s">
        <v>1288</v>
      </c>
      <c r="B74" s="16" t="s">
        <v>1854</v>
      </c>
      <c r="C74" s="16" t="s">
        <v>1855</v>
      </c>
      <c r="D74" s="16" t="s">
        <v>1856</v>
      </c>
      <c r="E74" s="16" t="s">
        <v>1857</v>
      </c>
      <c r="F74" s="16" t="s">
        <v>1858</v>
      </c>
      <c r="G74" s="16" t="s">
        <v>1859</v>
      </c>
      <c r="H74" s="16" t="s">
        <v>1861</v>
      </c>
      <c r="I74" s="20" t="str">
        <f t="shared" si="4"/>
        <v>PDE→EQ</v>
      </c>
      <c r="J74" s="9" t="str">
        <f>IFERROR(__xludf.DUMMYFUNCTION("TEXT(VALUE(REGEXEXTRACT(B74,""^[+-]?[0-9]*\.?[0-9]+""))*100,""0.00"")&amp;"" +/- ""&amp;TEXT(VALUE(REGEXEXTRACT(B74,""[0-9]*\.?[0-9]+$""))*100,""0.00"")"),"35.40 +/- 2.15")</f>
        <v>35.40 +/- 2.15</v>
      </c>
      <c r="K74" s="9" t="str">
        <f>IFERROR(__xludf.DUMMYFUNCTION("TEXT(VALUE(REGEXEXTRACT(C74,""^[+-]?[0-9]*\.?[0-9]+""))*100,""0.00"")&amp;"" +/- ""&amp;TEXT(VALUE(REGEXEXTRACT(C74,""[0-9]*\.?[0-9]+$""))*100,""0.00"")"),"18.28 +/- 1.56")</f>
        <v>18.28 +/- 1.56</v>
      </c>
      <c r="L74" s="9" t="str">
        <f>IFERROR(__xludf.DUMMYFUNCTION("TEXT(VALUE(REGEXEXTRACT(D74,""^[+-]?[0-9]*\.?[0-9]+""))*100,""0.00"")&amp;"" +/- ""&amp;TEXT(VALUE(REGEXEXTRACT(D74,""[0-9]*\.?[0-9]+$""))*100,""0.00"")"),"18.53 +/- 2.86")</f>
        <v>18.53 +/- 2.86</v>
      </c>
      <c r="M74" s="9" t="str">
        <f>IFERROR(__xludf.DUMMYFUNCTION("TEXT(VALUE(REGEXEXTRACT(E74,""^[+-]?[0-9]*\.?[0-9]+""))*100,""0.00"")&amp;"" +/- ""&amp;TEXT(VALUE(REGEXEXTRACT(E74,""[0-9]*\.?[0-9]+$""))*100,""0.00"")"),"23.18 +/- 1.57")</f>
        <v>23.18 +/- 1.57</v>
      </c>
      <c r="N74" s="10" t="str">
        <f>IFERROR(__xludf.DUMMYFUNCTION("TEXT(VALUE(REGEXEXTRACT(F74,""^[+-]?[0-9]*\.?[0-9]+""))*100,""0.00"")&amp;"" +/- ""&amp;TEXT(VALUE(REGEXEXTRACT(F74,""[0-9]*\.?[0-9]+$""))*100,""0.00"")"),"41.16 +/- 2.74")</f>
        <v>41.16 +/- 2.74</v>
      </c>
      <c r="O74" s="9" t="str">
        <f>IFERROR(__xludf.DUMMYFUNCTION("TEXT(VALUE(REGEXEXTRACT(G74,""^[+-]?[0-9]*\.?[0-9]+""))*100,""0.00"")&amp;"" +/- ""&amp;TEXT(VALUE(REGEXEXTRACT(G74,""[0-9]*\.?[0-9]+$""))*100,""0.00"")"),"38.46 +/- 2.76")</f>
        <v>38.46 +/- 2.76</v>
      </c>
      <c r="P74" s="9" t="str">
        <f>IFERROR(__xludf.DUMMYFUNCTION("TEXT(VALUE(REGEXEXTRACT(H74,""^[+-]?[0-9]*\.?[0-9]+""))*100,""0.00"")&amp;"" +/- ""&amp;TEXT(VALUE(REGEXEXTRACT(H74,""[0-9]*\.?[0-9]+$""))*100,""0.00"")"),"39.89 +/- 3.03")</f>
        <v>39.89 +/- 3.03</v>
      </c>
    </row>
    <row r="75">
      <c r="A75" s="6" t="s">
        <v>1303</v>
      </c>
      <c r="B75" s="16" t="s">
        <v>1868</v>
      </c>
      <c r="C75" s="16" t="s">
        <v>1869</v>
      </c>
      <c r="D75" s="16" t="s">
        <v>1870</v>
      </c>
      <c r="E75" s="16" t="s">
        <v>1871</v>
      </c>
      <c r="F75" s="16" t="s">
        <v>1872</v>
      </c>
      <c r="G75" s="16" t="s">
        <v>1873</v>
      </c>
      <c r="H75" s="16" t="s">
        <v>1874</v>
      </c>
      <c r="I75" s="20" t="str">
        <f t="shared" si="4"/>
        <v>PDE→JDT</v>
      </c>
      <c r="J75" s="10" t="str">
        <f>IFERROR(__xludf.DUMMYFUNCTION("TEXT(VALUE(REGEXEXTRACT(B75,""^[+-]?[0-9]*\.?[0-9]+""))*100,""0.00"")&amp;"" +/- ""&amp;TEXT(VALUE(REGEXEXTRACT(B75,""[0-9]*\.?[0-9]+$""))*100,""0.00"")"),"56.62 +/- 1.37")</f>
        <v>56.62 +/- 1.37</v>
      </c>
      <c r="K75" s="9" t="str">
        <f>IFERROR(__xludf.DUMMYFUNCTION("TEXT(VALUE(REGEXEXTRACT(C75,""^[+-]?[0-9]*\.?[0-9]+""))*100,""0.00"")&amp;"" +/- ""&amp;TEXT(VALUE(REGEXEXTRACT(C75,""[0-9]*\.?[0-9]+$""))*100,""0.00"")"),"25.50 +/- 2.12")</f>
        <v>25.50 +/- 2.12</v>
      </c>
      <c r="L75" s="9" t="str">
        <f>IFERROR(__xludf.DUMMYFUNCTION("TEXT(VALUE(REGEXEXTRACT(D75,""^[+-]?[0-9]*\.?[0-9]+""))*100,""0.00"")&amp;"" +/- ""&amp;TEXT(VALUE(REGEXEXTRACT(D75,""[0-9]*\.?[0-9]+$""))*100,""0.00"")"),"27.87 +/- 2.11")</f>
        <v>27.87 +/- 2.11</v>
      </c>
      <c r="M75" s="9" t="str">
        <f>IFERROR(__xludf.DUMMYFUNCTION("TEXT(VALUE(REGEXEXTRACT(E75,""^[+-]?[0-9]*\.?[0-9]+""))*100,""0.00"")&amp;"" +/- ""&amp;TEXT(VALUE(REGEXEXTRACT(E75,""[0-9]*\.?[0-9]+$""))*100,""0.00"")"),"41.23 +/- 2.04")</f>
        <v>41.23 +/- 2.04</v>
      </c>
      <c r="N75" s="9" t="str">
        <f>IFERROR(__xludf.DUMMYFUNCTION("TEXT(VALUE(REGEXEXTRACT(F75,""^[+-]?[0-9]*\.?[0-9]+""))*100,""0.00"")&amp;"" +/- ""&amp;TEXT(VALUE(REGEXEXTRACT(F75,""[0-9]*\.?[0-9]+$""))*100,""0.00"")"),"51.69 +/- 1.32")</f>
        <v>51.69 +/- 1.32</v>
      </c>
      <c r="O75" s="9" t="str">
        <f>IFERROR(__xludf.DUMMYFUNCTION("TEXT(VALUE(REGEXEXTRACT(G75,""^[+-]?[0-9]*\.?[0-9]+""))*100,""0.00"")&amp;"" +/- ""&amp;TEXT(VALUE(REGEXEXTRACT(G75,""[0-9]*\.?[0-9]+$""))*100,""0.00"")"),"53.17 +/- 1.47")</f>
        <v>53.17 +/- 1.47</v>
      </c>
      <c r="P75" s="9" t="str">
        <f>IFERROR(__xludf.DUMMYFUNCTION("TEXT(VALUE(REGEXEXTRACT(H75,""^[+-]?[0-9]*\.?[0-9]+""))*100,""0.00"")&amp;"" +/- ""&amp;TEXT(VALUE(REGEXEXTRACT(H75,""[0-9]*\.?[0-9]+$""))*100,""0.00"")"),"35.51 +/- 1.47")</f>
        <v>35.51 +/- 1.47</v>
      </c>
    </row>
    <row r="76">
      <c r="A76" s="6" t="s">
        <v>1311</v>
      </c>
      <c r="B76" s="16" t="s">
        <v>1889</v>
      </c>
      <c r="C76" s="16" t="s">
        <v>1890</v>
      </c>
      <c r="D76" s="16" t="s">
        <v>1891</v>
      </c>
      <c r="E76" s="16" t="s">
        <v>1892</v>
      </c>
      <c r="F76" s="16" t="s">
        <v>1893</v>
      </c>
      <c r="G76" s="16" t="s">
        <v>1894</v>
      </c>
      <c r="H76" s="16" t="s">
        <v>1895</v>
      </c>
      <c r="I76" s="20" t="str">
        <f t="shared" si="4"/>
        <v>PDE→LC</v>
      </c>
      <c r="J76" s="9" t="str">
        <f>IFERROR(__xludf.DUMMYFUNCTION("TEXT(VALUE(REGEXEXTRACT(B76,""^[+-]?[0-9]*\.?[0-9]+""))*100,""0.00"")&amp;"" +/- ""&amp;TEXT(VALUE(REGEXEXTRACT(B76,""[0-9]*\.?[0-9]+$""))*100,""0.00"")"),"37.86 +/- 2.07")</f>
        <v>37.86 +/- 2.07</v>
      </c>
      <c r="K76" s="9" t="str">
        <f>IFERROR(__xludf.DUMMYFUNCTION("TEXT(VALUE(REGEXEXTRACT(C76,""^[+-]?[0-9]*\.?[0-9]+""))*100,""0.00"")&amp;"" +/- ""&amp;TEXT(VALUE(REGEXEXTRACT(C76,""[0-9]*\.?[0-9]+$""))*100,""0.00"")"),"30.16 +/- 2.70")</f>
        <v>30.16 +/- 2.70</v>
      </c>
      <c r="L76" s="9" t="str">
        <f>IFERROR(__xludf.DUMMYFUNCTION("TEXT(VALUE(REGEXEXTRACT(D76,""^[+-]?[0-9]*\.?[0-9]+""))*100,""0.00"")&amp;"" +/- ""&amp;TEXT(VALUE(REGEXEXTRACT(D76,""[0-9]*\.?[0-9]+$""))*100,""0.00"")"),"32.15 +/- 3.73")</f>
        <v>32.15 +/- 3.73</v>
      </c>
      <c r="M76" s="9" t="str">
        <f>IFERROR(__xludf.DUMMYFUNCTION("TEXT(VALUE(REGEXEXTRACT(E76,""^[+-]?[0-9]*\.?[0-9]+""))*100,""0.00"")&amp;"" +/- ""&amp;TEXT(VALUE(REGEXEXTRACT(E76,""[0-9]*\.?[0-9]+$""))*100,""0.00"")"),"28.88 +/- 3.80")</f>
        <v>28.88 +/- 3.80</v>
      </c>
      <c r="N76" s="9" t="str">
        <f>IFERROR(__xludf.DUMMYFUNCTION("TEXT(VALUE(REGEXEXTRACT(F76,""^[+-]?[0-9]*\.?[0-9]+""))*100,""0.00"")&amp;"" +/- ""&amp;TEXT(VALUE(REGEXEXTRACT(F76,""[0-9]*\.?[0-9]+$""))*100,""0.00"")"),"31.09 +/- 2.71")</f>
        <v>31.09 +/- 2.71</v>
      </c>
      <c r="O76" s="9" t="str">
        <f>IFERROR(__xludf.DUMMYFUNCTION("TEXT(VALUE(REGEXEXTRACT(G76,""^[+-]?[0-9]*\.?[0-9]+""))*100,""0.00"")&amp;"" +/- ""&amp;TEXT(VALUE(REGEXEXTRACT(G76,""[0-9]*\.?[0-9]+$""))*100,""0.00"")"),"31.92 +/- 2.00")</f>
        <v>31.92 +/- 2.00</v>
      </c>
      <c r="P76" s="10" t="str">
        <f>IFERROR(__xludf.DUMMYFUNCTION("TEXT(VALUE(REGEXEXTRACT(H76,""^[+-]?[0-9]*\.?[0-9]+""))*100,""0.00"")&amp;"" +/- ""&amp;TEXT(VALUE(REGEXEXTRACT(H76,""[0-9]*\.?[0-9]+$""))*100,""0.00"")"),"41.93 +/- 2.91")</f>
        <v>41.93 +/- 2.91</v>
      </c>
    </row>
    <row r="77">
      <c r="A77" s="6" t="s">
        <v>1319</v>
      </c>
      <c r="B77" s="16" t="s">
        <v>1910</v>
      </c>
      <c r="C77" s="16" t="s">
        <v>1912</v>
      </c>
      <c r="D77" s="16" t="s">
        <v>1914</v>
      </c>
      <c r="E77" s="16" t="s">
        <v>1916</v>
      </c>
      <c r="F77" s="16" t="s">
        <v>1918</v>
      </c>
      <c r="G77" s="16" t="s">
        <v>1920</v>
      </c>
      <c r="H77" s="16" t="s">
        <v>1922</v>
      </c>
      <c r="I77" s="20" t="str">
        <f t="shared" si="4"/>
        <v>PDE→ML</v>
      </c>
      <c r="J77" s="10" t="str">
        <f>IFERROR(__xludf.DUMMYFUNCTION("TEXT(VALUE(REGEXEXTRACT(B77,""^[+-]?[0-9]*\.?[0-9]+""))*100,""0.00"")&amp;"" +/- ""&amp;TEXT(VALUE(REGEXEXTRACT(B77,""[0-9]*\.?[0-9]+$""))*100,""0.00"")"),"34.13 +/- 0.87")</f>
        <v>34.13 +/- 0.87</v>
      </c>
      <c r="K77" s="9" t="str">
        <f>IFERROR(__xludf.DUMMYFUNCTION("TEXT(VALUE(REGEXEXTRACT(C77,""^[+-]?[0-9]*\.?[0-9]+""))*100,""0.00"")&amp;"" +/- ""&amp;TEXT(VALUE(REGEXEXTRACT(C77,""[0-9]*\.?[0-9]+$""))*100,""0.00"")"),"17.25 +/- 1.20")</f>
        <v>17.25 +/- 1.20</v>
      </c>
      <c r="L77" s="9" t="str">
        <f>IFERROR(__xludf.DUMMYFUNCTION("TEXT(VALUE(REGEXEXTRACT(D77,""^[+-]?[0-9]*\.?[0-9]+""))*100,""0.00"")&amp;"" +/- ""&amp;TEXT(VALUE(REGEXEXTRACT(D77,""[0-9]*\.?[0-9]+$""))*100,""0.00"")"),"18.48 +/- 1.95")</f>
        <v>18.48 +/- 1.95</v>
      </c>
      <c r="M77" s="9" t="str">
        <f>IFERROR(__xludf.DUMMYFUNCTION("TEXT(VALUE(REGEXEXTRACT(E77,""^[+-]?[0-9]*\.?[0-9]+""))*100,""0.00"")&amp;"" +/- ""&amp;TEXT(VALUE(REGEXEXTRACT(E77,""[0-9]*\.?[0-9]+$""))*100,""0.00"")"),"28.02 +/- 1.45")</f>
        <v>28.02 +/- 1.45</v>
      </c>
      <c r="N77" s="9" t="str">
        <f>IFERROR(__xludf.DUMMYFUNCTION("TEXT(VALUE(REGEXEXTRACT(F77,""^[+-]?[0-9]*\.?[0-9]+""))*100,""0.00"")&amp;"" +/- ""&amp;TEXT(VALUE(REGEXEXTRACT(F77,""[0-9]*\.?[0-9]+$""))*100,""0.00"")"),"28.69 +/- 1.13")</f>
        <v>28.69 +/- 1.13</v>
      </c>
      <c r="O77" s="9" t="str">
        <f>IFERROR(__xludf.DUMMYFUNCTION("TEXT(VALUE(REGEXEXTRACT(G77,""^[+-]?[0-9]*\.?[0-9]+""))*100,""0.00"")&amp;"" +/- ""&amp;TEXT(VALUE(REGEXEXTRACT(G77,""[0-9]*\.?[0-9]+$""))*100,""0.00"")"),"29.56 +/- 1.04")</f>
        <v>29.56 +/- 1.04</v>
      </c>
      <c r="P77" s="9" t="str">
        <f>IFERROR(__xludf.DUMMYFUNCTION("TEXT(VALUE(REGEXEXTRACT(H77,""^[+-]?[0-9]*\.?[0-9]+""))*100,""0.00"")&amp;"" +/- ""&amp;TEXT(VALUE(REGEXEXTRACT(H77,""[0-9]*\.?[0-9]+$""))*100,""0.00"")"),"28.09 +/- 2.18")</f>
        <v>28.09 +/- 2.18</v>
      </c>
    </row>
    <row r="78">
      <c r="A78" s="6" t="s">
        <v>371</v>
      </c>
      <c r="B78" s="14"/>
      <c r="C78" s="21" t="s">
        <v>1096</v>
      </c>
      <c r="D78" s="21" t="s">
        <v>990</v>
      </c>
      <c r="E78" s="21" t="s">
        <v>473</v>
      </c>
      <c r="F78" s="21" t="s">
        <v>1096</v>
      </c>
      <c r="G78" s="21" t="s">
        <v>1096</v>
      </c>
      <c r="H78" s="21" t="s">
        <v>488</v>
      </c>
      <c r="I78" s="20" t="str">
        <f t="shared" si="4"/>
        <v>W/T/L</v>
      </c>
      <c r="K78" s="20" t="str">
        <f>IFERROR(__xludf.DUMMYFUNCTION("SUM(ARRAYFORMULA(IFERROR(
  (VALUE(REGEXEXTRACT($J$58:$J$77,""^[+-]?[0-9]*\.?[0-9]+""))&gt;
   VALUE(REGEXEXTRACT(K$58:K$77,""^[+-]?[0-9]*\.?[0-9]+"")))*1,0)))
&amp;""/""&amp;
SUM(ARRAYFORMULA(IFERROR(
  (VALUE(REGEXEXTRACT($J$58:$J$77,""^[+-]?[0-9]*\.?[0-9]+""))=
 "&amp;"  VALUE(REGEXEXTRACT(K$58:K$77,""^[+-]?[0-9]*\.?[0-9]+"")))*1,0)))
&amp;""/""&amp;
SUM(ARRAYFORMULA(IFERROR(
  (VALUE(REGEXEXTRACT($J$58:$J$77,""^[+-]?[0-9]*\.?[0-9]+""))&lt;
   VALUE(REGEXEXTRACT(K$58:K$77,""^[+-]?[0-9]*\.?[0-9]+"")))*1,0)))"),"15/0/5")</f>
        <v>15/0/5</v>
      </c>
      <c r="L78" s="20" t="str">
        <f>IFERROR(__xludf.DUMMYFUNCTION("SUM(ARRAYFORMULA(IFERROR(
  (VALUE(REGEXEXTRACT($J$58:$J$77,""^[+-]?[0-9]*\.?[0-9]+""))&gt;
   VALUE(REGEXEXTRACT(L$58:L$77,""^[+-]?[0-9]*\.?[0-9]+"")))*1,0)))
&amp;""/""&amp;
SUM(ARRAYFORMULA(IFERROR(
  (VALUE(REGEXEXTRACT($J$58:$J$77,""^[+-]?[0-9]*\.?[0-9]+""))=
 "&amp;"  VALUE(REGEXEXTRACT(L$58:L$77,""^[+-]?[0-9]*\.?[0-9]+"")))*1,0)))
&amp;""/""&amp;
SUM(ARRAYFORMULA(IFERROR(
  (VALUE(REGEXEXTRACT($J$58:$J$77,""^[+-]?[0-9]*\.?[0-9]+""))&lt;
   VALUE(REGEXEXTRACT(L$58:L$77,""^[+-]?[0-9]*\.?[0-9]+"")))*1,0)))"),"17/0/3")</f>
        <v>17/0/3</v>
      </c>
      <c r="M78" s="20" t="str">
        <f>IFERROR(__xludf.DUMMYFUNCTION("SUM(ARRAYFORMULA(IFERROR(
  (VALUE(REGEXEXTRACT($J$58:$J$77,""^[+-]?[0-9]*\.?[0-9]+""))&gt;
   VALUE(REGEXEXTRACT(M$58:M$77,""^[+-]?[0-9]*\.?[0-9]+"")))*1,0)))
&amp;""/""&amp;
SUM(ARRAYFORMULA(IFERROR(
  (VALUE(REGEXEXTRACT($J$58:$J$77,""^[+-]?[0-9]*\.?[0-9]+""))=
 "&amp;"  VALUE(REGEXEXTRACT(M$58:M$77,""^[+-]?[0-9]*\.?[0-9]+"")))*1,0)))
&amp;""/""&amp;
SUM(ARRAYFORMULA(IFERROR(
  (VALUE(REGEXEXTRACT($J$58:$J$77,""^[+-]?[0-9]*\.?[0-9]+""))&lt;
   VALUE(REGEXEXTRACT(M$58:M$77,""^[+-]?[0-9]*\.?[0-9]+"")))*1,0)))"),"18/0/2")</f>
        <v>18/0/2</v>
      </c>
      <c r="N78" s="20" t="str">
        <f>IFERROR(__xludf.DUMMYFUNCTION("SUM(ARRAYFORMULA(IFERROR(
  (VALUE(REGEXEXTRACT($J$58:$J$77,""^[+-]?[0-9]*\.?[0-9]+""))&gt;
   VALUE(REGEXEXTRACT(N$58:N$77,""^[+-]?[0-9]*\.?[0-9]+"")))*1,0)))
&amp;""/""&amp;
SUM(ARRAYFORMULA(IFERROR(
  (VALUE(REGEXEXTRACT($J$58:$J$77,""^[+-]?[0-9]*\.?[0-9]+""))=
 "&amp;"  VALUE(REGEXEXTRACT(N$58:N$77,""^[+-]?[0-9]*\.?[0-9]+"")))*1,0)))
&amp;""/""&amp;
SUM(ARRAYFORMULA(IFERROR(
  (VALUE(REGEXEXTRACT($J$58:$J$77,""^[+-]?[0-9]*\.?[0-9]+""))&lt;
   VALUE(REGEXEXTRACT(N$58:N$77,""^[+-]?[0-9]*\.?[0-9]+"")))*1,0)))"),"15/0/5")</f>
        <v>15/0/5</v>
      </c>
      <c r="O78" s="20" t="str">
        <f>IFERROR(__xludf.DUMMYFUNCTION("SUM(ARRAYFORMULA(IFERROR(
  (VALUE(REGEXEXTRACT($J$58:$J$77,""^[+-]?[0-9]*\.?[0-9]+""))&gt;
   VALUE(REGEXEXTRACT(O$58:O$77,""^[+-]?[0-9]*\.?[0-9]+"")))*1,0)))
&amp;""/""&amp;
SUM(ARRAYFORMULA(IFERROR(
  (VALUE(REGEXEXTRACT($J$58:$J$77,""^[+-]?[0-9]*\.?[0-9]+""))=
 "&amp;"  VALUE(REGEXEXTRACT(O$58:O$77,""^[+-]?[0-9]*\.?[0-9]+"")))*1,0)))
&amp;""/""&amp;
SUM(ARRAYFORMULA(IFERROR(
  (VALUE(REGEXEXTRACT($J$58:$J$77,""^[+-]?[0-9]*\.?[0-9]+""))&lt;
   VALUE(REGEXEXTRACT(O$58:O$77,""^[+-]?[0-9]*\.?[0-9]+"")))*1,0)))"),"15/0/5")</f>
        <v>15/0/5</v>
      </c>
      <c r="P78" s="20" t="str">
        <f>IFERROR(__xludf.DUMMYFUNCTION("SUM(ARRAYFORMULA(IFERROR(
  (VALUE(REGEXEXTRACT($J$58:$J$77,""^[+-]?[0-9]*\.?[0-9]+""))&gt;
   VALUE(REGEXEXTRACT(P$58:P$77,""^[+-]?[0-9]*\.?[0-9]+"")))*1,0)))
&amp;""/""&amp;
SUM(ARRAYFORMULA(IFERROR(
  (VALUE(REGEXEXTRACT($J$58:$J$77,""^[+-]?[0-9]*\.?[0-9]+""))=
 "&amp;"  VALUE(REGEXEXTRACT(P$58:P$77,""^[+-]?[0-9]*\.?[0-9]+"")))*1,0)))
&amp;""/""&amp;
SUM(ARRAYFORMULA(IFERROR(
  (VALUE(REGEXEXTRACT($J$58:$J$77,""^[+-]?[0-9]*\.?[0-9]+""))&lt;
   VALUE(REGEXEXTRACT(P$58:P$77,""^[+-]?[0-9]*\.?[0-9]+"")))*1,0)))"),"13/0/7")</f>
        <v>13/0/7</v>
      </c>
    </row>
    <row r="79">
      <c r="A79" s="6" t="s">
        <v>489</v>
      </c>
      <c r="B79" s="14" t="s">
        <v>1959</v>
      </c>
      <c r="C79" s="14" t="s">
        <v>1004</v>
      </c>
      <c r="D79" s="14" t="s">
        <v>1960</v>
      </c>
      <c r="E79" s="14" t="s">
        <v>1961</v>
      </c>
      <c r="F79" s="14" t="s">
        <v>1962</v>
      </c>
      <c r="G79" s="14" t="s">
        <v>1963</v>
      </c>
      <c r="H79" s="14" t="s">
        <v>1964</v>
      </c>
      <c r="I79" s="20" t="str">
        <f t="shared" si="4"/>
        <v>Average (%)</v>
      </c>
      <c r="J79" s="14">
        <f>IFERROR(__xludf.DUMMYFUNCTION("ROUND(AVERAGE(ARRAYFORMULA(IFERROR(VALUE(REGEXEXTRACT(J$58:J$77,""^[+-]?[0-9]*\.?[0-9]+"")),""""))),2)"),40.07)</f>
        <v>40.07</v>
      </c>
      <c r="K79" s="14">
        <f>IFERROR(__xludf.DUMMYFUNCTION("ROUND(AVERAGE(ARRAYFORMULA(IFERROR(VALUE(REGEXEXTRACT(K$58:K$77,""^[+-]?[0-9]*\.?[0-9]+"")),""""))),2)"),27.63)</f>
        <v>27.63</v>
      </c>
      <c r="L79" s="14">
        <f>IFERROR(__xludf.DUMMYFUNCTION("ROUND(AVERAGE(ARRAYFORMULA(IFERROR(VALUE(REGEXEXTRACT(L$58:L$77,""^[+-]?[0-9]*\.?[0-9]+"")),""""))),2)"),25.91)</f>
        <v>25.91</v>
      </c>
      <c r="M79" s="14">
        <f>IFERROR(__xludf.DUMMYFUNCTION("ROUND(AVERAGE(ARRAYFORMULA(IFERROR(VALUE(REGEXEXTRACT(M$58:M$77,""^[+-]?[0-9]*\.?[0-9]+"")),""""))),2)"),33.15)</f>
        <v>33.15</v>
      </c>
      <c r="N79" s="14">
        <f>IFERROR(__xludf.DUMMYFUNCTION("ROUND(AVERAGE(ARRAYFORMULA(IFERROR(VALUE(REGEXEXTRACT(N$58:N$77,""^[+-]?[0-9]*\.?[0-9]+"")),""""))),2)"),37.82)</f>
        <v>37.82</v>
      </c>
      <c r="O79" s="14">
        <f>IFERROR(__xludf.DUMMYFUNCTION("ROUND(AVERAGE(ARRAYFORMULA(IFERROR(VALUE(REGEXEXTRACT(O$58:O$77,""^[+-]?[0-9]*\.?[0-9]+"")),""""))),2)"),38.46)</f>
        <v>38.46</v>
      </c>
      <c r="P79" s="14">
        <f>IFERROR(__xludf.DUMMYFUNCTION("ROUND(AVERAGE(ARRAYFORMULA(IFERROR(VALUE(REGEXEXTRACT(P$58:P$77,""^[+-]?[0-9]*\.?[0-9]+"")),""""))),2)"),34.32)</f>
        <v>34.32</v>
      </c>
    </row>
    <row r="80">
      <c r="A80" s="6" t="s">
        <v>1334</v>
      </c>
      <c r="B80" s="14"/>
      <c r="C80" s="34" t="s">
        <v>1972</v>
      </c>
      <c r="D80" s="34" t="s">
        <v>1973</v>
      </c>
      <c r="E80" s="34" t="s">
        <v>1458</v>
      </c>
      <c r="F80" s="34" t="s">
        <v>1974</v>
      </c>
      <c r="G80" s="34" t="s">
        <v>1339</v>
      </c>
      <c r="H80" s="34" t="s">
        <v>1339</v>
      </c>
      <c r="I80" s="20" t="str">
        <f t="shared" si="4"/>
        <v>Overall W/T/L</v>
      </c>
      <c r="K80" s="34" t="str">
        <f>IFERROR(__xludf.DUMMYFUNCTION("SUM(ARRAYFORMULA(IFERROR(REGEXMATCH($A$3:$A$77,""→"")*(VALUE(REGEXEXTRACT($J$3:$J$77,""^[+-]?[0-9]*\.?[0-9]+""))&gt;VALUE(REGEXEXTRACT(K$3:K$77,""^[+-]?[0-9]*\.?[0-9]+""))),0)))
&amp;""/""&amp;
SUM(ARRAYFORMULA(IFERROR(REGEXMATCH($A$3:$A$77,""→"")*(VALUE(REGEXEXTRAC"&amp;"T($J$3:$J$77,""^[+-]?[0-9]*\.?[0-9]+""))=VALUE(REGEXEXTRACT(K$3:K$77,""^[+-]?[0-9]*\.?[0-9]+""))),0)))
&amp;""/""&amp;
SUM(ARRAYFORMULA(IFERROR(REGEXMATCH($A$3:$A$77,""→"")*(VALUE(REGEXEXTRACT($J$3:$J$77,""^[+-]?[0-9]*\.?[0-9]+""))&lt;VALUE(REGEXEXTRACT(K$3:K$77,""^"&amp;"[+-]?[0-9]*\.?[0-9]+""))),0)))"),"49/2/15")</f>
        <v>49/2/15</v>
      </c>
      <c r="L80" s="34" t="str">
        <f>IFERROR(__xludf.DUMMYFUNCTION("SUM(ARRAYFORMULA(IFERROR(REGEXMATCH($A$3:$A$77,""→"")*(VALUE(REGEXEXTRACT($J$3:$J$77,""^[+-]?[0-9]*\.?[0-9]+""))&gt;VALUE(REGEXEXTRACT(L$3:L$77,""^[+-]?[0-9]*\.?[0-9]+""))),0)))
&amp;""/""&amp;
SUM(ARRAYFORMULA(IFERROR(REGEXMATCH($A$3:$A$77,""→"")*(VALUE(REGEXEXTRAC"&amp;"T($J$3:$J$77,""^[+-]?[0-9]*\.?[0-9]+""))=VALUE(REGEXEXTRACT(L$3:L$77,""^[+-]?[0-9]*\.?[0-9]+""))),0)))
&amp;""/""&amp;
SUM(ARRAYFORMULA(IFERROR(REGEXMATCH($A$3:$A$77,""→"")*(VALUE(REGEXEXTRACT($J$3:$J$77,""^[+-]?[0-9]*\.?[0-9]+""))&lt;VALUE(REGEXEXTRACT(L$3:L$77,""^"&amp;"[+-]?[0-9]*\.?[0-9]+""))),0)))"),"63/0/3")</f>
        <v>63/0/3</v>
      </c>
      <c r="M80" s="34" t="str">
        <f>IFERROR(__xludf.DUMMYFUNCTION("SUM(ARRAYFORMULA(IFERROR(REGEXMATCH($A$3:$A$77,""→"")*(VALUE(REGEXEXTRACT($J$3:$J$77,""^[+-]?[0-9]*\.?[0-9]+""))&gt;VALUE(REGEXEXTRACT(M$3:M$77,""^[+-]?[0-9]*\.?[0-9]+""))),0)))
&amp;""/""&amp;
SUM(ARRAYFORMULA(IFERROR(REGEXMATCH($A$3:$A$77,""→"")*(VALUE(REGEXEXTRAC"&amp;"T($J$3:$J$77,""^[+-]?[0-9]*\.?[0-9]+""))=VALUE(REGEXEXTRACT(M$3:M$77,""^[+-]?[0-9]*\.?[0-9]+""))),0)))
&amp;""/""&amp;
SUM(ARRAYFORMULA(IFERROR(REGEXMATCH($A$3:$A$77,""→"")*(VALUE(REGEXEXTRACT($J$3:$J$77,""^[+-]?[0-9]*\.?[0-9]+""))&lt;VALUE(REGEXEXTRACT(M$3:M$77,""^"&amp;"[+-]?[0-9]*\.?[0-9]+""))),0)))"),"45/2/19")</f>
        <v>45/2/19</v>
      </c>
      <c r="N80" s="34" t="str">
        <f>IFERROR(__xludf.DUMMYFUNCTION("SUM(ARRAYFORMULA(IFERROR(REGEXMATCH($A$3:$A$77,""→"")*(VALUE(REGEXEXTRACT($J$3:$J$77,""^[+-]?[0-9]*\.?[0-9]+""))&gt;VALUE(REGEXEXTRACT(N$3:N$77,""^[+-]?[0-9]*\.?[0-9]+""))),0)))
&amp;""/""&amp;
SUM(ARRAYFORMULA(IFERROR(REGEXMATCH($A$3:$A$77,""→"")*(VALUE(REGEXEXTRAC"&amp;"T($J$3:$J$77,""^[+-]?[0-9]*\.?[0-9]+""))=VALUE(REGEXEXTRACT(N$3:N$77,""^[+-]?[0-9]*\.?[0-9]+""))),0)))
&amp;""/""&amp;
SUM(ARRAYFORMULA(IFERROR(REGEXMATCH($A$3:$A$77,""→"")*(VALUE(REGEXEXTRACT($J$3:$J$77,""^[+-]?[0-9]*\.?[0-9]+""))&lt;VALUE(REGEXEXTRACT(N$3:N$77,""^"&amp;"[+-]?[0-9]*\.?[0-9]+""))),0)))"),"39/2/25")</f>
        <v>39/2/25</v>
      </c>
      <c r="O80" s="34" t="str">
        <f>IFERROR(__xludf.DUMMYFUNCTION("SUM(ARRAYFORMULA(IFERROR(REGEXMATCH($A$3:$A$77,""→"")*(VALUE(REGEXEXTRACT($J$3:$J$77,""^[+-]?[0-9]*\.?[0-9]+""))&gt;VALUE(REGEXEXTRACT(O$3:O$77,""^[+-]?[0-9]*\.?[0-9]+""))),0)))
&amp;""/""&amp;
SUM(ARRAYFORMULA(IFERROR(REGEXMATCH($A$3:$A$77,""→"")*(VALUE(REGEXEXTRAC"&amp;"T($J$3:$J$77,""^[+-]?[0-9]*\.?[0-9]+""))=VALUE(REGEXEXTRACT(O$3:O$77,""^[+-]?[0-9]*\.?[0-9]+""))),0)))
&amp;""/""&amp;
SUM(ARRAYFORMULA(IFERROR(REGEXMATCH($A$3:$A$77,""→"")*(VALUE(REGEXEXTRACT($J$3:$J$77,""^[+-]?[0-9]*\.?[0-9]+""))&lt;VALUE(REGEXEXTRACT(O$3:O$77,""^"&amp;"[+-]?[0-9]*\.?[0-9]+""))),0)))"),"41/2/23")</f>
        <v>41/2/23</v>
      </c>
      <c r="P80" s="34" t="str">
        <f>IFERROR(__xludf.DUMMYFUNCTION("SUM(ARRAYFORMULA(IFERROR(REGEXMATCH($A$3:$A$77,""→"")*(VALUE(REGEXEXTRACT($J$3:$J$77,""^[+-]?[0-9]*\.?[0-9]+""))&gt;VALUE(REGEXEXTRACT(P$3:P$77,""^[+-]?[0-9]*\.?[0-9]+""))),0)))
&amp;""/""&amp;
SUM(ARRAYFORMULA(IFERROR(REGEXMATCH($A$3:$A$77,""→"")*(VALUE(REGEXEXTRAC"&amp;"T($J$3:$J$77,""^[+-]?[0-9]*\.?[0-9]+""))=VALUE(REGEXEXTRACT(P$3:P$77,""^[+-]?[0-9]*\.?[0-9]+""))),0)))
&amp;""/""&amp;
SUM(ARRAYFORMULA(IFERROR(REGEXMATCH($A$3:$A$77,""→"")*(VALUE(REGEXEXTRACT($J$3:$J$77,""^[+-]?[0-9]*\.?[0-9]+""))&lt;VALUE(REGEXEXTRACT(P$3:P$77,""^"&amp;"[+-]?[0-9]*\.?[0-9]+""))),0)))"),"41/2/23")</f>
        <v>41/2/23</v>
      </c>
    </row>
    <row r="81">
      <c r="A81" s="6" t="s">
        <v>1348</v>
      </c>
      <c r="B81" s="35">
        <v>38.4</v>
      </c>
      <c r="C81" s="35">
        <v>24.81</v>
      </c>
      <c r="D81" s="35">
        <v>15.95</v>
      </c>
      <c r="E81" s="35">
        <v>32.86</v>
      </c>
      <c r="F81" s="35">
        <v>37.07</v>
      </c>
      <c r="G81" s="35">
        <v>37.31</v>
      </c>
      <c r="H81" s="35">
        <v>34.36</v>
      </c>
      <c r="I81" s="20" t="str">
        <f t="shared" si="4"/>
        <v>Overall Average (%)</v>
      </c>
      <c r="J81" s="9">
        <f>IFERROR(__xludf.DUMMYFUNCTION("ROUND(AVERAGE(ARRAYFORMULA(IFERROR(VALUE(REGEXEXTRACT(FILTER(J$3:J$77,REGEXMATCH($A$3:$A$77,""→"")),""^[+-]?[0-9]*\.?[0-9]+"")),""""))),2)"),38.4)</f>
        <v>38.4</v>
      </c>
      <c r="K81" s="9">
        <f>IFERROR(__xludf.DUMMYFUNCTION("ROUND(AVERAGE(ARRAYFORMULA(IFERROR(VALUE(REGEXEXTRACT(FILTER(K$3:K$77,REGEXMATCH($A$3:$A$77,""→"")),""^[+-]?[0-9]*\.?[0-9]+"")),""""))),2)"),24.81)</f>
        <v>24.81</v>
      </c>
      <c r="L81" s="9">
        <f>IFERROR(__xludf.DUMMYFUNCTION("ROUND(AVERAGE(ARRAYFORMULA(IFERROR(VALUE(REGEXEXTRACT(FILTER(L$3:L$77,REGEXMATCH($A$3:$A$77,""→"")),""^[+-]?[0-9]*\.?[0-9]+"")),""""))),2)"),15.95)</f>
        <v>15.95</v>
      </c>
      <c r="M81" s="9">
        <f>IFERROR(__xludf.DUMMYFUNCTION("ROUND(AVERAGE(ARRAYFORMULA(IFERROR(VALUE(REGEXEXTRACT(FILTER(M$3:M$77,REGEXMATCH($A$3:$A$77,""→"")),""^[+-]?[0-9]*\.?[0-9]+"")),""""))),2)"),32.86)</f>
        <v>32.86</v>
      </c>
      <c r="N81" s="9">
        <f>IFERROR(__xludf.DUMMYFUNCTION("ROUND(AVERAGE(ARRAYFORMULA(IFERROR(VALUE(REGEXEXTRACT(FILTER(N$3:N$77,REGEXMATCH($A$3:$A$77,""→"")),""^[+-]?[0-9]*\.?[0-9]+"")),""""))),2)"),37.07)</f>
        <v>37.07</v>
      </c>
      <c r="O81" s="9">
        <f>IFERROR(__xludf.DUMMYFUNCTION("ROUND(AVERAGE(ARRAYFORMULA(IFERROR(VALUE(REGEXEXTRACT(FILTER(O$3:O$77,REGEXMATCH($A$3:$A$77,""→"")),""^[+-]?[0-9]*\.?[0-9]+"")),""""))),2)"),37.31)</f>
        <v>37.31</v>
      </c>
      <c r="P81" s="9">
        <f>IFERROR(__xludf.DUMMYFUNCTION("ROUND(AVERAGE(ARRAYFORMULA(IFERROR(VALUE(REGEXEXTRACT(FILTER(P$3:P$77,REGEXMATCH($A$3:$A$77,""→"")),""^[+-]?[0-9]*\.?[0-9]+"")),""""))),2)"),34.36)</f>
        <v>34.36</v>
      </c>
    </row>
    <row r="82">
      <c r="A82" s="31"/>
      <c r="B82" s="36"/>
      <c r="C82" s="37"/>
      <c r="D82" s="37"/>
      <c r="E82" s="37"/>
      <c r="F82" s="37"/>
      <c r="G82" s="37"/>
      <c r="H82" s="37"/>
      <c r="I82" s="35" t="s">
        <v>2015</v>
      </c>
      <c r="J82" s="35">
        <v>2.6212</v>
      </c>
      <c r="K82" s="35">
        <v>4.9697</v>
      </c>
      <c r="L82" s="35">
        <v>6.2121</v>
      </c>
      <c r="M82" s="35">
        <v>4.0758</v>
      </c>
      <c r="N82" s="35">
        <v>3.2576</v>
      </c>
      <c r="O82" s="35">
        <v>3.0909</v>
      </c>
      <c r="P82" s="35">
        <v>3.7727</v>
      </c>
    </row>
    <row r="83">
      <c r="A83" s="10"/>
      <c r="I83" s="35" t="s">
        <v>2016</v>
      </c>
      <c r="K83" s="35" t="s">
        <v>2017</v>
      </c>
      <c r="L83" s="35" t="s">
        <v>2017</v>
      </c>
      <c r="M83" s="35" t="s">
        <v>2017</v>
      </c>
      <c r="P83" s="35" t="s">
        <v>2017</v>
      </c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  <row r="1001">
      <c r="A1001" s="10"/>
    </row>
    <row r="1002">
      <c r="A1002" s="10"/>
    </row>
    <row r="1003">
      <c r="A1003" s="10"/>
    </row>
    <row r="1004">
      <c r="A1004" s="10"/>
    </row>
    <row r="1005">
      <c r="A1005" s="10"/>
    </row>
    <row r="1006">
      <c r="A1006" s="10"/>
    </row>
    <row r="1007">
      <c r="A1007" s="10"/>
    </row>
    <row r="1008">
      <c r="A1008" s="10"/>
    </row>
    <row r="1009">
      <c r="A1009" s="10"/>
    </row>
    <row r="1010">
      <c r="A1010" s="10"/>
    </row>
    <row r="1011">
      <c r="A1011" s="10"/>
    </row>
    <row r="1012">
      <c r="A1012" s="10"/>
    </row>
    <row r="1013">
      <c r="A1013" s="10"/>
    </row>
    <row r="1014">
      <c r="A1014" s="10"/>
    </row>
    <row r="1015">
      <c r="A1015" s="10"/>
    </row>
    <row r="1016">
      <c r="A1016" s="10"/>
    </row>
    <row r="1017">
      <c r="A1017" s="10"/>
    </row>
    <row r="1018">
      <c r="A1018" s="10"/>
    </row>
    <row r="1019">
      <c r="A1019" s="10"/>
    </row>
    <row r="1020">
      <c r="A1020" s="10"/>
    </row>
    <row r="1021">
      <c r="A1021" s="10"/>
    </row>
    <row r="1022">
      <c r="A1022" s="10"/>
    </row>
    <row r="1023">
      <c r="A1023" s="10"/>
    </row>
    <row r="1024">
      <c r="A1024" s="10"/>
    </row>
    <row r="1025">
      <c r="A1025" s="10"/>
    </row>
    <row r="1026">
      <c r="A1026" s="10"/>
    </row>
    <row r="1027">
      <c r="A1027" s="10"/>
    </row>
    <row r="1028">
      <c r="A1028" s="10"/>
    </row>
    <row r="1029">
      <c r="A1029" s="10"/>
    </row>
    <row r="1030">
      <c r="A1030" s="10"/>
    </row>
    <row r="1031">
      <c r="A1031" s="10"/>
    </row>
    <row r="1032">
      <c r="A1032" s="10"/>
    </row>
    <row r="1033">
      <c r="A1033" s="10"/>
    </row>
    <row r="1034">
      <c r="A1034" s="10"/>
    </row>
    <row r="1035">
      <c r="A1035" s="10"/>
    </row>
    <row r="1036">
      <c r="A1036" s="10"/>
    </row>
    <row r="1037">
      <c r="A1037" s="10"/>
    </row>
    <row r="1038">
      <c r="A1038" s="10"/>
    </row>
    <row r="1039">
      <c r="A1039" s="10"/>
    </row>
    <row r="1040">
      <c r="A1040" s="10"/>
    </row>
    <row r="1041">
      <c r="A1041" s="10"/>
    </row>
    <row r="1042">
      <c r="A1042" s="10"/>
    </row>
    <row r="1043">
      <c r="A1043" s="10"/>
    </row>
    <row r="1044">
      <c r="A1044" s="10"/>
    </row>
    <row r="1045">
      <c r="A1045" s="10"/>
    </row>
    <row r="1046">
      <c r="A1046" s="10"/>
    </row>
    <row r="1047">
      <c r="A1047" s="10"/>
    </row>
    <row r="1048">
      <c r="A1048" s="10"/>
    </row>
    <row r="1049">
      <c r="A1049" s="10"/>
    </row>
    <row r="1050">
      <c r="A1050" s="10"/>
    </row>
    <row r="1051">
      <c r="A1051" s="10"/>
    </row>
    <row r="1052">
      <c r="A1052" s="10"/>
    </row>
    <row r="1053">
      <c r="A1053" s="39"/>
    </row>
    <row r="1054">
      <c r="A1054" s="39"/>
    </row>
    <row r="1055">
      <c r="A1055" s="39"/>
    </row>
    <row r="1056">
      <c r="A1056" s="39"/>
    </row>
  </sheetData>
  <mergeCells count="4">
    <mergeCell ref="I2:P2"/>
    <mergeCell ref="I25:P25"/>
    <mergeCell ref="I34:P34"/>
    <mergeCell ref="I57:P5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75"/>
    <col customWidth="1" min="2" max="3" width="14.5"/>
    <col customWidth="1" min="4" max="4" width="16.5"/>
    <col customWidth="1" min="5" max="6" width="14.63"/>
    <col customWidth="1" min="9" max="9" width="11.13"/>
  </cols>
  <sheetData>
    <row r="1">
      <c r="A1" s="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3" t="s">
        <v>8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</row>
    <row r="2">
      <c r="A2" s="4" t="s">
        <v>9</v>
      </c>
      <c r="B2" s="15"/>
      <c r="C2" s="15"/>
      <c r="D2" s="15"/>
      <c r="E2" s="15"/>
      <c r="F2" s="15"/>
      <c r="G2" s="15"/>
      <c r="H2" s="15"/>
      <c r="I2" s="5" t="s">
        <v>9</v>
      </c>
    </row>
    <row r="3">
      <c r="A3" s="6" t="s">
        <v>10</v>
      </c>
      <c r="B3" s="16" t="s">
        <v>87</v>
      </c>
      <c r="C3" s="16" t="s">
        <v>88</v>
      </c>
      <c r="D3" s="16" t="s">
        <v>89</v>
      </c>
      <c r="E3" s="16" t="s">
        <v>90</v>
      </c>
      <c r="F3" s="16" t="s">
        <v>91</v>
      </c>
      <c r="G3" s="16" t="s">
        <v>92</v>
      </c>
      <c r="H3" s="16" t="s">
        <v>93</v>
      </c>
      <c r="I3" s="8" t="str">
        <f t="shared" ref="I3:I24" si="1">A3</f>
        <v>CM1→MW1</v>
      </c>
      <c r="J3" s="9" t="str">
        <f>IFERROR(__xludf.DUMMYFUNCTION("TEXT(VALUE(REGEXEXTRACT(B3,""^[+-]?[0-9]*\.?[0-9]+""))*100,""0.00"")&amp;"" +/- ""&amp;TEXT(VALUE(REGEXEXTRACT(B3,""[0-9]*\.?[0-9]+$""))*100,""0.00"")"),"31.07 +/- 2.50")</f>
        <v>31.07 +/- 2.50</v>
      </c>
      <c r="K3" s="9" t="str">
        <f>IFERROR(__xludf.DUMMYFUNCTION("TEXT(VALUE(REGEXEXTRACT(C3,""^[+-]?[0-9]*\.?[0-9]+""))*100,""0.00"")&amp;"" +/- ""&amp;TEXT(VALUE(REGEXEXTRACT(C3,""[0-9]*\.?[0-9]+$""))*100,""0.00"")"),"12.54 +/- 9.30")</f>
        <v>12.54 +/- 9.30</v>
      </c>
      <c r="L3" s="9" t="str">
        <f>IFERROR(__xludf.DUMMYFUNCTION("TEXT(VALUE(REGEXEXTRACT(D3,""^[+-]?[0-9]*\.?[0-9]+""))*100,""0.00"")&amp;"" +/- ""&amp;TEXT(VALUE(REGEXEXTRACT(D3,""[0-9]*\.?[0-9]+$""))*100,""0.00"")"),"7.69 +/- 9.09")</f>
        <v>7.69 +/- 9.09</v>
      </c>
      <c r="M3" s="9" t="str">
        <f>IFERROR(__xludf.DUMMYFUNCTION("TEXT(VALUE(REGEXEXTRACT(E3,""^[+-]?[0-9]*\.?[0-9]+""))*100,""0.00"")&amp;"" +/- ""&amp;TEXT(VALUE(REGEXEXTRACT(E3,""[0-9]*\.?[0-9]+$""))*100,""0.00"")"),"31.02 +/- 5.14")</f>
        <v>31.02 +/- 5.14</v>
      </c>
      <c r="N3" s="10" t="str">
        <f>IFERROR(__xludf.DUMMYFUNCTION("TEXT(VALUE(REGEXEXTRACT(F3,""^[+-]?[0-9]*\.?[0-9]+""))*100,""0.00"")&amp;"" +/- ""&amp;TEXT(VALUE(REGEXEXTRACT(F3,""[0-9]*\.?[0-9]+$""))*100,""0.00"")"),"34.00 +/- 2.08")</f>
        <v>34.00 +/- 2.08</v>
      </c>
      <c r="O3" s="9" t="str">
        <f>IFERROR(__xludf.DUMMYFUNCTION("TEXT(VALUE(REGEXEXTRACT(G3,""^[+-]?[0-9]*\.?[0-9]+""))*100,""0.00"")&amp;"" +/- ""&amp;TEXT(VALUE(REGEXEXTRACT(G3,""[0-9]*\.?[0-9]+$""))*100,""0.00"")"),"33.87 +/- 2.53")</f>
        <v>33.87 +/- 2.53</v>
      </c>
      <c r="P3" s="9" t="str">
        <f>IFERROR(__xludf.DUMMYFUNCTION("TEXT(VALUE(REGEXEXTRACT(H3,""^[+-]?[0-9]*\.?[0-9]+""))*100,""0.00"")&amp;"" +/- ""&amp;TEXT(VALUE(REGEXEXTRACT(H3,""[0-9]*\.?[0-9]+$""))*100,""0.00"")"),"9.02 +/- 4.66")</f>
        <v>9.02 +/- 4.66</v>
      </c>
    </row>
    <row r="4">
      <c r="A4" s="6" t="s">
        <v>18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6" t="s">
        <v>107</v>
      </c>
      <c r="H4" s="16" t="s">
        <v>108</v>
      </c>
      <c r="I4" s="8" t="str">
        <f t="shared" si="1"/>
        <v>CM1→PC1</v>
      </c>
      <c r="J4" s="9" t="str">
        <f>IFERROR(__xludf.DUMMYFUNCTION("TEXT(VALUE(REGEXEXTRACT(B4,""^[+-]?[0-9]*\.?[0-9]+""))*100,""0.00"")&amp;"" +/- ""&amp;TEXT(VALUE(REGEXEXTRACT(B4,""[0-9]*\.?[0-9]+$""))*100,""0.00"")"),"14.79 +/- 2.40")</f>
        <v>14.79 +/- 2.40</v>
      </c>
      <c r="K4" s="9" t="str">
        <f>IFERROR(__xludf.DUMMYFUNCTION("TEXT(VALUE(REGEXEXTRACT(C4,""^[+-]?[0-9]*\.?[0-9]+""))*100,""0.00"")&amp;"" +/- ""&amp;TEXT(VALUE(REGEXEXTRACT(C4,""[0-9]*\.?[0-9]+$""))*100,""0.00"")"),"12.16 +/- 3.96")</f>
        <v>12.16 +/- 3.96</v>
      </c>
      <c r="L4" s="9" t="str">
        <f>IFERROR(__xludf.DUMMYFUNCTION("TEXT(VALUE(REGEXEXTRACT(D4,""^[+-]?[0-9]*\.?[0-9]+""))*100,""0.00"")&amp;"" +/- ""&amp;TEXT(VALUE(REGEXEXTRACT(D4,""[0-9]*\.?[0-9]+$""))*100,""0.00"")"),"13.80 +/- 6.32")</f>
        <v>13.80 +/- 6.32</v>
      </c>
      <c r="M4" s="9" t="str">
        <f>IFERROR(__xludf.DUMMYFUNCTION("TEXT(VALUE(REGEXEXTRACT(E4,""^[+-]?[0-9]*\.?[0-9]+""))*100,""0.00"")&amp;"" +/- ""&amp;TEXT(VALUE(REGEXEXTRACT(E4,""[0-9]*\.?[0-9]+$""))*100,""0.00"")"),"9.60 +/- 3.56")</f>
        <v>9.60 +/- 3.56</v>
      </c>
      <c r="N4" s="9" t="str">
        <f>IFERROR(__xludf.DUMMYFUNCTION("TEXT(VALUE(REGEXEXTRACT(F4,""^[+-]?[0-9]*\.?[0-9]+""))*100,""0.00"")&amp;"" +/- ""&amp;TEXT(VALUE(REGEXEXTRACT(F4,""[0-9]*\.?[0-9]+$""))*100,""0.00"")"),"16.77 +/- 2.38")</f>
        <v>16.77 +/- 2.38</v>
      </c>
      <c r="O4" s="9" t="str">
        <f>IFERROR(__xludf.DUMMYFUNCTION("TEXT(VALUE(REGEXEXTRACT(G4,""^[+-]?[0-9]*\.?[0-9]+""))*100,""0.00"")&amp;"" +/- ""&amp;TEXT(VALUE(REGEXEXTRACT(G4,""[0-9]*\.?[0-9]+$""))*100,""0.00"")"),"16.55 +/- 2.44")</f>
        <v>16.55 +/- 2.44</v>
      </c>
      <c r="P4" s="10" t="str">
        <f>IFERROR(__xludf.DUMMYFUNCTION("TEXT(VALUE(REGEXEXTRACT(H4,""^[+-]?[0-9]*\.?[0-9]+""))*100,""0.00"")&amp;"" +/- ""&amp;TEXT(VALUE(REGEXEXTRACT(H4,""[0-9]*\.?[0-9]+$""))*100,""0.00"")"),"27.44 +/- 2.67")</f>
        <v>27.44 +/- 2.67</v>
      </c>
    </row>
    <row r="5">
      <c r="A5" s="6" t="s">
        <v>26</v>
      </c>
      <c r="B5" s="16" t="s">
        <v>117</v>
      </c>
      <c r="C5" s="16" t="s">
        <v>118</v>
      </c>
      <c r="D5" s="16" t="s">
        <v>119</v>
      </c>
      <c r="E5" s="16" t="s">
        <v>120</v>
      </c>
      <c r="F5" s="16" t="s">
        <v>121</v>
      </c>
      <c r="G5" s="16" t="s">
        <v>122</v>
      </c>
      <c r="H5" s="16" t="s">
        <v>123</v>
      </c>
      <c r="I5" s="8" t="str">
        <f t="shared" si="1"/>
        <v>CM1→PC3</v>
      </c>
      <c r="J5" s="10" t="str">
        <f>IFERROR(__xludf.DUMMYFUNCTION("TEXT(VALUE(REGEXEXTRACT(B5,""^[+-]?[0-9]*\.?[0-9]+""))*100,""0.00"")&amp;"" +/- ""&amp;TEXT(VALUE(REGEXEXTRACT(B5,""[0-9]*\.?[0-9]+$""))*100,""0.00"")"),"24.80 +/- 2.00")</f>
        <v>24.80 +/- 2.00</v>
      </c>
      <c r="K5" s="9" t="str">
        <f>IFERROR(__xludf.DUMMYFUNCTION("TEXT(VALUE(REGEXEXTRACT(C5,""^[+-]?[0-9]*\.?[0-9]+""))*100,""0.00"")&amp;"" +/- ""&amp;TEXT(VALUE(REGEXEXTRACT(C5,""[0-9]*\.?[0-9]+$""))*100,""0.00"")"),"-1.13 +/- 1.89")</f>
        <v>-1.13 +/- 1.89</v>
      </c>
      <c r="L5" s="9" t="str">
        <f>IFERROR(__xludf.DUMMYFUNCTION("TEXT(VALUE(REGEXEXTRACT(D5,""^[+-]?[0-9]*\.?[0-9]+""))*100,""0.00"")&amp;"" +/- ""&amp;TEXT(VALUE(REGEXEXTRACT(D5,""[0-9]*\.?[0-9]+$""))*100,""0.00"")"),"6.49 +/- 4.60")</f>
        <v>6.49 +/- 4.60</v>
      </c>
      <c r="M5" s="9" t="str">
        <f>IFERROR(__xludf.DUMMYFUNCTION("TEXT(VALUE(REGEXEXTRACT(E5,""^[+-]?[0-9]*\.?[0-9]+""))*100,""0.00"")&amp;"" +/- ""&amp;TEXT(VALUE(REGEXEXTRACT(E5,""[0-9]*\.?[0-9]+$""))*100,""0.00"")"),"16.38 +/- 3.66")</f>
        <v>16.38 +/- 3.66</v>
      </c>
      <c r="N5" s="9" t="str">
        <f>IFERROR(__xludf.DUMMYFUNCTION("TEXT(VALUE(REGEXEXTRACT(F5,""^[+-]?[0-9]*\.?[0-9]+""))*100,""0.00"")&amp;"" +/- ""&amp;TEXT(VALUE(REGEXEXTRACT(F5,""[0-9]*\.?[0-9]+$""))*100,""0.00"")"),"21.38 +/- 1.89")</f>
        <v>21.38 +/- 1.89</v>
      </c>
      <c r="O5" s="9" t="str">
        <f>IFERROR(__xludf.DUMMYFUNCTION("TEXT(VALUE(REGEXEXTRACT(G5,""^[+-]?[0-9]*\.?[0-9]+""))*100,""0.00"")&amp;"" +/- ""&amp;TEXT(VALUE(REGEXEXTRACT(G5,""[0-9]*\.?[0-9]+$""))*100,""0.00"")"),"21.64 +/- 2.78")</f>
        <v>21.64 +/- 2.78</v>
      </c>
      <c r="P5" s="9" t="str">
        <f>IFERROR(__xludf.DUMMYFUNCTION("TEXT(VALUE(REGEXEXTRACT(H5,""^[+-]?[0-9]*\.?[0-9]+""))*100,""0.00"")&amp;"" +/- ""&amp;TEXT(VALUE(REGEXEXTRACT(H5,""[0-9]*\.?[0-9]+$""))*100,""0.00"")"),"23.42 +/- 1.96")</f>
        <v>23.42 +/- 1.96</v>
      </c>
    </row>
    <row r="6">
      <c r="A6" s="6" t="s">
        <v>34</v>
      </c>
      <c r="B6" s="16" t="s">
        <v>132</v>
      </c>
      <c r="C6" s="16" t="s">
        <v>133</v>
      </c>
      <c r="D6" s="16" t="s">
        <v>134</v>
      </c>
      <c r="E6" s="16" t="s">
        <v>135</v>
      </c>
      <c r="F6" s="16" t="s">
        <v>136</v>
      </c>
      <c r="G6" s="16" t="s">
        <v>137</v>
      </c>
      <c r="H6" s="16" t="s">
        <v>138</v>
      </c>
      <c r="I6" s="8" t="str">
        <f t="shared" si="1"/>
        <v>CM1→PC4</v>
      </c>
      <c r="J6" s="10" t="str">
        <f>IFERROR(__xludf.DUMMYFUNCTION("TEXT(VALUE(REGEXEXTRACT(B6,""^[+-]?[0-9]*\.?[0-9]+""))*100,""0.00"")&amp;"" +/- ""&amp;TEXT(VALUE(REGEXEXTRACT(B6,""[0-9]*\.?[0-9]+$""))*100,""0.00"")"),"15.59 +/- 1.41")</f>
        <v>15.59 +/- 1.41</v>
      </c>
      <c r="K6" s="9" t="str">
        <f>IFERROR(__xludf.DUMMYFUNCTION("TEXT(VALUE(REGEXEXTRACT(C6,""^[+-]?[0-9]*\.?[0-9]+""))*100,""0.00"")&amp;"" +/- ""&amp;TEXT(VALUE(REGEXEXTRACT(C6,""[0-9]*\.?[0-9]+$""))*100,""0.00"")"),"-2.94 +/- 1.26")</f>
        <v>-2.94 +/- 1.26</v>
      </c>
      <c r="L6" s="9" t="str">
        <f>IFERROR(__xludf.DUMMYFUNCTION("TEXT(VALUE(REGEXEXTRACT(D6,""^[+-]?[0-9]*\.?[0-9]+""))*100,""0.00"")&amp;"" +/- ""&amp;TEXT(VALUE(REGEXEXTRACT(D6,""[0-9]*\.?[0-9]+$""))*100,""0.00"")"),"1.11 +/- 2.52")</f>
        <v>1.11 +/- 2.52</v>
      </c>
      <c r="M6" s="9" t="str">
        <f>IFERROR(__xludf.DUMMYFUNCTION("TEXT(VALUE(REGEXEXTRACT(E6,""^[+-]?[0-9]*\.?[0-9]+""))*100,""0.00"")&amp;"" +/- ""&amp;TEXT(VALUE(REGEXEXTRACT(E6,""[0-9]*\.?[0-9]+$""))*100,""0.00"")"),"11.39 +/- 2.49")</f>
        <v>11.39 +/- 2.49</v>
      </c>
      <c r="N6" s="9" t="str">
        <f>IFERROR(__xludf.DUMMYFUNCTION("TEXT(VALUE(REGEXEXTRACT(F6,""^[+-]?[0-9]*\.?[0-9]+""))*100,""0.00"")&amp;"" +/- ""&amp;TEXT(VALUE(REGEXEXTRACT(F6,""[0-9]*\.?[0-9]+$""))*100,""0.00"")"),"15.10 +/- 1.72")</f>
        <v>15.10 +/- 1.72</v>
      </c>
      <c r="O6" s="9" t="str">
        <f>IFERROR(__xludf.DUMMYFUNCTION("TEXT(VALUE(REGEXEXTRACT(G6,""^[+-]?[0-9]*\.?[0-9]+""))*100,""0.00"")&amp;"" +/- ""&amp;TEXT(VALUE(REGEXEXTRACT(G6,""[0-9]*\.?[0-9]+$""))*100,""0.00"")"),"15.92 +/- 2.08")</f>
        <v>15.92 +/- 2.08</v>
      </c>
      <c r="P6" s="9" t="str">
        <f>IFERROR(__xludf.DUMMYFUNCTION("TEXT(VALUE(REGEXEXTRACT(H6,""^[+-]?[0-9]*\.?[0-9]+""))*100,""0.00"")&amp;"" +/- ""&amp;TEXT(VALUE(REGEXEXTRACT(H6,""[0-9]*\.?[0-9]+$""))*100,""0.00"")"),"7.35 +/- 3.23")</f>
        <v>7.35 +/- 3.23</v>
      </c>
    </row>
    <row r="7">
      <c r="A7" s="6" t="s">
        <v>42</v>
      </c>
      <c r="B7" s="16" t="s">
        <v>147</v>
      </c>
      <c r="C7" s="16" t="s">
        <v>148</v>
      </c>
      <c r="D7" s="16" t="s">
        <v>149</v>
      </c>
      <c r="E7" s="16" t="s">
        <v>150</v>
      </c>
      <c r="F7" s="16" t="s">
        <v>151</v>
      </c>
      <c r="G7" s="16" t="s">
        <v>152</v>
      </c>
      <c r="H7" s="16" t="s">
        <v>153</v>
      </c>
      <c r="I7" s="8" t="str">
        <f t="shared" si="1"/>
        <v>MW1→CM1</v>
      </c>
      <c r="J7" s="9" t="str">
        <f>IFERROR(__xludf.DUMMYFUNCTION("TEXT(VALUE(REGEXEXTRACT(B7,""^[+-]?[0-9]*\.?[0-9]+""))*100,""0.00"")&amp;"" +/- ""&amp;TEXT(VALUE(REGEXEXTRACT(B7,""[0-9]*\.?[0-9]+$""))*100,""0.00"")"),"17.07 +/- 4.26")</f>
        <v>17.07 +/- 4.26</v>
      </c>
      <c r="K7" s="9" t="str">
        <f>IFERROR(__xludf.DUMMYFUNCTION("TEXT(VALUE(REGEXEXTRACT(C7,""^[+-]?[0-9]*\.?[0-9]+""))*100,""0.00"")&amp;"" +/- ""&amp;TEXT(VALUE(REGEXEXTRACT(C7,""[0-9]*\.?[0-9]+$""))*100,""0.00"")"),"12.58 +/- 3.21")</f>
        <v>12.58 +/- 3.21</v>
      </c>
      <c r="L7" s="9" t="str">
        <f>IFERROR(__xludf.DUMMYFUNCTION("TEXT(VALUE(REGEXEXTRACT(D7,""^[+-]?[0-9]*\.?[0-9]+""))*100,""0.00"")&amp;"" +/- ""&amp;TEXT(VALUE(REGEXEXTRACT(D7,""[0-9]*\.?[0-9]+$""))*100,""0.00"")"),"0.89 +/- 4.70")</f>
        <v>0.89 +/- 4.70</v>
      </c>
      <c r="M7" s="9" t="str">
        <f>IFERROR(__xludf.DUMMYFUNCTION("TEXT(VALUE(REGEXEXTRACT(E7,""^[+-]?[0-9]*\.?[0-9]+""))*100,""0.00"")&amp;"" +/- ""&amp;TEXT(VALUE(REGEXEXTRACT(E7,""[0-9]*\.?[0-9]+$""))*100,""0.00"")"),"9.92 +/- 5.64")</f>
        <v>9.92 +/- 5.64</v>
      </c>
      <c r="N7" s="10" t="str">
        <f>IFERROR(__xludf.DUMMYFUNCTION("TEXT(VALUE(REGEXEXTRACT(F7,""^[+-]?[0-9]*\.?[0-9]+""))*100,""0.00"")&amp;"" +/- ""&amp;TEXT(VALUE(REGEXEXTRACT(F7,""[0-9]*\.?[0-9]+$""))*100,""0.00"")"),"19.22 +/- 2.77")</f>
        <v>19.22 +/- 2.77</v>
      </c>
      <c r="O7" s="9" t="str">
        <f>IFERROR(__xludf.DUMMYFUNCTION("TEXT(VALUE(REGEXEXTRACT(G7,""^[+-]?[0-9]*\.?[0-9]+""))*100,""0.00"")&amp;"" +/- ""&amp;TEXT(VALUE(REGEXEXTRACT(G7,""[0-9]*\.?[0-9]+$""))*100,""0.00"")"),"17.53 +/- 3.48")</f>
        <v>17.53 +/- 3.48</v>
      </c>
      <c r="P7" s="9" t="str">
        <f>IFERROR(__xludf.DUMMYFUNCTION("TEXT(VALUE(REGEXEXTRACT(H7,""^[+-]?[0-9]*\.?[0-9]+""))*100,""0.00"")&amp;"" +/- ""&amp;TEXT(VALUE(REGEXEXTRACT(H7,""[0-9]*\.?[0-9]+$""))*100,""0.00"")"),"19.73 +/- 3.06")</f>
        <v>19.73 +/- 3.06</v>
      </c>
    </row>
    <row r="8">
      <c r="A8" s="6" t="s">
        <v>50</v>
      </c>
      <c r="B8" s="16" t="s">
        <v>162</v>
      </c>
      <c r="C8" s="16" t="s">
        <v>163</v>
      </c>
      <c r="D8" s="16" t="s">
        <v>164</v>
      </c>
      <c r="E8" s="16" t="s">
        <v>165</v>
      </c>
      <c r="F8" s="16" t="s">
        <v>166</v>
      </c>
      <c r="G8" s="16" t="s">
        <v>167</v>
      </c>
      <c r="H8" s="16" t="s">
        <v>168</v>
      </c>
      <c r="I8" s="8" t="str">
        <f t="shared" si="1"/>
        <v>MW1→PC1</v>
      </c>
      <c r="J8" s="9" t="str">
        <f>IFERROR(__xludf.DUMMYFUNCTION("TEXT(VALUE(REGEXEXTRACT(B8,""^[+-]?[0-9]*\.?[0-9]+""))*100,""0.00"")&amp;"" +/- ""&amp;TEXT(VALUE(REGEXEXTRACT(B8,""[0-9]*\.?[0-9]+$""))*100,""0.00"")"),"14.36 +/- 2.86")</f>
        <v>14.36 +/- 2.86</v>
      </c>
      <c r="K8" s="9" t="str">
        <f>IFERROR(__xludf.DUMMYFUNCTION("TEXT(VALUE(REGEXEXTRACT(C8,""^[+-]?[0-9]*\.?[0-9]+""))*100,""0.00"")&amp;"" +/- ""&amp;TEXT(VALUE(REGEXEXTRACT(C8,""[0-9]*\.?[0-9]+$""))*100,""0.00"")"),"17.14 +/- 2.69")</f>
        <v>17.14 +/- 2.69</v>
      </c>
      <c r="L8" s="9" t="str">
        <f>IFERROR(__xludf.DUMMYFUNCTION("TEXT(VALUE(REGEXEXTRACT(D8,""^[+-]?[0-9]*\.?[0-9]+""))*100,""0.00"")&amp;"" +/- ""&amp;TEXT(VALUE(REGEXEXTRACT(D8,""[0-9]*\.?[0-9]+$""))*100,""0.00"")"),"5.07 +/- 5.71")</f>
        <v>5.07 +/- 5.71</v>
      </c>
      <c r="M8" s="9" t="str">
        <f>IFERROR(__xludf.DUMMYFUNCTION("TEXT(VALUE(REGEXEXTRACT(E8,""^[+-]?[0-9]*\.?[0-9]+""))*100,""0.00"")&amp;"" +/- ""&amp;TEXT(VALUE(REGEXEXTRACT(E8,""[0-9]*\.?[0-9]+$""))*100,""0.00"")"),"10.03 +/- 3.63")</f>
        <v>10.03 +/- 3.63</v>
      </c>
      <c r="N8" s="9" t="str">
        <f>IFERROR(__xludf.DUMMYFUNCTION("TEXT(VALUE(REGEXEXTRACT(F8,""^[+-]?[0-9]*\.?[0-9]+""))*100,""0.00"")&amp;"" +/- ""&amp;TEXT(VALUE(REGEXEXTRACT(F8,""[0-9]*\.?[0-9]+$""))*100,""0.00"")"),"10.57 +/- 3.50")</f>
        <v>10.57 +/- 3.50</v>
      </c>
      <c r="O8" s="9" t="str">
        <f>IFERROR(__xludf.DUMMYFUNCTION("TEXT(VALUE(REGEXEXTRACT(G8,""^[+-]?[0-9]*\.?[0-9]+""))*100,""0.00"")&amp;"" +/- ""&amp;TEXT(VALUE(REGEXEXTRACT(G8,""[0-9]*\.?[0-9]+$""))*100,""0.00"")"),"11.99 +/- 3.27")</f>
        <v>11.99 +/- 3.27</v>
      </c>
      <c r="P8" s="10" t="str">
        <f>IFERROR(__xludf.DUMMYFUNCTION("TEXT(VALUE(REGEXEXTRACT(H8,""^[+-]?[0-9]*\.?[0-9]+""))*100,""0.00"")&amp;"" +/- ""&amp;TEXT(VALUE(REGEXEXTRACT(H8,""[0-9]*\.?[0-9]+$""))*100,""0.00"")"),"17.66 +/- 2.72")</f>
        <v>17.66 +/- 2.72</v>
      </c>
    </row>
    <row r="9">
      <c r="A9" s="6" t="s">
        <v>58</v>
      </c>
      <c r="B9" s="16" t="s">
        <v>177</v>
      </c>
      <c r="C9" s="16" t="s">
        <v>178</v>
      </c>
      <c r="D9" s="16" t="s">
        <v>179</v>
      </c>
      <c r="E9" s="16" t="s">
        <v>180</v>
      </c>
      <c r="F9" s="16" t="s">
        <v>181</v>
      </c>
      <c r="G9" s="16" t="s">
        <v>182</v>
      </c>
      <c r="H9" s="16" t="s">
        <v>183</v>
      </c>
      <c r="I9" s="8" t="str">
        <f t="shared" si="1"/>
        <v>MW1→PC3</v>
      </c>
      <c r="J9" s="10" t="str">
        <f>IFERROR(__xludf.DUMMYFUNCTION("TEXT(VALUE(REGEXEXTRACT(B9,""^[+-]?[0-9]*\.?[0-9]+""))*100,""0.00"")&amp;"" +/- ""&amp;TEXT(VALUE(REGEXEXTRACT(B9,""[0-9]*\.?[0-9]+$""))*100,""0.00"")"),"19.15 +/- 3.94")</f>
        <v>19.15 +/- 3.94</v>
      </c>
      <c r="K9" s="9" t="str">
        <f>IFERROR(__xludf.DUMMYFUNCTION("TEXT(VALUE(REGEXEXTRACT(C9,""^[+-]?[0-9]*\.?[0-9]+""))*100,""0.00"")&amp;"" +/- ""&amp;TEXT(VALUE(REGEXEXTRACT(C9,""[0-9]*\.?[0-9]+$""))*100,""0.00"")"),"3.88 +/- 1.72")</f>
        <v>3.88 +/- 1.72</v>
      </c>
      <c r="L9" s="9" t="str">
        <f>IFERROR(__xludf.DUMMYFUNCTION("TEXT(VALUE(REGEXEXTRACT(D9,""^[+-]?[0-9]*\.?[0-9]+""))*100,""0.00"")&amp;"" +/- ""&amp;TEXT(VALUE(REGEXEXTRACT(D9,""[0-9]*\.?[0-9]+$""))*100,""0.00"")"),"0.55 +/- 2.26")</f>
        <v>0.55 +/- 2.26</v>
      </c>
      <c r="M9" s="9" t="str">
        <f>IFERROR(__xludf.DUMMYFUNCTION("TEXT(VALUE(REGEXEXTRACT(E9,""^[+-]?[0-9]*\.?[0-9]+""))*100,""0.00"")&amp;"" +/- ""&amp;TEXT(VALUE(REGEXEXTRACT(E9,""[0-9]*\.?[0-9]+$""))*100,""0.00"")"),"8.83 +/- 2.54")</f>
        <v>8.83 +/- 2.54</v>
      </c>
      <c r="N9" s="9" t="str">
        <f>IFERROR(__xludf.DUMMYFUNCTION("TEXT(VALUE(REGEXEXTRACT(F9,""^[+-]?[0-9]*\.?[0-9]+""))*100,""0.00"")&amp;"" +/- ""&amp;TEXT(VALUE(REGEXEXTRACT(F9,""[0-9]*\.?[0-9]+$""))*100,""0.00"")"),"-2.98 +/- 3.26")</f>
        <v>-2.98 +/- 3.26</v>
      </c>
      <c r="O9" s="9" t="str">
        <f>IFERROR(__xludf.DUMMYFUNCTION("TEXT(VALUE(REGEXEXTRACT(G9,""^[+-]?[0-9]*\.?[0-9]+""))*100,""0.00"")&amp;"" +/- ""&amp;TEXT(VALUE(REGEXEXTRACT(G9,""[0-9]*\.?[0-9]+$""))*100,""0.00"")"),"-1.29 +/- 3.54")</f>
        <v>-1.29 +/- 3.54</v>
      </c>
      <c r="P9" s="9" t="str">
        <f>IFERROR(__xludf.DUMMYFUNCTION("TEXT(VALUE(REGEXEXTRACT(H9,""^[+-]?[0-9]*\.?[0-9]+""))*100,""0.00"")&amp;"" +/- ""&amp;TEXT(VALUE(REGEXEXTRACT(H9,""[0-9]*\.?[0-9]+$""))*100,""0.00"")"),"18.81 +/- 2.17")</f>
        <v>18.81 +/- 2.17</v>
      </c>
    </row>
    <row r="10">
      <c r="A10" s="6" t="s">
        <v>66</v>
      </c>
      <c r="B10" s="16" t="s">
        <v>195</v>
      </c>
      <c r="C10" s="16" t="s">
        <v>196</v>
      </c>
      <c r="D10" s="16" t="s">
        <v>197</v>
      </c>
      <c r="E10" s="16" t="s">
        <v>198</v>
      </c>
      <c r="F10" s="16" t="s">
        <v>200</v>
      </c>
      <c r="G10" s="16" t="s">
        <v>201</v>
      </c>
      <c r="H10" s="16" t="s">
        <v>205</v>
      </c>
      <c r="I10" s="8" t="str">
        <f t="shared" si="1"/>
        <v>MW1→PC4</v>
      </c>
      <c r="J10" s="10" t="str">
        <f>IFERROR(__xludf.DUMMYFUNCTION("TEXT(VALUE(REGEXEXTRACT(B10,""^[+-]?[0-9]*\.?[0-9]+""))*100,""0.00"")&amp;"" +/- ""&amp;TEXT(VALUE(REGEXEXTRACT(B10,""[0-9]*\.?[0-9]+$""))*100,""0.00"")"),"18.53 +/- 2.02")</f>
        <v>18.53 +/- 2.02</v>
      </c>
      <c r="K10" s="9" t="str">
        <f>IFERROR(__xludf.DUMMYFUNCTION("TEXT(VALUE(REGEXEXTRACT(C10,""^[+-]?[0-9]*\.?[0-9]+""))*100,""0.00"")&amp;"" +/- ""&amp;TEXT(VALUE(REGEXEXTRACT(C10,""[0-9]*\.?[0-9]+$""))*100,""0.00"")"),"1.88 +/- 1.49")</f>
        <v>1.88 +/- 1.49</v>
      </c>
      <c r="L10" s="9" t="str">
        <f>IFERROR(__xludf.DUMMYFUNCTION("TEXT(VALUE(REGEXEXTRACT(D10,""^[+-]?[0-9]*\.?[0-9]+""))*100,""0.00"")&amp;"" +/- ""&amp;TEXT(VALUE(REGEXEXTRACT(D10,""[0-9]*\.?[0-9]+$""))*100,""0.00"")"),"-0.84 +/- 1.92")</f>
        <v>-0.84 +/- 1.92</v>
      </c>
      <c r="M10" s="9" t="str">
        <f>IFERROR(__xludf.DUMMYFUNCTION("TEXT(VALUE(REGEXEXTRACT(E10,""^[+-]?[0-9]*\.?[0-9]+""))*100,""0.00"")&amp;"" +/- ""&amp;TEXT(VALUE(REGEXEXTRACT(E10,""[0-9]*\.?[0-9]+$""))*100,""0.00"")"),"14.11 +/- 2.56")</f>
        <v>14.11 +/- 2.56</v>
      </c>
      <c r="N10" s="9" t="str">
        <f>IFERROR(__xludf.DUMMYFUNCTION("TEXT(VALUE(REGEXEXTRACT(F10,""^[+-]?[0-9]*\.?[0-9]+""))*100,""0.00"")&amp;"" +/- ""&amp;TEXT(VALUE(REGEXEXTRACT(F10,""[0-9]*\.?[0-9]+$""))*100,""0.00"")"),"10.57 +/- 3.26")</f>
        <v>10.57 +/- 3.26</v>
      </c>
      <c r="O10" s="9" t="str">
        <f>IFERROR(__xludf.DUMMYFUNCTION("TEXT(VALUE(REGEXEXTRACT(G10,""^[+-]?[0-9]*\.?[0-9]+""))*100,""0.00"")&amp;"" +/- ""&amp;TEXT(VALUE(REGEXEXTRACT(G10,""[0-9]*\.?[0-9]+$""))*100,""0.00"")"),"10.53 +/- 4.05")</f>
        <v>10.53 +/- 4.05</v>
      </c>
      <c r="P10" s="9" t="str">
        <f>IFERROR(__xludf.DUMMYFUNCTION("TEXT(VALUE(REGEXEXTRACT(H10,""^[+-]?[0-9]*\.?[0-9]+""))*100,""0.00"")&amp;"" +/- ""&amp;TEXT(VALUE(REGEXEXTRACT(H10,""[0-9]*\.?[0-9]+$""))*100,""0.00"")"),"12.42 +/- 1.64")</f>
        <v>12.42 +/- 1.64</v>
      </c>
    </row>
    <row r="11">
      <c r="A11" s="6" t="s">
        <v>79</v>
      </c>
      <c r="B11" s="16" t="s">
        <v>209</v>
      </c>
      <c r="C11" s="16" t="s">
        <v>210</v>
      </c>
      <c r="D11" s="16" t="s">
        <v>211</v>
      </c>
      <c r="E11" s="16" t="s">
        <v>212</v>
      </c>
      <c r="F11" s="16" t="s">
        <v>213</v>
      </c>
      <c r="G11" s="16" t="s">
        <v>214</v>
      </c>
      <c r="H11" s="16" t="s">
        <v>215</v>
      </c>
      <c r="I11" s="8" t="str">
        <f t="shared" si="1"/>
        <v>PC1→CM1</v>
      </c>
      <c r="J11" s="9" t="str">
        <f>IFERROR(__xludf.DUMMYFUNCTION("TEXT(VALUE(REGEXEXTRACT(B11,""^[+-]?[0-9]*\.?[0-9]+""))*100,""0.00"")&amp;"" +/- ""&amp;TEXT(VALUE(REGEXEXTRACT(B11,""[0-9]*\.?[0-9]+$""))*100,""0.00"")"),"12.55 +/- 2.01")</f>
        <v>12.55 +/- 2.01</v>
      </c>
      <c r="K11" s="9" t="str">
        <f>IFERROR(__xludf.DUMMYFUNCTION("TEXT(VALUE(REGEXEXTRACT(C11,""^[+-]?[0-9]*\.?[0-9]+""))*100,""0.00"")&amp;"" +/- ""&amp;TEXT(VALUE(REGEXEXTRACT(C11,""[0-9]*\.?[0-9]+$""))*100,""0.00"")"),"8.63 +/- 3.11")</f>
        <v>8.63 +/- 3.11</v>
      </c>
      <c r="L11" s="9" t="str">
        <f>IFERROR(__xludf.DUMMYFUNCTION("TEXT(VALUE(REGEXEXTRACT(D11,""^[+-]?[0-9]*\.?[0-9]+""))*100,""0.00"")&amp;"" +/- ""&amp;TEXT(VALUE(REGEXEXTRACT(D11,""[0-9]*\.?[0-9]+$""))*100,""0.00"")"),"13.81 +/- 5.79")</f>
        <v>13.81 +/- 5.79</v>
      </c>
      <c r="M11" s="9" t="str">
        <f>IFERROR(__xludf.DUMMYFUNCTION("TEXT(VALUE(REGEXEXTRACT(E11,""^[+-]?[0-9]*\.?[0-9]+""))*100,""0.00"")&amp;"" +/- ""&amp;TEXT(VALUE(REGEXEXTRACT(E11,""[0-9]*\.?[0-9]+$""))*100,""0.00"")"),"7.35 +/- 2.15")</f>
        <v>7.35 +/- 2.15</v>
      </c>
      <c r="N11" s="10" t="str">
        <f>IFERROR(__xludf.DUMMYFUNCTION("TEXT(VALUE(REGEXEXTRACT(F11,""^[+-]?[0-9]*\.?[0-9]+""))*100,""0.00"")&amp;"" +/- ""&amp;TEXT(VALUE(REGEXEXTRACT(F11,""[0-9]*\.?[0-9]+$""))*100,""0.00"")"),"13.45 +/- 2.34")</f>
        <v>13.45 +/- 2.34</v>
      </c>
      <c r="O11" s="9" t="str">
        <f>IFERROR(__xludf.DUMMYFUNCTION("TEXT(VALUE(REGEXEXTRACT(G11,""^[+-]?[0-9]*\.?[0-9]+""))*100,""0.00"")&amp;"" +/- ""&amp;TEXT(VALUE(REGEXEXTRACT(G11,""[0-9]*\.?[0-9]+$""))*100,""0.00"")"),"11.58 +/- 2.61")</f>
        <v>11.58 +/- 2.61</v>
      </c>
      <c r="P11" s="9" t="str">
        <f>IFERROR(__xludf.DUMMYFUNCTION("TEXT(VALUE(REGEXEXTRACT(H11,""^[+-]?[0-9]*\.?[0-9]+""))*100,""0.00"")&amp;"" +/- ""&amp;TEXT(VALUE(REGEXEXTRACT(H11,""[0-9]*\.?[0-9]+$""))*100,""0.00"")"),"-4.20 +/- 2.68")</f>
        <v>-4.20 +/- 2.68</v>
      </c>
    </row>
    <row r="12">
      <c r="A12" s="6" t="s">
        <v>94</v>
      </c>
      <c r="B12" s="16" t="s">
        <v>231</v>
      </c>
      <c r="C12" s="16" t="s">
        <v>232</v>
      </c>
      <c r="D12" s="16" t="s">
        <v>233</v>
      </c>
      <c r="E12" s="16" t="s">
        <v>234</v>
      </c>
      <c r="F12" s="16" t="s">
        <v>235</v>
      </c>
      <c r="G12" s="16" t="s">
        <v>236</v>
      </c>
      <c r="H12" s="16" t="s">
        <v>237</v>
      </c>
      <c r="I12" s="8" t="str">
        <f t="shared" si="1"/>
        <v>PC1→MW1</v>
      </c>
      <c r="J12" s="9" t="str">
        <f>IFERROR(__xludf.DUMMYFUNCTION("TEXT(VALUE(REGEXEXTRACT(B12,""^[+-]?[0-9]*\.?[0-9]+""))*100,""0.00"")&amp;"" +/- ""&amp;TEXT(VALUE(REGEXEXTRACT(B12,""[0-9]*\.?[0-9]+$""))*100,""0.00"")"),"30.02 +/- 3.36")</f>
        <v>30.02 +/- 3.36</v>
      </c>
      <c r="K12" s="9" t="str">
        <f>IFERROR(__xludf.DUMMYFUNCTION("TEXT(VALUE(REGEXEXTRACT(C12,""^[+-]?[0-9]*\.?[0-9]+""))*100,""0.00"")&amp;"" +/- ""&amp;TEXT(VALUE(REGEXEXTRACT(C12,""[0-9]*\.?[0-9]+$""))*100,""0.00"")"),"6.86 +/- 3.50")</f>
        <v>6.86 +/- 3.50</v>
      </c>
      <c r="L12" s="9" t="str">
        <f>IFERROR(__xludf.DUMMYFUNCTION("TEXT(VALUE(REGEXEXTRACT(D12,""^[+-]?[0-9]*\.?[0-9]+""))*100,""0.00"")&amp;"" +/- ""&amp;TEXT(VALUE(REGEXEXTRACT(D12,""[0-9]*\.?[0-9]+$""))*100,""0.00"")"),"2.20 +/- 5.01")</f>
        <v>2.20 +/- 5.01</v>
      </c>
      <c r="M12" s="9" t="str">
        <f>IFERROR(__xludf.DUMMYFUNCTION("TEXT(VALUE(REGEXEXTRACT(E12,""^[+-]?[0-9]*\.?[0-9]+""))*100,""0.00"")&amp;"" +/- ""&amp;TEXT(VALUE(REGEXEXTRACT(E12,""[0-9]*\.?[0-9]+$""))*100,""0.00"")"),"34.85 +/- 5.87")</f>
        <v>34.85 +/- 5.87</v>
      </c>
      <c r="N12" s="9" t="str">
        <f>IFERROR(__xludf.DUMMYFUNCTION("TEXT(VALUE(REGEXEXTRACT(F12,""^[+-]?[0-9]*\.?[0-9]+""))*100,""0.00"")&amp;"" +/- ""&amp;TEXT(VALUE(REGEXEXTRACT(F12,""[0-9]*\.?[0-9]+$""))*100,""0.00"")"),"31.77 +/- 4.03")</f>
        <v>31.77 +/- 4.03</v>
      </c>
      <c r="O12" s="10" t="str">
        <f>IFERROR(__xludf.DUMMYFUNCTION("TEXT(VALUE(REGEXEXTRACT(G12,""^[+-]?[0-9]*\.?[0-9]+""))*100,""0.00"")&amp;"" +/- ""&amp;TEXT(VALUE(REGEXEXTRACT(G12,""[0-9]*\.?[0-9]+$""))*100,""0.00"")"),"34.92 +/- 3.14")</f>
        <v>34.92 +/- 3.14</v>
      </c>
      <c r="P12" s="9" t="str">
        <f>IFERROR(__xludf.DUMMYFUNCTION("TEXT(VALUE(REGEXEXTRACT(H12,""^[+-]?[0-9]*\.?[0-9]+""))*100,""0.00"")&amp;"" +/- ""&amp;TEXT(VALUE(REGEXEXTRACT(H12,""[0-9]*\.?[0-9]+$""))*100,""0.00"")"),"8.17 +/- 2.31")</f>
        <v>8.17 +/- 2.31</v>
      </c>
    </row>
    <row r="13">
      <c r="A13" s="6" t="s">
        <v>109</v>
      </c>
      <c r="B13" s="16" t="s">
        <v>310</v>
      </c>
      <c r="C13" s="16" t="s">
        <v>311</v>
      </c>
      <c r="D13" s="16" t="s">
        <v>312</v>
      </c>
      <c r="E13" s="16" t="s">
        <v>313</v>
      </c>
      <c r="F13" s="16" t="s">
        <v>314</v>
      </c>
      <c r="G13" s="16" t="s">
        <v>315</v>
      </c>
      <c r="H13" s="16" t="s">
        <v>316</v>
      </c>
      <c r="I13" s="8" t="str">
        <f t="shared" si="1"/>
        <v>PC1→PC3</v>
      </c>
      <c r="J13" s="10" t="str">
        <f>IFERROR(__xludf.DUMMYFUNCTION("TEXT(VALUE(REGEXEXTRACT(B13,""^[+-]?[0-9]*\.?[0-9]+""))*100,""0.00"")&amp;"" +/- ""&amp;TEXT(VALUE(REGEXEXTRACT(B13,""[0-9]*\.?[0-9]+$""))*100,""0.00"")"),"28.01 +/- 2.82")</f>
        <v>28.01 +/- 2.82</v>
      </c>
      <c r="K13" s="9" t="str">
        <f>IFERROR(__xludf.DUMMYFUNCTION("TEXT(VALUE(REGEXEXTRACT(C13,""^[+-]?[0-9]*\.?[0-9]+""))*100,""0.00"")&amp;"" +/- ""&amp;TEXT(VALUE(REGEXEXTRACT(C13,""[0-9]*\.?[0-9]+$""))*100,""0.00"")"),"-0.93 +/- 2.18")</f>
        <v>-0.93 +/- 2.18</v>
      </c>
      <c r="L13" s="9" t="str">
        <f>IFERROR(__xludf.DUMMYFUNCTION("TEXT(VALUE(REGEXEXTRACT(D13,""^[+-]?[0-9]*\.?[0-9]+""))*100,""0.00"")&amp;"" +/- ""&amp;TEXT(VALUE(REGEXEXTRACT(D13,""[0-9]*\.?[0-9]+$""))*100,""0.00"")"),"9.79 +/- 3.27")</f>
        <v>9.79 +/- 3.27</v>
      </c>
      <c r="M13" s="9" t="str">
        <f>IFERROR(__xludf.DUMMYFUNCTION("TEXT(VALUE(REGEXEXTRACT(E13,""^[+-]?[0-9]*\.?[0-9]+""))*100,""0.00"")&amp;"" +/- ""&amp;TEXT(VALUE(REGEXEXTRACT(E13,""[0-9]*\.?[0-9]+$""))*100,""0.00"")"),"7.56 +/- 2.25")</f>
        <v>7.56 +/- 2.25</v>
      </c>
      <c r="N13" s="9" t="str">
        <f>IFERROR(__xludf.DUMMYFUNCTION("TEXT(VALUE(REGEXEXTRACT(F13,""^[+-]?[0-9]*\.?[0-9]+""))*100,""0.00"")&amp;"" +/- ""&amp;TEXT(VALUE(REGEXEXTRACT(F13,""[0-9]*\.?[0-9]+$""))*100,""0.00"")"),"24.40 +/- 1.73")</f>
        <v>24.40 +/- 1.73</v>
      </c>
      <c r="O13" s="9" t="str">
        <f>IFERROR(__xludf.DUMMYFUNCTION("TEXT(VALUE(REGEXEXTRACT(G13,""^[+-]?[0-9]*\.?[0-9]+""))*100,""0.00"")&amp;"" +/- ""&amp;TEXT(VALUE(REGEXEXTRACT(G13,""[0-9]*\.?[0-9]+$""))*100,""0.00"")"),"23.68 +/- 1.86")</f>
        <v>23.68 +/- 1.86</v>
      </c>
      <c r="P13" s="9" t="str">
        <f>IFERROR(__xludf.DUMMYFUNCTION("TEXT(VALUE(REGEXEXTRACT(H13,""^[+-]?[0-9]*\.?[0-9]+""))*100,""0.00"")&amp;"" +/- ""&amp;TEXT(VALUE(REGEXEXTRACT(H13,""[0-9]*\.?[0-9]+$""))*100,""0.00"")"),"18.38 +/- 3.51")</f>
        <v>18.38 +/- 3.51</v>
      </c>
    </row>
    <row r="14">
      <c r="A14" s="6" t="s">
        <v>124</v>
      </c>
      <c r="B14" s="16" t="s">
        <v>324</v>
      </c>
      <c r="C14" s="16" t="s">
        <v>325</v>
      </c>
      <c r="D14" s="16" t="s">
        <v>326</v>
      </c>
      <c r="E14" s="16" t="s">
        <v>327</v>
      </c>
      <c r="F14" s="16" t="s">
        <v>328</v>
      </c>
      <c r="G14" s="16" t="s">
        <v>329</v>
      </c>
      <c r="H14" s="16" t="s">
        <v>330</v>
      </c>
      <c r="I14" s="8" t="str">
        <f t="shared" si="1"/>
        <v>PC1→PC4</v>
      </c>
      <c r="J14" s="9" t="str">
        <f>IFERROR(__xludf.DUMMYFUNCTION("TEXT(VALUE(REGEXEXTRACT(B14,""^[+-]?[0-9]*\.?[0-9]+""))*100,""0.00"")&amp;"" +/- ""&amp;TEXT(VALUE(REGEXEXTRACT(B14,""[0-9]*\.?[0-9]+$""))*100,""0.00"")"),"21.50 +/- 1.51")</f>
        <v>21.50 +/- 1.51</v>
      </c>
      <c r="K14" s="9" t="str">
        <f>IFERROR(__xludf.DUMMYFUNCTION("TEXT(VALUE(REGEXEXTRACT(C14,""^[+-]?[0-9]*\.?[0-9]+""))*100,""0.00"")&amp;"" +/- ""&amp;TEXT(VALUE(REGEXEXTRACT(C14,""[0-9]*\.?[0-9]+$""))*100,""0.00"")"),"3.87 +/- 2.08")</f>
        <v>3.87 +/- 2.08</v>
      </c>
      <c r="L14" s="9" t="str">
        <f>IFERROR(__xludf.DUMMYFUNCTION("TEXT(VALUE(REGEXEXTRACT(D14,""^[+-]?[0-9]*\.?[0-9]+""))*100,""0.00"")&amp;"" +/- ""&amp;TEXT(VALUE(REGEXEXTRACT(D14,""[0-9]*\.?[0-9]+$""))*100,""0.00"")"),"4.52 +/- 3.15")</f>
        <v>4.52 +/- 3.15</v>
      </c>
      <c r="M14" s="9" t="str">
        <f>IFERROR(__xludf.DUMMYFUNCTION("TEXT(VALUE(REGEXEXTRACT(E14,""^[+-]?[0-9]*\.?[0-9]+""))*100,""0.00"")&amp;"" +/- ""&amp;TEXT(VALUE(REGEXEXTRACT(E14,""[0-9]*\.?[0-9]+$""))*100,""0.00"")"),"18.18 +/- 1.66")</f>
        <v>18.18 +/- 1.66</v>
      </c>
      <c r="N14" s="10" t="str">
        <f>IFERROR(__xludf.DUMMYFUNCTION("TEXT(VALUE(REGEXEXTRACT(F14,""^[+-]?[0-9]*\.?[0-9]+""))*100,""0.00"")&amp;"" +/- ""&amp;TEXT(VALUE(REGEXEXTRACT(F14,""[0-9]*\.?[0-9]+$""))*100,""0.00"")"),"28.85 +/- 1.06")</f>
        <v>28.85 +/- 1.06</v>
      </c>
      <c r="O14" s="9" t="str">
        <f>IFERROR(__xludf.DUMMYFUNCTION("TEXT(VALUE(REGEXEXTRACT(G14,""^[+-]?[0-9]*\.?[0-9]+""))*100,""0.00"")&amp;"" +/- ""&amp;TEXT(VALUE(REGEXEXTRACT(G14,""[0-9]*\.?[0-9]+$""))*100,""0.00"")"),"28.03 +/- 1.35")</f>
        <v>28.03 +/- 1.35</v>
      </c>
      <c r="P14" s="9" t="str">
        <f>IFERROR(__xludf.DUMMYFUNCTION("TEXT(VALUE(REGEXEXTRACT(H14,""^[+-]?[0-9]*\.?[0-9]+""))*100,""0.00"")&amp;"" +/- ""&amp;TEXT(VALUE(REGEXEXTRACT(H14,""[0-9]*\.?[0-9]+$""))*100,""0.00"")"),"-1.40 +/- 2.88")</f>
        <v>-1.40 +/- 2.88</v>
      </c>
    </row>
    <row r="15">
      <c r="A15" s="6" t="s">
        <v>139</v>
      </c>
      <c r="B15" s="16" t="s">
        <v>338</v>
      </c>
      <c r="C15" s="16" t="s">
        <v>339</v>
      </c>
      <c r="D15" s="16" t="s">
        <v>340</v>
      </c>
      <c r="E15" s="16" t="s">
        <v>341</v>
      </c>
      <c r="F15" s="16" t="s">
        <v>342</v>
      </c>
      <c r="G15" s="16" t="s">
        <v>343</v>
      </c>
      <c r="H15" s="16" t="s">
        <v>344</v>
      </c>
      <c r="I15" s="8" t="str">
        <f t="shared" si="1"/>
        <v>PC3→CM1</v>
      </c>
      <c r="J15" s="10" t="str">
        <f>IFERROR(__xludf.DUMMYFUNCTION("TEXT(VALUE(REGEXEXTRACT(B15,""^[+-]?[0-9]*\.?[0-9]+""))*100,""0.00"")&amp;"" +/- ""&amp;TEXT(VALUE(REGEXEXTRACT(B15,""[0-9]*\.?[0-9]+$""))*100,""0.00"")"),"15.33 +/- 2.68")</f>
        <v>15.33 +/- 2.68</v>
      </c>
      <c r="K15" s="9" t="str">
        <f>IFERROR(__xludf.DUMMYFUNCTION("TEXT(VALUE(REGEXEXTRACT(C15,""^[+-]?[0-9]*\.?[0-9]+""))*100,""0.00"")&amp;"" +/- ""&amp;TEXT(VALUE(REGEXEXTRACT(C15,""[0-9]*\.?[0-9]+$""))*100,""0.00"")"),"4.40 +/- 5.06")</f>
        <v>4.40 +/- 5.06</v>
      </c>
      <c r="L15" s="9" t="str">
        <f>IFERROR(__xludf.DUMMYFUNCTION("TEXT(VALUE(REGEXEXTRACT(D15,""^[+-]?[0-9]*\.?[0-9]+""))*100,""0.00"")&amp;"" +/- ""&amp;TEXT(VALUE(REGEXEXTRACT(D15,""[0-9]*\.?[0-9]+$""))*100,""0.00"")"),"10.74 +/- 7.27")</f>
        <v>10.74 +/- 7.27</v>
      </c>
      <c r="M15" s="9" t="str">
        <f>IFERROR(__xludf.DUMMYFUNCTION("TEXT(VALUE(REGEXEXTRACT(E15,""^[+-]?[0-9]*\.?[0-9]+""))*100,""0.00"")&amp;"" +/- ""&amp;TEXT(VALUE(REGEXEXTRACT(E15,""[0-9]*\.?[0-9]+$""))*100,""0.00"")"),"9.13 +/- 4.76")</f>
        <v>9.13 +/- 4.76</v>
      </c>
      <c r="N15" s="9" t="str">
        <f>IFERROR(__xludf.DUMMYFUNCTION("TEXT(VALUE(REGEXEXTRACT(F15,""^[+-]?[0-9]*\.?[0-9]+""))*100,""0.00"")&amp;"" +/- ""&amp;TEXT(VALUE(REGEXEXTRACT(F15,""[0-9]*\.?[0-9]+$""))*100,""0.00"")"),"13.98 +/- 3.83")</f>
        <v>13.98 +/- 3.83</v>
      </c>
      <c r="O15" s="9" t="str">
        <f>IFERROR(__xludf.DUMMYFUNCTION("TEXT(VALUE(REGEXEXTRACT(G15,""^[+-]?[0-9]*\.?[0-9]+""))*100,""0.00"")&amp;"" +/- ""&amp;TEXT(VALUE(REGEXEXTRACT(G15,""[0-9]*\.?[0-9]+$""))*100,""0.00"")"),"12.99 +/- 4.81")</f>
        <v>12.99 +/- 4.81</v>
      </c>
      <c r="P15" s="9" t="str">
        <f>IFERROR(__xludf.DUMMYFUNCTION("TEXT(VALUE(REGEXEXTRACT(H15,""^[+-]?[0-9]*\.?[0-9]+""))*100,""0.00"")&amp;"" +/- ""&amp;TEXT(VALUE(REGEXEXTRACT(H15,""[0-9]*\.?[0-9]+$""))*100,""0.00"")"),"0.82 +/- 3.02")</f>
        <v>0.82 +/- 3.02</v>
      </c>
    </row>
    <row r="16">
      <c r="A16" s="6" t="s">
        <v>154</v>
      </c>
      <c r="B16" s="16" t="s">
        <v>352</v>
      </c>
      <c r="C16" s="16" t="s">
        <v>353</v>
      </c>
      <c r="D16" s="16" t="s">
        <v>354</v>
      </c>
      <c r="E16" s="16" t="s">
        <v>355</v>
      </c>
      <c r="F16" s="16" t="s">
        <v>356</v>
      </c>
      <c r="G16" s="16" t="s">
        <v>357</v>
      </c>
      <c r="H16" s="16" t="s">
        <v>358</v>
      </c>
      <c r="I16" s="8" t="str">
        <f t="shared" si="1"/>
        <v>PC3→MW1</v>
      </c>
      <c r="J16" s="10" t="str">
        <f>IFERROR(__xludf.DUMMYFUNCTION("TEXT(VALUE(REGEXEXTRACT(B16,""^[+-]?[0-9]*\.?[0-9]+""))*100,""0.00"")&amp;"" +/- ""&amp;TEXT(VALUE(REGEXEXTRACT(B16,""[0-9]*\.?[0-9]+$""))*100,""0.00"")"),"25.16 +/- 3.72")</f>
        <v>25.16 +/- 3.72</v>
      </c>
      <c r="K16" s="9" t="str">
        <f>IFERROR(__xludf.DUMMYFUNCTION("TEXT(VALUE(REGEXEXTRACT(C16,""^[+-]?[0-9]*\.?[0-9]+""))*100,""0.00"")&amp;"" +/- ""&amp;TEXT(VALUE(REGEXEXTRACT(C16,""[0-9]*\.?[0-9]+$""))*100,""0.00"")"),"2.93 +/- 2.12")</f>
        <v>2.93 +/- 2.12</v>
      </c>
      <c r="L16" s="9" t="str">
        <f>IFERROR(__xludf.DUMMYFUNCTION("TEXT(VALUE(REGEXEXTRACT(D16,""^[+-]?[0-9]*\.?[0-9]+""))*100,""0.00"")&amp;"" +/- ""&amp;TEXT(VALUE(REGEXEXTRACT(D16,""[0-9]*\.?[0-9]+$""))*100,""0.00"")"),"7.88 +/- 9.36")</f>
        <v>7.88 +/- 9.36</v>
      </c>
      <c r="M16" s="9" t="str">
        <f>IFERROR(__xludf.DUMMYFUNCTION("TEXT(VALUE(REGEXEXTRACT(E16,""^[+-]?[0-9]*\.?[0-9]+""))*100,""0.00"")&amp;"" +/- ""&amp;TEXT(VALUE(REGEXEXTRACT(E16,""[0-9]*\.?[0-9]+$""))*100,""0.00"")"),"24.13 +/- 5.62")</f>
        <v>24.13 +/- 5.62</v>
      </c>
      <c r="N16" s="9" t="str">
        <f>IFERROR(__xludf.DUMMYFUNCTION("TEXT(VALUE(REGEXEXTRACT(F16,""^[+-]?[0-9]*\.?[0-9]+""))*100,""0.00"")&amp;"" +/- ""&amp;TEXT(VALUE(REGEXEXTRACT(F16,""[0-9]*\.?[0-9]+$""))*100,""0.00"")"),"25.13 +/- 4.02")</f>
        <v>25.13 +/- 4.02</v>
      </c>
      <c r="O16" s="9" t="str">
        <f>IFERROR(__xludf.DUMMYFUNCTION("TEXT(VALUE(REGEXEXTRACT(G16,""^[+-]?[0-9]*\.?[0-9]+""))*100,""0.00"")&amp;"" +/- ""&amp;TEXT(VALUE(REGEXEXTRACT(G16,""[0-9]*\.?[0-9]+$""))*100,""0.00"")"),"24.29 +/- 3.26")</f>
        <v>24.29 +/- 3.26</v>
      </c>
      <c r="P16" s="9" t="str">
        <f>IFERROR(__xludf.DUMMYFUNCTION("TEXT(VALUE(REGEXEXTRACT(H16,""^[+-]?[0-9]*\.?[0-9]+""))*100,""0.00"")&amp;"" +/- ""&amp;TEXT(VALUE(REGEXEXTRACT(H16,""[0-9]*\.?[0-9]+$""))*100,""0.00"")"),"-3.75 +/- 3.58")</f>
        <v>-3.75 +/- 3.58</v>
      </c>
    </row>
    <row r="17">
      <c r="A17" s="6" t="s">
        <v>169</v>
      </c>
      <c r="B17" s="16" t="s">
        <v>366</v>
      </c>
      <c r="C17" s="16" t="s">
        <v>367</v>
      </c>
      <c r="D17" s="16" t="s">
        <v>368</v>
      </c>
      <c r="E17" s="16" t="s">
        <v>369</v>
      </c>
      <c r="F17" s="16" t="s">
        <v>370</v>
      </c>
      <c r="G17" s="16" t="s">
        <v>374</v>
      </c>
      <c r="H17" s="16" t="s">
        <v>378</v>
      </c>
      <c r="I17" s="8" t="str">
        <f t="shared" si="1"/>
        <v>PC3→PC1</v>
      </c>
      <c r="J17" s="9" t="str">
        <f>IFERROR(__xludf.DUMMYFUNCTION("TEXT(VALUE(REGEXEXTRACT(B17,""^[+-]?[0-9]*\.?[0-9]+""))*100,""0.00"")&amp;"" +/- ""&amp;TEXT(VALUE(REGEXEXTRACT(B17,""[0-9]*\.?[0-9]+$""))*100,""0.00"")"),"20.80 +/- 2.11")</f>
        <v>20.80 +/- 2.11</v>
      </c>
      <c r="K17" s="9" t="str">
        <f>IFERROR(__xludf.DUMMYFUNCTION("TEXT(VALUE(REGEXEXTRACT(C17,""^[+-]?[0-9]*\.?[0-9]+""))*100,""0.00"")&amp;"" +/- ""&amp;TEXT(VALUE(REGEXEXTRACT(C17,""[0-9]*\.?[0-9]+$""))*100,""0.00"")"),"8.21 +/- 4.42")</f>
        <v>8.21 +/- 4.42</v>
      </c>
      <c r="L17" s="9" t="str">
        <f>IFERROR(__xludf.DUMMYFUNCTION("TEXT(VALUE(REGEXEXTRACT(D17,""^[+-]?[0-9]*\.?[0-9]+""))*100,""0.00"")&amp;"" +/- ""&amp;TEXT(VALUE(REGEXEXTRACT(D17,""[0-9]*\.?[0-9]+$""))*100,""0.00"")"),"11.66 +/- 5.86")</f>
        <v>11.66 +/- 5.86</v>
      </c>
      <c r="M17" s="9" t="str">
        <f>IFERROR(__xludf.DUMMYFUNCTION("TEXT(VALUE(REGEXEXTRACT(E17,""^[+-]?[0-9]*\.?[0-9]+""))*100,""0.00"")&amp;"" +/- ""&amp;TEXT(VALUE(REGEXEXTRACT(E17,""[0-9]*\.?[0-9]+$""))*100,""0.00"")"),"18.40 +/- 2.78")</f>
        <v>18.40 +/- 2.78</v>
      </c>
      <c r="N17" s="10" t="str">
        <f>IFERROR(__xludf.DUMMYFUNCTION("TEXT(VALUE(REGEXEXTRACT(F17,""^[+-]?[0-9]*\.?[0-9]+""))*100,""0.00"")&amp;"" +/- ""&amp;TEXT(VALUE(REGEXEXTRACT(F17,""[0-9]*\.?[0-9]+$""))*100,""0.00"")"),"22.96 +/- 2.24")</f>
        <v>22.96 +/- 2.24</v>
      </c>
      <c r="O17" s="9" t="str">
        <f>IFERROR(__xludf.DUMMYFUNCTION("TEXT(VALUE(REGEXEXTRACT(G17,""^[+-]?[0-9]*\.?[0-9]+""))*100,""0.00"")&amp;"" +/- ""&amp;TEXT(VALUE(REGEXEXTRACT(G17,""[0-9]*\.?[0-9]+$""))*100,""0.00"")"),"21.85 +/- 2.52")</f>
        <v>21.85 +/- 2.52</v>
      </c>
      <c r="P17" s="9" t="str">
        <f>IFERROR(__xludf.DUMMYFUNCTION("TEXT(VALUE(REGEXEXTRACT(H17,""^[+-]?[0-9]*\.?[0-9]+""))*100,""0.00"")&amp;"" +/- ""&amp;TEXT(VALUE(REGEXEXTRACT(H17,""[0-9]*\.?[0-9]+$""))*100,""0.00"")"),"21.18 +/- 2.17")</f>
        <v>21.18 +/- 2.17</v>
      </c>
    </row>
    <row r="18">
      <c r="A18" s="6" t="s">
        <v>184</v>
      </c>
      <c r="B18" s="16" t="s">
        <v>389</v>
      </c>
      <c r="C18" s="16" t="s">
        <v>390</v>
      </c>
      <c r="D18" s="16" t="s">
        <v>391</v>
      </c>
      <c r="E18" s="16" t="s">
        <v>393</v>
      </c>
      <c r="F18" s="16" t="s">
        <v>394</v>
      </c>
      <c r="G18" s="16" t="s">
        <v>396</v>
      </c>
      <c r="H18" s="16" t="s">
        <v>398</v>
      </c>
      <c r="I18" s="8" t="str">
        <f t="shared" si="1"/>
        <v>PC3→PC4</v>
      </c>
      <c r="J18" s="9" t="str">
        <f>IFERROR(__xludf.DUMMYFUNCTION("TEXT(VALUE(REGEXEXTRACT(B18,""^[+-]?[0-9]*\.?[0-9]+""))*100,""0.00"")&amp;"" +/- ""&amp;TEXT(VALUE(REGEXEXTRACT(B18,""[0-9]*\.?[0-9]+$""))*100,""0.00"")"),"24.26 +/- 1.16")</f>
        <v>24.26 +/- 1.16</v>
      </c>
      <c r="K18" s="9" t="str">
        <f>IFERROR(__xludf.DUMMYFUNCTION("TEXT(VALUE(REGEXEXTRACT(C18,""^[+-]?[0-9]*\.?[0-9]+""))*100,""0.00"")&amp;"" +/- ""&amp;TEXT(VALUE(REGEXEXTRACT(C18,""[0-9]*\.?[0-9]+$""))*100,""0.00"")"),"4.06 +/- 2.92")</f>
        <v>4.06 +/- 2.92</v>
      </c>
      <c r="L18" s="9" t="str">
        <f>IFERROR(__xludf.DUMMYFUNCTION("TEXT(VALUE(REGEXEXTRACT(D18,""^[+-]?[0-9]*\.?[0-9]+""))*100,""0.00"")&amp;"" +/- ""&amp;TEXT(VALUE(REGEXEXTRACT(D18,""[0-9]*\.?[0-9]+$""))*100,""0.00"")"),"3.97 +/- 2.52")</f>
        <v>3.97 +/- 2.52</v>
      </c>
      <c r="M18" s="9" t="str">
        <f>IFERROR(__xludf.DUMMYFUNCTION("TEXT(VALUE(REGEXEXTRACT(E18,""^[+-]?[0-9]*\.?[0-9]+""))*100,""0.00"")&amp;"" +/- ""&amp;TEXT(VALUE(REGEXEXTRACT(E18,""[0-9]*\.?[0-9]+$""))*100,""0.00"")"),"17.78 +/- 2.56")</f>
        <v>17.78 +/- 2.56</v>
      </c>
      <c r="N18" s="10" t="str">
        <f>IFERROR(__xludf.DUMMYFUNCTION("TEXT(VALUE(REGEXEXTRACT(F18,""^[+-]?[0-9]*\.?[0-9]+""))*100,""0.00"")&amp;"" +/- ""&amp;TEXT(VALUE(REGEXEXTRACT(F18,""[0-9]*\.?[0-9]+$""))*100,""0.00"")"),"26.40 +/- 1.14")</f>
        <v>26.40 +/- 1.14</v>
      </c>
      <c r="O18" s="9" t="str">
        <f>IFERROR(__xludf.DUMMYFUNCTION("TEXT(VALUE(REGEXEXTRACT(G18,""^[+-]?[0-9]*\.?[0-9]+""))*100,""0.00"")&amp;"" +/- ""&amp;TEXT(VALUE(REGEXEXTRACT(G18,""[0-9]*\.?[0-9]+$""))*100,""0.00"")"),"25.70 +/- 1.35")</f>
        <v>25.70 +/- 1.35</v>
      </c>
      <c r="P18" s="9" t="str">
        <f>IFERROR(__xludf.DUMMYFUNCTION("TEXT(VALUE(REGEXEXTRACT(H18,""^[+-]?[0-9]*\.?[0-9]+""))*100,""0.00"")&amp;"" +/- ""&amp;TEXT(VALUE(REGEXEXTRACT(H18,""[0-9]*\.?[0-9]+$""))*100,""0.00"")"),"5.30 +/- 3.62")</f>
        <v>5.30 +/- 3.62</v>
      </c>
    </row>
    <row r="19">
      <c r="A19" s="6" t="s">
        <v>194</v>
      </c>
      <c r="B19" s="16" t="s">
        <v>415</v>
      </c>
      <c r="C19" s="16" t="s">
        <v>416</v>
      </c>
      <c r="D19" s="16" t="s">
        <v>417</v>
      </c>
      <c r="E19" s="16" t="s">
        <v>418</v>
      </c>
      <c r="F19" s="16" t="s">
        <v>419</v>
      </c>
      <c r="G19" s="16" t="s">
        <v>420</v>
      </c>
      <c r="H19" s="16" t="s">
        <v>421</v>
      </c>
      <c r="I19" s="8" t="str">
        <f t="shared" si="1"/>
        <v>PC4→CM1</v>
      </c>
      <c r="J19" s="10" t="str">
        <f>IFERROR(__xludf.DUMMYFUNCTION("TEXT(VALUE(REGEXEXTRACT(B19,""^[+-]?[0-9]*\.?[0-9]+""))*100,""0.00"")&amp;"" +/- ""&amp;TEXT(VALUE(REGEXEXTRACT(B19,""[0-9]*\.?[0-9]+$""))*100,""0.00"")"),"8.77 +/- 3.03")</f>
        <v>8.77 +/- 3.03</v>
      </c>
      <c r="K19" s="9" t="str">
        <f>IFERROR(__xludf.DUMMYFUNCTION("TEXT(VALUE(REGEXEXTRACT(C19,""^[+-]?[0-9]*\.?[0-9]+""))*100,""0.00"")&amp;"" +/- ""&amp;TEXT(VALUE(REGEXEXTRACT(C19,""[0-9]*\.?[0-9]+$""))*100,""0.00"")"),"-2.34 +/- 2.88")</f>
        <v>-2.34 +/- 2.88</v>
      </c>
      <c r="L19" s="9" t="str">
        <f>IFERROR(__xludf.DUMMYFUNCTION("TEXT(VALUE(REGEXEXTRACT(D19,""^[+-]?[0-9]*\.?[0-9]+""))*100,""0.00"")&amp;"" +/- ""&amp;TEXT(VALUE(REGEXEXTRACT(D19,""[0-9]*\.?[0-9]+$""))*100,""0.00"")"),"-0.44 +/- 4.56")</f>
        <v>-0.44 +/- 4.56</v>
      </c>
      <c r="M19" s="9" t="str">
        <f>IFERROR(__xludf.DUMMYFUNCTION("TEXT(VALUE(REGEXEXTRACT(E19,""^[+-]?[0-9]*\.?[0-9]+""))*100,""0.00"")&amp;"" +/- ""&amp;TEXT(VALUE(REGEXEXTRACT(E19,""[0-9]*\.?[0-9]+$""))*100,""0.00"")"),"4.26 +/- 3.42")</f>
        <v>4.26 +/- 3.42</v>
      </c>
      <c r="N19" s="9" t="str">
        <f>IFERROR(__xludf.DUMMYFUNCTION("TEXT(VALUE(REGEXEXTRACT(F19,""^[+-]?[0-9]*\.?[0-9]+""))*100,""0.00"")&amp;"" +/- ""&amp;TEXT(VALUE(REGEXEXTRACT(F19,""[0-9]*\.?[0-9]+$""))*100,""0.00"")"),"6.52 +/- 2.63")</f>
        <v>6.52 +/- 2.63</v>
      </c>
      <c r="O19" s="9" t="str">
        <f>IFERROR(__xludf.DUMMYFUNCTION("TEXT(VALUE(REGEXEXTRACT(G19,""^[+-]?[0-9]*\.?[0-9]+""))*100,""0.00"")&amp;"" +/- ""&amp;TEXT(VALUE(REGEXEXTRACT(G19,""[0-9]*\.?[0-9]+$""))*100,""0.00"")"),"5.98 +/- 3.00")</f>
        <v>5.98 +/- 3.00</v>
      </c>
      <c r="P19" s="9" t="str">
        <f>IFERROR(__xludf.DUMMYFUNCTION("TEXT(VALUE(REGEXEXTRACT(H19,""^[+-]?[0-9]*\.?[0-9]+""))*100,""0.00"")&amp;"" +/- ""&amp;TEXT(VALUE(REGEXEXTRACT(H19,""[0-9]*\.?[0-9]+$""))*100,""0.00"")"),"6.60 +/- 2.59")</f>
        <v>6.60 +/- 2.59</v>
      </c>
    </row>
    <row r="20">
      <c r="A20" s="6" t="s">
        <v>216</v>
      </c>
      <c r="B20" s="16" t="s">
        <v>431</v>
      </c>
      <c r="C20" s="16" t="s">
        <v>432</v>
      </c>
      <c r="D20" s="16" t="s">
        <v>433</v>
      </c>
      <c r="E20" s="16" t="s">
        <v>434</v>
      </c>
      <c r="F20" s="16" t="s">
        <v>435</v>
      </c>
      <c r="G20" s="16" t="s">
        <v>436</v>
      </c>
      <c r="H20" s="16" t="s">
        <v>437</v>
      </c>
      <c r="I20" s="8" t="str">
        <f t="shared" si="1"/>
        <v>PC4→MW1</v>
      </c>
      <c r="J20" s="10" t="str">
        <f>IFERROR(__xludf.DUMMYFUNCTION("TEXT(VALUE(REGEXEXTRACT(B20,""^[+-]?[0-9]*\.?[0-9]+""))*100,""0.00"")&amp;"" +/- ""&amp;TEXT(VALUE(REGEXEXTRACT(B20,""[0-9]*\.?[0-9]+$""))*100,""0.00"")"),"20.01 +/- 2.86")</f>
        <v>20.01 +/- 2.86</v>
      </c>
      <c r="K20" s="9" t="str">
        <f>IFERROR(__xludf.DUMMYFUNCTION("TEXT(VALUE(REGEXEXTRACT(C20,""^[+-]?[0-9]*\.?[0-9]+""))*100,""0.00"")&amp;"" +/- ""&amp;TEXT(VALUE(REGEXEXTRACT(C20,""[0-9]*\.?[0-9]+$""))*100,""0.00"")"),"-1.10 +/- 4.86")</f>
        <v>-1.10 +/- 4.86</v>
      </c>
      <c r="L20" s="9" t="str">
        <f>IFERROR(__xludf.DUMMYFUNCTION("TEXT(VALUE(REGEXEXTRACT(D20,""^[+-]?[0-9]*\.?[0-9]+""))*100,""0.00"")&amp;"" +/- ""&amp;TEXT(VALUE(REGEXEXTRACT(D20,""[0-9]*\.?[0-9]+$""))*100,""0.00"")"),"1.32 +/- 5.06")</f>
        <v>1.32 +/- 5.06</v>
      </c>
      <c r="M20" s="9" t="str">
        <f>IFERROR(__xludf.DUMMYFUNCTION("TEXT(VALUE(REGEXEXTRACT(E20,""^[+-]?[0-9]*\.?[0-9]+""))*100,""0.00"")&amp;"" +/- ""&amp;TEXT(VALUE(REGEXEXTRACT(E20,""[0-9]*\.?[0-9]+$""))*100,""0.00"")"),"12.53 +/- 7.92")</f>
        <v>12.53 +/- 7.92</v>
      </c>
      <c r="N20" s="9" t="str">
        <f>IFERROR(__xludf.DUMMYFUNCTION("TEXT(VALUE(REGEXEXTRACT(F20,""^[+-]?[0-9]*\.?[0-9]+""))*100,""0.00"")&amp;"" +/- ""&amp;TEXT(VALUE(REGEXEXTRACT(F20,""[0-9]*\.?[0-9]+$""))*100,""0.00"")"),"13.51 +/- 5.28")</f>
        <v>13.51 +/- 5.28</v>
      </c>
      <c r="O20" s="9" t="str">
        <f>IFERROR(__xludf.DUMMYFUNCTION("TEXT(VALUE(REGEXEXTRACT(G20,""^[+-]?[0-9]*\.?[0-9]+""))*100,""0.00"")&amp;"" +/- ""&amp;TEXT(VALUE(REGEXEXTRACT(G20,""[0-9]*\.?[0-9]+$""))*100,""0.00"")"),"18.59 +/- 3.03")</f>
        <v>18.59 +/- 3.03</v>
      </c>
      <c r="P20" s="9" t="str">
        <f>IFERROR(__xludf.DUMMYFUNCTION("TEXT(VALUE(REGEXEXTRACT(H20,""^[+-]?[0-9]*\.?[0-9]+""))*100,""0.00"")&amp;"" +/- ""&amp;TEXT(VALUE(REGEXEXTRACT(H20,""[0-9]*\.?[0-9]+$""))*100,""0.00"")"),"-9.55 +/- 3.25")</f>
        <v>-9.55 +/- 3.25</v>
      </c>
    </row>
    <row r="21">
      <c r="A21" s="6" t="s">
        <v>245</v>
      </c>
      <c r="B21" s="16" t="s">
        <v>445</v>
      </c>
      <c r="C21" s="16" t="s">
        <v>446</v>
      </c>
      <c r="D21" s="16" t="s">
        <v>447</v>
      </c>
      <c r="E21" s="16" t="s">
        <v>448</v>
      </c>
      <c r="F21" s="16" t="s">
        <v>449</v>
      </c>
      <c r="G21" s="16" t="s">
        <v>450</v>
      </c>
      <c r="H21" s="16" t="s">
        <v>451</v>
      </c>
      <c r="I21" s="8" t="str">
        <f t="shared" si="1"/>
        <v>PC4→PC1</v>
      </c>
      <c r="J21" s="9" t="str">
        <f>IFERROR(__xludf.DUMMYFUNCTION("TEXT(VALUE(REGEXEXTRACT(B21,""^[+-]?[0-9]*\.?[0-9]+""))*100,""0.00"")&amp;"" +/- ""&amp;TEXT(VALUE(REGEXEXTRACT(B21,""[0-9]*\.?[0-9]+$""))*100,""0.00"")"),"14.27 +/- 2.06")</f>
        <v>14.27 +/- 2.06</v>
      </c>
      <c r="K21" s="9" t="str">
        <f>IFERROR(__xludf.DUMMYFUNCTION("TEXT(VALUE(REGEXEXTRACT(C21,""^[+-]?[0-9]*\.?[0-9]+""))*100,""0.00"")&amp;"" +/- ""&amp;TEXT(VALUE(REGEXEXTRACT(C21,""[0-9]*\.?[0-9]+$""))*100,""0.00"")"),"22.50 +/- 3.95")</f>
        <v>22.50 +/- 3.95</v>
      </c>
      <c r="L21" s="9" t="str">
        <f>IFERROR(__xludf.DUMMYFUNCTION("TEXT(VALUE(REGEXEXTRACT(D21,""^[+-]?[0-9]*\.?[0-9]+""))*100,""0.00"")&amp;"" +/- ""&amp;TEXT(VALUE(REGEXEXTRACT(D21,""[0-9]*\.?[0-9]+$""))*100,""0.00"")"),"6.76 +/- 5.84")</f>
        <v>6.76 +/- 5.84</v>
      </c>
      <c r="M21" s="9" t="str">
        <f>IFERROR(__xludf.DUMMYFUNCTION("TEXT(VALUE(REGEXEXTRACT(E21,""^[+-]?[0-9]*\.?[0-9]+""))*100,""0.00"")&amp;"" +/- ""&amp;TEXT(VALUE(REGEXEXTRACT(E21,""[0-9]*\.?[0-9]+$""))*100,""0.00"")"),"20.31 +/- 4.20")</f>
        <v>20.31 +/- 4.20</v>
      </c>
      <c r="N21" s="9" t="str">
        <f>IFERROR(__xludf.DUMMYFUNCTION("TEXT(VALUE(REGEXEXTRACT(F21,""^[+-]?[0-9]*\.?[0-9]+""))*100,""0.00"")&amp;"" +/- ""&amp;TEXT(VALUE(REGEXEXTRACT(F21,""[0-9]*\.?[0-9]+$""))*100,""0.00"")"),"18.61 +/- 2.82")</f>
        <v>18.61 +/- 2.82</v>
      </c>
      <c r="O21" s="9" t="str">
        <f>IFERROR(__xludf.DUMMYFUNCTION("TEXT(VALUE(REGEXEXTRACT(G21,""^[+-]?[0-9]*\.?[0-9]+""))*100,""0.00"")&amp;"" +/- ""&amp;TEXT(VALUE(REGEXEXTRACT(G21,""[0-9]*\.?[0-9]+$""))*100,""0.00"")"),"20.28 +/- 2.64")</f>
        <v>20.28 +/- 2.64</v>
      </c>
      <c r="P21" s="10" t="str">
        <f>IFERROR(__xludf.DUMMYFUNCTION("TEXT(VALUE(REGEXEXTRACT(H21,""^[+-]?[0-9]*\.?[0-9]+""))*100,""0.00"")&amp;"" +/- ""&amp;TEXT(VALUE(REGEXEXTRACT(H21,""[0-9]*\.?[0-9]+$""))*100,""0.00"")"),"20.35 +/- 1.42")</f>
        <v>20.35 +/- 1.42</v>
      </c>
    </row>
    <row r="22">
      <c r="A22" s="6" t="s">
        <v>267</v>
      </c>
      <c r="B22" s="16" t="s">
        <v>459</v>
      </c>
      <c r="C22" s="16" t="s">
        <v>460</v>
      </c>
      <c r="D22" s="16" t="s">
        <v>461</v>
      </c>
      <c r="E22" s="16" t="s">
        <v>462</v>
      </c>
      <c r="F22" s="16" t="s">
        <v>463</v>
      </c>
      <c r="G22" s="16" t="s">
        <v>464</v>
      </c>
      <c r="H22" s="16" t="s">
        <v>465</v>
      </c>
      <c r="I22" s="8" t="str">
        <f t="shared" si="1"/>
        <v>PC4→PC3</v>
      </c>
      <c r="J22" s="9" t="str">
        <f>IFERROR(__xludf.DUMMYFUNCTION("TEXT(VALUE(REGEXEXTRACT(B22,""^[+-]?[0-9]*\.?[0-9]+""))*100,""0.00"")&amp;"" +/- ""&amp;TEXT(VALUE(REGEXEXTRACT(B22,""[0-9]*\.?[0-9]+$""))*100,""0.00"")"),"20.66 +/- 2.99")</f>
        <v>20.66 +/- 2.99</v>
      </c>
      <c r="K22" s="9" t="str">
        <f>IFERROR(__xludf.DUMMYFUNCTION("TEXT(VALUE(REGEXEXTRACT(C22,""^[+-]?[0-9]*\.?[0-9]+""))*100,""0.00"")&amp;"" +/- ""&amp;TEXT(VALUE(REGEXEXTRACT(C22,""[0-9]*\.?[0-9]+$""))*100,""0.00"")"),"6.90 +/- 3.33")</f>
        <v>6.90 +/- 3.33</v>
      </c>
      <c r="L22" s="9" t="str">
        <f>IFERROR(__xludf.DUMMYFUNCTION("TEXT(VALUE(REGEXEXTRACT(D22,""^[+-]?[0-9]*\.?[0-9]+""))*100,""0.00"")&amp;"" +/- ""&amp;TEXT(VALUE(REGEXEXTRACT(D22,""[0-9]*\.?[0-9]+$""))*100,""0.00"")"),"6.38 +/- 2.30")</f>
        <v>6.38 +/- 2.30</v>
      </c>
      <c r="M22" s="9" t="str">
        <f>IFERROR(__xludf.DUMMYFUNCTION("TEXT(VALUE(REGEXEXTRACT(E22,""^[+-]?[0-9]*\.?[0-9]+""))*100,""0.00"")&amp;"" +/- ""&amp;TEXT(VALUE(REGEXEXTRACT(E22,""[0-9]*\.?[0-9]+$""))*100,""0.00"")"),"12.80 +/- 2.16")</f>
        <v>12.80 +/- 2.16</v>
      </c>
      <c r="N22" s="9" t="str">
        <f>IFERROR(__xludf.DUMMYFUNCTION("TEXT(VALUE(REGEXEXTRACT(F22,""^[+-]?[0-9]*\.?[0-9]+""))*100,""0.00"")&amp;"" +/- ""&amp;TEXT(VALUE(REGEXEXTRACT(F22,""[0-9]*\.?[0-9]+$""))*100,""0.00"")"),"10.59 +/- 1.69")</f>
        <v>10.59 +/- 1.69</v>
      </c>
      <c r="O22" s="9" t="str">
        <f>IFERROR(__xludf.DUMMYFUNCTION("TEXT(VALUE(REGEXEXTRACT(G22,""^[+-]?[0-9]*\.?[0-9]+""))*100,""0.00"")&amp;"" +/- ""&amp;TEXT(VALUE(REGEXEXTRACT(G22,""[0-9]*\.?[0-9]+$""))*100,""0.00"")"),"11.67 +/- 1.75")</f>
        <v>11.67 +/- 1.75</v>
      </c>
      <c r="P22" s="10" t="str">
        <f>IFERROR(__xludf.DUMMYFUNCTION("TEXT(VALUE(REGEXEXTRACT(H22,""^[+-]?[0-9]*\.?[0-9]+""))*100,""0.00"")&amp;"" +/- ""&amp;TEXT(VALUE(REGEXEXTRACT(H22,""[0-9]*\.?[0-9]+$""))*100,""0.00"")"),"21.39 +/- 2.27")</f>
        <v>21.39 +/- 2.27</v>
      </c>
    </row>
    <row r="23">
      <c r="A23" s="6" t="s">
        <v>371</v>
      </c>
      <c r="B23" s="14"/>
      <c r="C23" s="21" t="s">
        <v>473</v>
      </c>
      <c r="D23" s="21" t="s">
        <v>400</v>
      </c>
      <c r="E23" s="21" t="s">
        <v>473</v>
      </c>
      <c r="F23" s="21" t="s">
        <v>474</v>
      </c>
      <c r="G23" s="21" t="s">
        <v>474</v>
      </c>
      <c r="H23" s="21" t="s">
        <v>392</v>
      </c>
      <c r="I23" s="8" t="str">
        <f t="shared" si="1"/>
        <v>W/T/L</v>
      </c>
      <c r="K23" s="20" t="str">
        <f>IFERROR(__xludf.DUMMYFUNCTION("SUM(ARRAYFORMULA(IFERROR(
  (VALUE(REGEXEXTRACT($J$3:$J$22,""^[+-]?[0-9]*\.?[0-9]+""))&gt;
   VALUE(REGEXEXTRACT(K$3:K$22,""^[+-]?[0-9]*\.?[0-9]+"")))*1,0)))
&amp;""/""&amp;
SUM(ARRAYFORMULA(IFERROR(
  (VALUE(REGEXEXTRACT($J$3:$J$22,""^[+-]?[0-9]*\.?[0-9]+""))=
   V"&amp;"ALUE(REGEXEXTRACT(K$3:K$22,""^[+-]?[0-9]*\.?[0-9]+"")))*1,0)))
&amp;""/""&amp;
SUM(ARRAYFORMULA(IFERROR(
  (VALUE(REGEXEXTRACT($J$3:$J$22,""^[+-]?[0-9]*\.?[0-9]+""))&lt;
   VALUE(REGEXEXTRACT(K$3:K$22,""^[+-]?[0-9]*\.?[0-9]+"")))*1,0)))"),"18/0/2")</f>
        <v>18/0/2</v>
      </c>
      <c r="L23" s="20" t="str">
        <f>IFERROR(__xludf.DUMMYFUNCTION("SUM(ARRAYFORMULA(IFERROR(
  (VALUE(REGEXEXTRACT($J$3:$J$22,""^[+-]?[0-9]*\.?[0-9]+""))&gt;
   VALUE(REGEXEXTRACT(L$3:L$22,""^[+-]?[0-9]*\.?[0-9]+"")))*1,0)))
&amp;""/""&amp;
SUM(ARRAYFORMULA(IFERROR(
  (VALUE(REGEXEXTRACT($J$3:$J$22,""^[+-]?[0-9]*\.?[0-9]+""))=
   V"&amp;"ALUE(REGEXEXTRACT(L$3:L$22,""^[+-]?[0-9]*\.?[0-9]+"")))*1,0)))
&amp;""/""&amp;
SUM(ARRAYFORMULA(IFERROR(
  (VALUE(REGEXEXTRACT($J$3:$J$22,""^[+-]?[0-9]*\.?[0-9]+""))&lt;
   VALUE(REGEXEXTRACT(L$3:L$22,""^[+-]?[0-9]*\.?[0-9]+"")))*1,0)))"),"19/0/1")</f>
        <v>19/0/1</v>
      </c>
      <c r="M23" s="20" t="str">
        <f>IFERROR(__xludf.DUMMYFUNCTION("SUM(ARRAYFORMULA(IFERROR(
  (VALUE(REGEXEXTRACT($J$3:$J$22,""^[+-]?[0-9]*\.?[0-9]+""))&gt;
   VALUE(REGEXEXTRACT(M$3:M$22,""^[+-]?[0-9]*\.?[0-9]+"")))*1,0)))
&amp;""/""&amp;
SUM(ARRAYFORMULA(IFERROR(
  (VALUE(REGEXEXTRACT($J$3:$J$22,""^[+-]?[0-9]*\.?[0-9]+""))=
   V"&amp;"ALUE(REGEXEXTRACT(M$3:M$22,""^[+-]?[0-9]*\.?[0-9]+"")))*1,0)))
&amp;""/""&amp;
SUM(ARRAYFORMULA(IFERROR(
  (VALUE(REGEXEXTRACT($J$3:$J$22,""^[+-]?[0-9]*\.?[0-9]+""))&lt;
   VALUE(REGEXEXTRACT(M$3:M$22,""^[+-]?[0-9]*\.?[0-9]+"")))*1,0)))"),"18/0/2")</f>
        <v>18/0/2</v>
      </c>
      <c r="N23" s="20" t="str">
        <f>IFERROR(__xludf.DUMMYFUNCTION("SUM(ARRAYFORMULA(IFERROR(
  (VALUE(REGEXEXTRACT($J$3:$J$22,""^[+-]?[0-9]*\.?[0-9]+""))&gt;
   VALUE(REGEXEXTRACT(N$3:N$22,""^[+-]?[0-9]*\.?[0-9]+"")))*1,0)))
&amp;""/""&amp;
SUM(ARRAYFORMULA(IFERROR(
  (VALUE(REGEXEXTRACT($J$3:$J$22,""^[+-]?[0-9]*\.?[0-9]+""))=
   V"&amp;"ALUE(REGEXEXTRACT(N$3:N$22,""^[+-]?[0-9]*\.?[0-9]+"")))*1,0)))
&amp;""/""&amp;
SUM(ARRAYFORMULA(IFERROR(
  (VALUE(REGEXEXTRACT($J$3:$J$22,""^[+-]?[0-9]*\.?[0-9]+""))&lt;
   VALUE(REGEXEXTRACT(N$3:N$22,""^[+-]?[0-9]*\.?[0-9]+"")))*1,0)))"),"11/0/9")</f>
        <v>11/0/9</v>
      </c>
      <c r="O23" s="20" t="str">
        <f>IFERROR(__xludf.DUMMYFUNCTION("SUM(ARRAYFORMULA(IFERROR(
  (VALUE(REGEXEXTRACT($J$3:$J$22,""^[+-]?[0-9]*\.?[0-9]+""))&gt;
   VALUE(REGEXEXTRACT(O$3:O$22,""^[+-]?[0-9]*\.?[0-9]+"")))*1,0)))
&amp;""/""&amp;
SUM(ARRAYFORMULA(IFERROR(
  (VALUE(REGEXEXTRACT($J$3:$J$22,""^[+-]?[0-9]*\.?[0-9]+""))=
   V"&amp;"ALUE(REGEXEXTRACT(O$3:O$22,""^[+-]?[0-9]*\.?[0-9]+"")))*1,0)))
&amp;""/""&amp;
SUM(ARRAYFORMULA(IFERROR(
  (VALUE(REGEXEXTRACT($J$3:$J$22,""^[+-]?[0-9]*\.?[0-9]+""))&lt;
   VALUE(REGEXEXTRACT(O$3:O$22,""^[+-]?[0-9]*\.?[0-9]+"")))*1,0)))"),"11/0/9")</f>
        <v>11/0/9</v>
      </c>
      <c r="P23" s="20" t="str">
        <f>IFERROR(__xludf.DUMMYFUNCTION("SUM(ARRAYFORMULA(IFERROR(
  (VALUE(REGEXEXTRACT($J$3:$J$22,""^[+-]?[0-9]*\.?[0-9]+""))&gt;
   VALUE(REGEXEXTRACT(P$3:P$22,""^[+-]?[0-9]*\.?[0-9]+"")))*1,0)))
&amp;""/""&amp;
SUM(ARRAYFORMULA(IFERROR(
  (VALUE(REGEXEXTRACT($J$3:$J$22,""^[+-]?[0-9]*\.?[0-9]+""))=
   V"&amp;"ALUE(REGEXEXTRACT(P$3:P$22,""^[+-]?[0-9]*\.?[0-9]+"")))*1,0)))
&amp;""/""&amp;
SUM(ARRAYFORMULA(IFERROR(
  (VALUE(REGEXEXTRACT($J$3:$J$22,""^[+-]?[0-9]*\.?[0-9]+""))&lt;
   VALUE(REGEXEXTRACT(P$3:P$22,""^[+-]?[0-9]*\.?[0-9]+"")))*1,0)))"),"14/0/6")</f>
        <v>14/0/6</v>
      </c>
    </row>
    <row r="24">
      <c r="A24" s="6" t="s">
        <v>489</v>
      </c>
      <c r="B24" s="14" t="s">
        <v>490</v>
      </c>
      <c r="C24" s="14" t="s">
        <v>491</v>
      </c>
      <c r="D24" s="14" t="s">
        <v>492</v>
      </c>
      <c r="E24" s="14" t="s">
        <v>493</v>
      </c>
      <c r="F24" s="14" t="s">
        <v>494</v>
      </c>
      <c r="G24" s="14" t="s">
        <v>495</v>
      </c>
      <c r="H24" s="14" t="s">
        <v>496</v>
      </c>
      <c r="I24" s="8" t="str">
        <f t="shared" si="1"/>
        <v>Average (%)</v>
      </c>
      <c r="J24" s="14">
        <f>IFERROR(__xludf.DUMMYFUNCTION("ROUND(AVERAGE(ARRAYFORMULA(IFERROR(VALUE(REGEXEXTRACT(J$3:J$22,""^[+-]?[0-9]*\.?[0-9]+"")),""""))),2)"),19.84)</f>
        <v>19.84</v>
      </c>
      <c r="K24" s="14">
        <f>IFERROR(__xludf.DUMMYFUNCTION("ROUND(AVERAGE(ARRAYFORMULA(IFERROR(VALUE(REGEXEXTRACT(K$3:K$22,""^[+-]?[0-9]*\.?[0-9]+"")),""""))),2)"),6.01)</f>
        <v>6.01</v>
      </c>
      <c r="L24" s="14">
        <f>IFERROR(__xludf.DUMMYFUNCTION("ROUND(AVERAGE(ARRAYFORMULA(IFERROR(VALUE(REGEXEXTRACT(L$3:L$22,""^[+-]?[0-9]*\.?[0-9]+"")),""""))),2)"),5.67)</f>
        <v>5.67</v>
      </c>
      <c r="M24" s="14">
        <f>IFERROR(__xludf.DUMMYFUNCTION("ROUND(AVERAGE(ARRAYFORMULA(IFERROR(VALUE(REGEXEXTRACT(M$3:M$22,""^[+-]?[0-9]*\.?[0-9]+"")),""""))),2)"),14.93)</f>
        <v>14.93</v>
      </c>
      <c r="N24" s="14">
        <f>IFERROR(__xludf.DUMMYFUNCTION("ROUND(AVERAGE(ARRAYFORMULA(IFERROR(VALUE(REGEXEXTRACT(N$3:N$22,""^[+-]?[0-9]*\.?[0-9]+"")),""""))),2)"),18.04)</f>
        <v>18.04</v>
      </c>
      <c r="O24" s="14">
        <f>IFERROR(__xludf.DUMMYFUNCTION("ROUND(AVERAGE(ARRAYFORMULA(IFERROR(VALUE(REGEXEXTRACT(O$3:O$22,""^[+-]?[0-9]*\.?[0-9]+"")),""""))),2)"),18.32)</f>
        <v>18.32</v>
      </c>
      <c r="P24" s="14">
        <f>IFERROR(__xludf.DUMMYFUNCTION("ROUND(AVERAGE(ARRAYFORMULA(IFERROR(VALUE(REGEXEXTRACT(P$3:P$22,""^[+-]?[0-9]*\.?[0-9]+"")),""""))),2)"),10.96)</f>
        <v>10.96</v>
      </c>
    </row>
    <row r="25">
      <c r="A25" s="4" t="s">
        <v>504</v>
      </c>
      <c r="B25" s="2"/>
      <c r="C25" s="2"/>
      <c r="D25" s="2"/>
      <c r="E25" s="2"/>
      <c r="F25" s="2"/>
      <c r="G25" s="2"/>
      <c r="H25" s="2"/>
      <c r="I25" s="4" t="s">
        <v>504</v>
      </c>
    </row>
    <row r="26">
      <c r="A26" s="23" t="s">
        <v>505</v>
      </c>
      <c r="B26" s="16" t="s">
        <v>506</v>
      </c>
      <c r="C26" s="16" t="s">
        <v>506</v>
      </c>
      <c r="D26" s="16" t="s">
        <v>507</v>
      </c>
      <c r="E26" s="16" t="s">
        <v>506</v>
      </c>
      <c r="F26" s="16" t="s">
        <v>506</v>
      </c>
      <c r="G26" s="16" t="s">
        <v>506</v>
      </c>
      <c r="H26" s="16" t="s">
        <v>506</v>
      </c>
      <c r="I26" s="8" t="str">
        <f t="shared" ref="I26:I33" si="2">A26</f>
        <v>A→S</v>
      </c>
      <c r="J26" s="10" t="str">
        <f>IFERROR(__xludf.DUMMYFUNCTION("TEXT(VALUE(REGEXEXTRACT(B26,""^[+-]?[0-9]*\.?[0-9]+""))*100,""0.00"")&amp;"" +/- ""&amp;TEXT(VALUE(REGEXEXTRACT(B26,""[0-9]*\.?[0-9]+$""))*100,""0.00"")"),"49.75 +/- 5.02")</f>
        <v>49.75 +/- 5.02</v>
      </c>
      <c r="K26" s="10" t="str">
        <f>IFERROR(__xludf.DUMMYFUNCTION("TEXT(VALUE(REGEXEXTRACT(C26,""^[+-]?[0-9]*\.?[0-9]+""))*100,""0.00"")&amp;"" +/- ""&amp;TEXT(VALUE(REGEXEXTRACT(C26,""[0-9]*\.?[0-9]+$""))*100,""0.00"")"),"49.75 +/- 5.02")</f>
        <v>49.75 +/- 5.02</v>
      </c>
      <c r="L26" s="9" t="str">
        <f>IFERROR(__xludf.DUMMYFUNCTION("TEXT(VALUE(REGEXEXTRACT(D26,""^[+-]?[0-9]*\.?[0-9]+""))*100,""0.00"")&amp;"" +/- ""&amp;TEXT(VALUE(REGEXEXTRACT(D26,""[0-9]*\.?[0-9]+$""))*100,""0.00"")"),"27.91 +/- 8.96")</f>
        <v>27.91 +/- 8.96</v>
      </c>
      <c r="M26" s="10" t="str">
        <f>IFERROR(__xludf.DUMMYFUNCTION("TEXT(VALUE(REGEXEXTRACT(E26,""^[+-]?[0-9]*\.?[0-9]+""))*100,""0.00"")&amp;"" +/- ""&amp;TEXT(VALUE(REGEXEXTRACT(E26,""[0-9]*\.?[0-9]+$""))*100,""0.00"")"),"49.75 +/- 5.02")</f>
        <v>49.75 +/- 5.02</v>
      </c>
      <c r="N26" s="10" t="str">
        <f>IFERROR(__xludf.DUMMYFUNCTION("TEXT(VALUE(REGEXEXTRACT(F26,""^[+-]?[0-9]*\.?[0-9]+""))*100,""0.00"")&amp;"" +/- ""&amp;TEXT(VALUE(REGEXEXTRACT(F26,""[0-9]*\.?[0-9]+$""))*100,""0.00"")"),"49.75 +/- 5.02")</f>
        <v>49.75 +/- 5.02</v>
      </c>
      <c r="O26" s="10" t="str">
        <f>IFERROR(__xludf.DUMMYFUNCTION("TEXT(VALUE(REGEXEXTRACT(G26,""^[+-]?[0-9]*\.?[0-9]+""))*100,""0.00"")&amp;"" +/- ""&amp;TEXT(VALUE(REGEXEXTRACT(G26,""[0-9]*\.?[0-9]+$""))*100,""0.00"")"),"49.75 +/- 5.02")</f>
        <v>49.75 +/- 5.02</v>
      </c>
      <c r="P26" s="10" t="str">
        <f>IFERROR(__xludf.DUMMYFUNCTION("TEXT(VALUE(REGEXEXTRACT(H26,""^[+-]?[0-9]*\.?[0-9]+""))*100,""0.00"")&amp;"" +/- ""&amp;TEXT(VALUE(REGEXEXTRACT(H26,""[0-9]*\.?[0-9]+$""))*100,""0.00"")"),"49.75 +/- 5.02")</f>
        <v>49.75 +/- 5.02</v>
      </c>
    </row>
    <row r="27">
      <c r="A27" s="6" t="s">
        <v>529</v>
      </c>
      <c r="B27" s="16" t="s">
        <v>530</v>
      </c>
      <c r="C27" s="16" t="s">
        <v>530</v>
      </c>
      <c r="D27" s="16" t="s">
        <v>531</v>
      </c>
      <c r="E27" s="16" t="s">
        <v>530</v>
      </c>
      <c r="F27" s="16" t="s">
        <v>530</v>
      </c>
      <c r="G27" s="16" t="s">
        <v>530</v>
      </c>
      <c r="H27" s="16" t="s">
        <v>530</v>
      </c>
      <c r="I27" s="8" t="str">
        <f t="shared" si="2"/>
        <v>A→Z</v>
      </c>
      <c r="J27" s="10" t="str">
        <f>IFERROR(__xludf.DUMMYFUNCTION("TEXT(VALUE(REGEXEXTRACT(B27,""^[+-]?[0-9]*\.?[0-9]+""))*100,""0.00"")&amp;"" +/- ""&amp;TEXT(VALUE(REGEXEXTRACT(B27,""[0-9]*\.?[0-9]+$""))*100,""0.00"")"),"20.78 +/- 3.94")</f>
        <v>20.78 +/- 3.94</v>
      </c>
      <c r="K27" s="10" t="str">
        <f>IFERROR(__xludf.DUMMYFUNCTION("TEXT(VALUE(REGEXEXTRACT(C27,""^[+-]?[0-9]*\.?[0-9]+""))*100,""0.00"")&amp;"" +/- ""&amp;TEXT(VALUE(REGEXEXTRACT(C27,""[0-9]*\.?[0-9]+$""))*100,""0.00"")"),"20.78 +/- 3.94")</f>
        <v>20.78 +/- 3.94</v>
      </c>
      <c r="L27" s="9" t="str">
        <f>IFERROR(__xludf.DUMMYFUNCTION("TEXT(VALUE(REGEXEXTRACT(D27,""^[+-]?[0-9]*\.?[0-9]+""))*100,""0.00"")&amp;"" +/- ""&amp;TEXT(VALUE(REGEXEXTRACT(D27,""[0-9]*\.?[0-9]+$""))*100,""0.00"")"),"4.23 +/- 2.82")</f>
        <v>4.23 +/- 2.82</v>
      </c>
      <c r="M27" s="10" t="str">
        <f>IFERROR(__xludf.DUMMYFUNCTION("TEXT(VALUE(REGEXEXTRACT(E27,""^[+-]?[0-9]*\.?[0-9]+""))*100,""0.00"")&amp;"" +/- ""&amp;TEXT(VALUE(REGEXEXTRACT(E27,""[0-9]*\.?[0-9]+$""))*100,""0.00"")"),"20.78 +/- 3.94")</f>
        <v>20.78 +/- 3.94</v>
      </c>
      <c r="N27" s="10" t="str">
        <f>IFERROR(__xludf.DUMMYFUNCTION("TEXT(VALUE(REGEXEXTRACT(F27,""^[+-]?[0-9]*\.?[0-9]+""))*100,""0.00"")&amp;"" +/- ""&amp;TEXT(VALUE(REGEXEXTRACT(F27,""[0-9]*\.?[0-9]+$""))*100,""0.00"")"),"20.78 +/- 3.94")</f>
        <v>20.78 +/- 3.94</v>
      </c>
      <c r="O27" s="10" t="str">
        <f>IFERROR(__xludf.DUMMYFUNCTION("TEXT(VALUE(REGEXEXTRACT(G27,""^[+-]?[0-9]*\.?[0-9]+""))*100,""0.00"")&amp;"" +/- ""&amp;TEXT(VALUE(REGEXEXTRACT(G27,""[0-9]*\.?[0-9]+$""))*100,""0.00"")"),"20.78 +/- 3.94")</f>
        <v>20.78 +/- 3.94</v>
      </c>
      <c r="P27" s="10" t="str">
        <f>IFERROR(__xludf.DUMMYFUNCTION("TEXT(VALUE(REGEXEXTRACT(H27,""^[+-]?[0-9]*\.?[0-9]+""))*100,""0.00"")&amp;"" +/- ""&amp;TEXT(VALUE(REGEXEXTRACT(H27,""[0-9]*\.?[0-9]+$""))*100,""0.00"")"),"20.78 +/- 3.94")</f>
        <v>20.78 +/- 3.94</v>
      </c>
    </row>
    <row r="28">
      <c r="A28" s="6" t="s">
        <v>539</v>
      </c>
      <c r="B28" s="16" t="s">
        <v>540</v>
      </c>
      <c r="C28" s="16" t="s">
        <v>541</v>
      </c>
      <c r="D28" s="16" t="s">
        <v>542</v>
      </c>
      <c r="E28" s="16" t="s">
        <v>543</v>
      </c>
      <c r="F28" s="16" t="s">
        <v>544</v>
      </c>
      <c r="G28" s="16" t="s">
        <v>545</v>
      </c>
      <c r="H28" s="16" t="s">
        <v>546</v>
      </c>
      <c r="I28" s="8" t="str">
        <f t="shared" si="2"/>
        <v>S→A</v>
      </c>
      <c r="J28" s="9" t="str">
        <f>IFERROR(__xludf.DUMMYFUNCTION("TEXT(VALUE(REGEXEXTRACT(B28,""^[+-]?[0-9]*\.?[0-9]+""))*100,""0.00"")&amp;"" +/- ""&amp;TEXT(VALUE(REGEXEXTRACT(B28,""[0-9]*\.?[0-9]+$""))*100,""0.00"")"),"40.86 +/- 1.94")</f>
        <v>40.86 +/- 1.94</v>
      </c>
      <c r="K28" s="9" t="str">
        <f>IFERROR(__xludf.DUMMYFUNCTION("TEXT(VALUE(REGEXEXTRACT(C28,""^[+-]?[0-9]*\.?[0-9]+""))*100,""0.00"")&amp;"" +/- ""&amp;TEXT(VALUE(REGEXEXTRACT(C28,""[0-9]*\.?[0-9]+$""))*100,""0.00"")"),"41.29 +/- 1.73")</f>
        <v>41.29 +/- 1.73</v>
      </c>
      <c r="L28" s="9" t="str">
        <f>IFERROR(__xludf.DUMMYFUNCTION("TEXT(VALUE(REGEXEXTRACT(D28,""^[+-]?[0-9]*\.?[0-9]+""))*100,""0.00"")&amp;"" +/- ""&amp;TEXT(VALUE(REGEXEXTRACT(D28,""[0-9]*\.?[0-9]+$""))*100,""0.00"")"),"22.58 +/- 3.80")</f>
        <v>22.58 +/- 3.80</v>
      </c>
      <c r="M28" s="10" t="str">
        <f>IFERROR(__xludf.DUMMYFUNCTION("TEXT(VALUE(REGEXEXTRACT(E28,""^[+-]?[0-9]*\.?[0-9]+""))*100,""0.00"")&amp;"" +/- ""&amp;TEXT(VALUE(REGEXEXTRACT(E28,""[0-9]*\.?[0-9]+$""))*100,""0.00"")"),"42.15 +/- 2.66")</f>
        <v>42.15 +/- 2.66</v>
      </c>
      <c r="N28" s="9" t="str">
        <f>IFERROR(__xludf.DUMMYFUNCTION("TEXT(VALUE(REGEXEXTRACT(F28,""^[+-]?[0-9]*\.?[0-9]+""))*100,""0.00"")&amp;"" +/- ""&amp;TEXT(VALUE(REGEXEXTRACT(F28,""[0-9]*\.?[0-9]+$""))*100,""0.00"")"),"41.80 +/- 2.44")</f>
        <v>41.80 +/- 2.44</v>
      </c>
      <c r="O28" s="9" t="str">
        <f>IFERROR(__xludf.DUMMYFUNCTION("TEXT(VALUE(REGEXEXTRACT(G28,""^[+-]?[0-9]*\.?[0-9]+""))*100,""0.00"")&amp;"" +/- ""&amp;TEXT(VALUE(REGEXEXTRACT(G28,""[0-9]*\.?[0-9]+$""))*100,""0.00"")"),"40.92 +/- 2.38")</f>
        <v>40.92 +/- 2.38</v>
      </c>
      <c r="P28" s="9" t="str">
        <f>IFERROR(__xludf.DUMMYFUNCTION("TEXT(VALUE(REGEXEXTRACT(H28,""^[+-]?[0-9]*\.?[0-9]+""))*100,""0.00"")&amp;"" +/- ""&amp;TEXT(VALUE(REGEXEXTRACT(H28,""[0-9]*\.?[0-9]+$""))*100,""0.00"")"),"40.59 +/- 2.04")</f>
        <v>40.59 +/- 2.04</v>
      </c>
    </row>
    <row r="29">
      <c r="A29" s="6" t="s">
        <v>556</v>
      </c>
      <c r="B29" s="16" t="s">
        <v>557</v>
      </c>
      <c r="C29" s="16" t="s">
        <v>558</v>
      </c>
      <c r="D29" s="16" t="s">
        <v>559</v>
      </c>
      <c r="E29" s="16" t="s">
        <v>560</v>
      </c>
      <c r="F29" s="16" t="s">
        <v>561</v>
      </c>
      <c r="G29" s="16" t="s">
        <v>562</v>
      </c>
      <c r="H29" s="16" t="s">
        <v>563</v>
      </c>
      <c r="I29" s="8" t="str">
        <f t="shared" si="2"/>
        <v>S→Z</v>
      </c>
      <c r="J29" s="9" t="str">
        <f>IFERROR(__xludf.DUMMYFUNCTION("TEXT(VALUE(REGEXEXTRACT(B29,""^[+-]?[0-9]*\.?[0-9]+""))*100,""0.00"")&amp;"" +/- ""&amp;TEXT(VALUE(REGEXEXTRACT(B29,""[0-9]*\.?[0-9]+$""))*100,""0.00"")"),"15.97 +/- 1.78")</f>
        <v>15.97 +/- 1.78</v>
      </c>
      <c r="K29" s="9" t="str">
        <f>IFERROR(__xludf.DUMMYFUNCTION("TEXT(VALUE(REGEXEXTRACT(C29,""^[+-]?[0-9]*\.?[0-9]+""))*100,""0.00"")&amp;"" +/- ""&amp;TEXT(VALUE(REGEXEXTRACT(C29,""[0-9]*\.?[0-9]+$""))*100,""0.00"")"),"13.45 +/- 1.45")</f>
        <v>13.45 +/- 1.45</v>
      </c>
      <c r="L29" s="9" t="str">
        <f>IFERROR(__xludf.DUMMYFUNCTION("TEXT(VALUE(REGEXEXTRACT(D29,""^[+-]?[0-9]*\.?[0-9]+""))*100,""0.00"")&amp;"" +/- ""&amp;TEXT(VALUE(REGEXEXTRACT(D29,""[0-9]*\.?[0-9]+$""))*100,""0.00"")"),"3.17 +/- 4.76")</f>
        <v>3.17 +/- 4.76</v>
      </c>
      <c r="M29" s="9" t="str">
        <f>IFERROR(__xludf.DUMMYFUNCTION("TEXT(VALUE(REGEXEXTRACT(E29,""^[+-]?[0-9]*\.?[0-9]+""))*100,""0.00"")&amp;"" +/- ""&amp;TEXT(VALUE(REGEXEXTRACT(E29,""[0-9]*\.?[0-9]+$""))*100,""0.00"")"),"15.92 +/- 2.47")</f>
        <v>15.92 +/- 2.47</v>
      </c>
      <c r="N29" s="10" t="str">
        <f>IFERROR(__xludf.DUMMYFUNCTION("TEXT(VALUE(REGEXEXTRACT(F29,""^[+-]?[0-9]*\.?[0-9]+""))*100,""0.00"")&amp;"" +/- ""&amp;TEXT(VALUE(REGEXEXTRACT(F29,""[0-9]*\.?[0-9]+$""))*100,""0.00"")"),"21.54 +/- 2.30")</f>
        <v>21.54 +/- 2.30</v>
      </c>
      <c r="O29" s="9" t="str">
        <f>IFERROR(__xludf.DUMMYFUNCTION("TEXT(VALUE(REGEXEXTRACT(G29,""^[+-]?[0-9]*\.?[0-9]+""))*100,""0.00"")&amp;"" +/- ""&amp;TEXT(VALUE(REGEXEXTRACT(G29,""[0-9]*\.?[0-9]+$""))*100,""0.00"")"),"19.96 +/- 3.22")</f>
        <v>19.96 +/- 3.22</v>
      </c>
      <c r="P29" s="9" t="str">
        <f>IFERROR(__xludf.DUMMYFUNCTION("TEXT(VALUE(REGEXEXTRACT(H29,""^[+-]?[0-9]*\.?[0-9]+""))*100,""0.00"")&amp;"" +/- ""&amp;TEXT(VALUE(REGEXEXTRACT(H29,""[0-9]*\.?[0-9]+$""))*100,""0.00"")"),"16.02 +/- 2.13")</f>
        <v>16.02 +/- 2.13</v>
      </c>
    </row>
    <row r="30">
      <c r="A30" s="6" t="s">
        <v>572</v>
      </c>
      <c r="B30" s="16" t="s">
        <v>574</v>
      </c>
      <c r="C30" s="16" t="s">
        <v>575</v>
      </c>
      <c r="D30" s="16" t="s">
        <v>576</v>
      </c>
      <c r="E30" s="16" t="s">
        <v>577</v>
      </c>
      <c r="F30" s="16" t="s">
        <v>578</v>
      </c>
      <c r="G30" s="16" t="s">
        <v>579</v>
      </c>
      <c r="H30" s="16" t="s">
        <v>580</v>
      </c>
      <c r="I30" s="8" t="str">
        <f t="shared" si="2"/>
        <v>Z→A</v>
      </c>
      <c r="J30" s="10" t="str">
        <f>IFERROR(__xludf.DUMMYFUNCTION("TEXT(VALUE(REGEXEXTRACT(B30,""^[+-]?[0-9]*\.?[0-9]+""))*100,""0.00"")&amp;"" +/- ""&amp;TEXT(VALUE(REGEXEXTRACT(B30,""[0-9]*\.?[0-9]+$""))*100,""0.00"")"),"36.03 +/- 2.85")</f>
        <v>36.03 +/- 2.85</v>
      </c>
      <c r="K30" s="9" t="str">
        <f>IFERROR(__xludf.DUMMYFUNCTION("TEXT(VALUE(REGEXEXTRACT(C30,""^[+-]?[0-9]*\.?[0-9]+""))*100,""0.00"")&amp;"" +/- ""&amp;TEXT(VALUE(REGEXEXTRACT(C30,""[0-9]*\.?[0-9]+$""))*100,""0.00"")"),"10.66 +/- 2.99")</f>
        <v>10.66 +/- 2.99</v>
      </c>
      <c r="L30" s="9" t="str">
        <f>IFERROR(__xludf.DUMMYFUNCTION("TEXT(VALUE(REGEXEXTRACT(D30,""^[+-]?[0-9]*\.?[0-9]+""))*100,""0.00"")&amp;"" +/- ""&amp;TEXT(VALUE(REGEXEXTRACT(D30,""[0-9]*\.?[0-9]+$""))*100,""0.00"")"),"9.60 +/- 6.12")</f>
        <v>9.60 +/- 6.12</v>
      </c>
      <c r="M30" s="9" t="str">
        <f>IFERROR(__xludf.DUMMYFUNCTION("TEXT(VALUE(REGEXEXTRACT(E30,""^[+-]?[0-9]*\.?[0-9]+""))*100,""0.00"")&amp;"" +/- ""&amp;TEXT(VALUE(REGEXEXTRACT(E30,""[0-9]*\.?[0-9]+$""))*100,""0.00"")"),"26.72 +/- 3.55")</f>
        <v>26.72 +/- 3.55</v>
      </c>
      <c r="N30" s="9" t="str">
        <f>IFERROR(__xludf.DUMMYFUNCTION("TEXT(VALUE(REGEXEXTRACT(F30,""^[+-]?[0-9]*\.?[0-9]+""))*100,""0.00"")&amp;"" +/- ""&amp;TEXT(VALUE(REGEXEXTRACT(F30,""[0-9]*\.?[0-9]+$""))*100,""0.00"")"),"33.39 +/- 3.94")</f>
        <v>33.39 +/- 3.94</v>
      </c>
      <c r="O30" s="9" t="str">
        <f>IFERROR(__xludf.DUMMYFUNCTION("TEXT(VALUE(REGEXEXTRACT(G30,""^[+-]?[0-9]*\.?[0-9]+""))*100,""0.00"")&amp;"" +/- ""&amp;TEXT(VALUE(REGEXEXTRACT(G30,""[0-9]*\.?[0-9]+$""))*100,""0.00"")"),"33.12 +/- 3.23")</f>
        <v>33.12 +/- 3.23</v>
      </c>
      <c r="P30" s="9" t="str">
        <f>IFERROR(__xludf.DUMMYFUNCTION("TEXT(VALUE(REGEXEXTRACT(H30,""^[+-]?[0-9]*\.?[0-9]+""))*100,""0.00"")&amp;"" +/- ""&amp;TEXT(VALUE(REGEXEXTRACT(H30,""[0-9]*\.?[0-9]+$""))*100,""0.00"")"),"-13.88 +/- 5.48")</f>
        <v>-13.88 +/- 5.48</v>
      </c>
    </row>
    <row r="31">
      <c r="A31" s="6" t="s">
        <v>583</v>
      </c>
      <c r="B31" s="16" t="s">
        <v>586</v>
      </c>
      <c r="C31" s="16" t="s">
        <v>588</v>
      </c>
      <c r="D31" s="16" t="s">
        <v>597</v>
      </c>
      <c r="E31" s="16" t="s">
        <v>599</v>
      </c>
      <c r="F31" s="16" t="s">
        <v>601</v>
      </c>
      <c r="G31" s="16" t="s">
        <v>603</v>
      </c>
      <c r="H31" s="16" t="s">
        <v>604</v>
      </c>
      <c r="I31" s="8" t="str">
        <f t="shared" si="2"/>
        <v>Z→S</v>
      </c>
      <c r="J31" s="10" t="str">
        <f>IFERROR(__xludf.DUMMYFUNCTION("TEXT(VALUE(REGEXEXTRACT(B31,""^[+-]?[0-9]*\.?[0-9]+""))*100,""0.00"")&amp;"" +/- ""&amp;TEXT(VALUE(REGEXEXTRACT(B31,""[0-9]*\.?[0-9]+$""))*100,""0.00"")"),"46.15 +/- 4.22")</f>
        <v>46.15 +/- 4.22</v>
      </c>
      <c r="K31" s="9" t="str">
        <f>IFERROR(__xludf.DUMMYFUNCTION("TEXT(VALUE(REGEXEXTRACT(C31,""^[+-]?[0-9]*\.?[0-9]+""))*100,""0.00"")&amp;"" +/- ""&amp;TEXT(VALUE(REGEXEXTRACT(C31,""[0-9]*\.?[0-9]+$""))*100,""0.00"")"),"24.98 +/- 4.22")</f>
        <v>24.98 +/- 4.22</v>
      </c>
      <c r="L31" s="9" t="str">
        <f>IFERROR(__xludf.DUMMYFUNCTION("TEXT(VALUE(REGEXEXTRACT(D31,""^[+-]?[0-9]*\.?[0-9]+""))*100,""0.00"")&amp;"" +/- ""&amp;TEXT(VALUE(REGEXEXTRACT(D31,""[0-9]*\.?[0-9]+$""))*100,""0.00"")"),"9.18 +/- 12.62")</f>
        <v>9.18 +/- 12.62</v>
      </c>
      <c r="M31" s="9" t="str">
        <f>IFERROR(__xludf.DUMMYFUNCTION("TEXT(VALUE(REGEXEXTRACT(E31,""^[+-]?[0-9]*\.?[0-9]+""))*100,""0.00"")&amp;"" +/- ""&amp;TEXT(VALUE(REGEXEXTRACT(E31,""[0-9]*\.?[0-9]+$""))*100,""0.00"")"),"34.19 +/- 4.60")</f>
        <v>34.19 +/- 4.60</v>
      </c>
      <c r="N31" s="9" t="str">
        <f>IFERROR(__xludf.DUMMYFUNCTION("TEXT(VALUE(REGEXEXTRACT(F31,""^[+-]?[0-9]*\.?[0-9]+""))*100,""0.00"")&amp;"" +/- ""&amp;TEXT(VALUE(REGEXEXTRACT(F31,""[0-9]*\.?[0-9]+$""))*100,""0.00"")"),"39.83 +/- 4.31")</f>
        <v>39.83 +/- 4.31</v>
      </c>
      <c r="O31" s="9" t="str">
        <f>IFERROR(__xludf.DUMMYFUNCTION("TEXT(VALUE(REGEXEXTRACT(G31,""^[+-]?[0-9]*\.?[0-9]+""))*100,""0.00"")&amp;"" +/- ""&amp;TEXT(VALUE(REGEXEXTRACT(G31,""[0-9]*\.?[0-9]+$""))*100,""0.00"")"),"38.51 +/- 5.68")</f>
        <v>38.51 +/- 5.68</v>
      </c>
      <c r="P31" s="9" t="str">
        <f>IFERROR(__xludf.DUMMYFUNCTION("TEXT(VALUE(REGEXEXTRACT(H31,""^[+-]?[0-9]*\.?[0-9]+""))*100,""0.00"")&amp;"" +/- ""&amp;TEXT(VALUE(REGEXEXTRACT(H31,""[0-9]*\.?[0-9]+$""))*100,""0.00"")"),"-8.87 +/- 6.67")</f>
        <v>-8.87 +/- 6.67</v>
      </c>
    </row>
    <row r="32">
      <c r="A32" s="6" t="s">
        <v>371</v>
      </c>
      <c r="B32" s="14"/>
      <c r="C32" s="21" t="s">
        <v>605</v>
      </c>
      <c r="D32" s="21" t="s">
        <v>606</v>
      </c>
      <c r="E32" s="21" t="s">
        <v>605</v>
      </c>
      <c r="F32" s="21" t="s">
        <v>607</v>
      </c>
      <c r="G32" s="21" t="s">
        <v>607</v>
      </c>
      <c r="H32" s="21" t="s">
        <v>605</v>
      </c>
      <c r="I32" s="8" t="str">
        <f t="shared" si="2"/>
        <v>W/T/L</v>
      </c>
      <c r="K32" s="20" t="str">
        <f>IFERROR(__xludf.DUMMYFUNCTION("SUM(ARRAYFORMULA(IFERROR(
  (VALUE(REGEXEXTRACT($J$26:$J$31,""^[+-]?[0-9]*\.?[0-9]+""))&gt;
   VALUE(REGEXEXTRACT(K$26:K$31,""^[+-]?[0-9]*\.?[0-9]+"")))*1,0)))
&amp;""/""&amp;
SUM(ARRAYFORMULA(IFERROR(
  (VALUE(REGEXEXTRACT($J$26:$J$31,""^[+-]?[0-9]*\.?[0-9]+""))=
 "&amp;"  VALUE(REGEXEXTRACT(K$26:K$31,""^[+-]?[0-9]*\.?[0-9]+"")))*1,0)))
&amp;""/""&amp;
SUM(ARRAYFORMULA(IFERROR(
  (VALUE(REGEXEXTRACT($J$26:$J$31,""^[+-]?[0-9]*\.?[0-9]+""))&lt;
   VALUE(REGEXEXTRACT(K$26:K$31,""^[+-]?[0-9]*\.?[0-9]+"")))*1,0)))"),"3/2/1")</f>
        <v>3/2/1</v>
      </c>
      <c r="L32" s="20" t="str">
        <f>IFERROR(__xludf.DUMMYFUNCTION("SUM(ARRAYFORMULA(IFERROR(
  (VALUE(REGEXEXTRACT($J$26:$J$31,""^[+-]?[0-9]*\.?[0-9]+""))&gt;
   VALUE(REGEXEXTRACT(L$26:L$31,""^[+-]?[0-9]*\.?[0-9]+"")))*1,0)))
&amp;""/""&amp;
SUM(ARRAYFORMULA(IFERROR(
  (VALUE(REGEXEXTRACT($J$26:$J$31,""^[+-]?[0-9]*\.?[0-9]+""))=
 "&amp;"  VALUE(REGEXEXTRACT(L$26:L$31,""^[+-]?[0-9]*\.?[0-9]+"")))*1,0)))
&amp;""/""&amp;
SUM(ARRAYFORMULA(IFERROR(
  (VALUE(REGEXEXTRACT($J$26:$J$31,""^[+-]?[0-9]*\.?[0-9]+""))&lt;
   VALUE(REGEXEXTRACT(L$26:L$31,""^[+-]?[0-9]*\.?[0-9]+"")))*1,0)))"),"6/0/0")</f>
        <v>6/0/0</v>
      </c>
      <c r="M32" s="20" t="str">
        <f>IFERROR(__xludf.DUMMYFUNCTION("SUM(ARRAYFORMULA(IFERROR(
  (VALUE(REGEXEXTRACT($J$26:$J$31,""^[+-]?[0-9]*\.?[0-9]+""))&gt;
   VALUE(REGEXEXTRACT(M$26:M$31,""^[+-]?[0-9]*\.?[0-9]+"")))*1,0)))
&amp;""/""&amp;
SUM(ARRAYFORMULA(IFERROR(
  (VALUE(REGEXEXTRACT($J$26:$J$31,""^[+-]?[0-9]*\.?[0-9]+""))=
 "&amp;"  VALUE(REGEXEXTRACT(M$26:M$31,""^[+-]?[0-9]*\.?[0-9]+"")))*1,0)))
&amp;""/""&amp;
SUM(ARRAYFORMULA(IFERROR(
  (VALUE(REGEXEXTRACT($J$26:$J$31,""^[+-]?[0-9]*\.?[0-9]+""))&lt;
   VALUE(REGEXEXTRACT(M$26:M$31,""^[+-]?[0-9]*\.?[0-9]+"")))*1,0)))"),"3/2/1")</f>
        <v>3/2/1</v>
      </c>
      <c r="N32" s="20" t="str">
        <f>IFERROR(__xludf.DUMMYFUNCTION("SUM(ARRAYFORMULA(IFERROR(
  (VALUE(REGEXEXTRACT($J$26:$J$31,""^[+-]?[0-9]*\.?[0-9]+""))&gt;
   VALUE(REGEXEXTRACT(N$26:N$31,""^[+-]?[0-9]*\.?[0-9]+"")))*1,0)))
&amp;""/""&amp;
SUM(ARRAYFORMULA(IFERROR(
  (VALUE(REGEXEXTRACT($J$26:$J$31,""^[+-]?[0-9]*\.?[0-9]+""))=
 "&amp;"  VALUE(REGEXEXTRACT(N$26:N$31,""^[+-]?[0-9]*\.?[0-9]+"")))*1,0)))
&amp;""/""&amp;
SUM(ARRAYFORMULA(IFERROR(
  (VALUE(REGEXEXTRACT($J$26:$J$31,""^[+-]?[0-9]*\.?[0-9]+""))&lt;
   VALUE(REGEXEXTRACT(N$26:N$31,""^[+-]?[0-9]*\.?[0-9]+"")))*1,0)))"),"2/2/2")</f>
        <v>2/2/2</v>
      </c>
      <c r="O32" s="20" t="str">
        <f>IFERROR(__xludf.DUMMYFUNCTION("SUM(ARRAYFORMULA(IFERROR(
  (VALUE(REGEXEXTRACT($J$26:$J$31,""^[+-]?[0-9]*\.?[0-9]+""))&gt;
   VALUE(REGEXEXTRACT(O$26:O$31,""^[+-]?[0-9]*\.?[0-9]+"")))*1,0)))
&amp;""/""&amp;
SUM(ARRAYFORMULA(IFERROR(
  (VALUE(REGEXEXTRACT($J$26:$J$31,""^[+-]?[0-9]*\.?[0-9]+""))=
 "&amp;"  VALUE(REGEXEXTRACT(O$26:O$31,""^[+-]?[0-9]*\.?[0-9]+"")))*1,0)))
&amp;""/""&amp;
SUM(ARRAYFORMULA(IFERROR(
  (VALUE(REGEXEXTRACT($J$26:$J$31,""^[+-]?[0-9]*\.?[0-9]+""))&lt;
   VALUE(REGEXEXTRACT(O$26:O$31,""^[+-]?[0-9]*\.?[0-9]+"")))*1,0)))"),"2/2/2")</f>
        <v>2/2/2</v>
      </c>
      <c r="P32" s="20" t="str">
        <f>IFERROR(__xludf.DUMMYFUNCTION("SUM(ARRAYFORMULA(IFERROR(
  (VALUE(REGEXEXTRACT($J$26:$J$31,""^[+-]?[0-9]*\.?[0-9]+""))&gt;
   VALUE(REGEXEXTRACT(P$26:P$31,""^[+-]?[0-9]*\.?[0-9]+"")))*1,0)))
&amp;""/""&amp;
SUM(ARRAYFORMULA(IFERROR(
  (VALUE(REGEXEXTRACT($J$26:$J$31,""^[+-]?[0-9]*\.?[0-9]+""))=
 "&amp;"  VALUE(REGEXEXTRACT(P$26:P$31,""^[+-]?[0-9]*\.?[0-9]+"")))*1,0)))
&amp;""/""&amp;
SUM(ARRAYFORMULA(IFERROR(
  (VALUE(REGEXEXTRACT($J$26:$J$31,""^[+-]?[0-9]*\.?[0-9]+""))&lt;
   VALUE(REGEXEXTRACT(P$26:P$31,""^[+-]?[0-9]*\.?[0-9]+"")))*1,0)))"),"3/2/1")</f>
        <v>3/2/1</v>
      </c>
    </row>
    <row r="33">
      <c r="A33" s="6" t="s">
        <v>489</v>
      </c>
      <c r="B33" s="14" t="s">
        <v>638</v>
      </c>
      <c r="C33" s="14" t="s">
        <v>639</v>
      </c>
      <c r="D33" s="14" t="s">
        <v>640</v>
      </c>
      <c r="E33" s="14" t="s">
        <v>641</v>
      </c>
      <c r="F33" s="14" t="s">
        <v>642</v>
      </c>
      <c r="G33" s="14" t="s">
        <v>643</v>
      </c>
      <c r="H33" s="14" t="s">
        <v>644</v>
      </c>
      <c r="I33" s="8" t="str">
        <f t="shared" si="2"/>
        <v>Average (%)</v>
      </c>
      <c r="J33" s="9">
        <f>IFERROR(__xludf.DUMMYFUNCTION("ROUND(AVERAGE(ARRAYFORMULA(IFERROR(VALUE(REGEXEXTRACT(J$26:J$31,""^[+-]?[0-9]*\.?[0-9]+"")),""""))),2)"),34.92)</f>
        <v>34.92</v>
      </c>
      <c r="K33" s="9">
        <f>IFERROR(__xludf.DUMMYFUNCTION("ROUND(AVERAGE(ARRAYFORMULA(IFERROR(VALUE(REGEXEXTRACT(K$26:K$31,""^[+-]?[0-9]*\.?[0-9]+"")),""""))),2)"),26.82)</f>
        <v>26.82</v>
      </c>
      <c r="L33" s="9">
        <f>IFERROR(__xludf.DUMMYFUNCTION("ROUND(AVERAGE(ARRAYFORMULA(IFERROR(VALUE(REGEXEXTRACT(L$26:L$31,""^[+-]?[0-9]*\.?[0-9]+"")),""""))),2)"),12.78)</f>
        <v>12.78</v>
      </c>
      <c r="M33" s="9">
        <f>IFERROR(__xludf.DUMMYFUNCTION("ROUND(AVERAGE(ARRAYFORMULA(IFERROR(VALUE(REGEXEXTRACT(M$26:M$31,""^[+-]?[0-9]*\.?[0-9]+"")),""""))),2)"),31.59)</f>
        <v>31.59</v>
      </c>
      <c r="N33" s="9">
        <f>IFERROR(__xludf.DUMMYFUNCTION("ROUND(AVERAGE(ARRAYFORMULA(IFERROR(VALUE(REGEXEXTRACT(N$26:N$31,""^[+-]?[0-9]*\.?[0-9]+"")),""""))),2)"),34.52)</f>
        <v>34.52</v>
      </c>
      <c r="O33" s="9">
        <f>IFERROR(__xludf.DUMMYFUNCTION("ROUND(AVERAGE(ARRAYFORMULA(IFERROR(VALUE(REGEXEXTRACT(O$26:O$31,""^[+-]?[0-9]*\.?[0-9]+"")),""""))),2)"),33.84)</f>
        <v>33.84</v>
      </c>
      <c r="P33" s="9">
        <f>IFERROR(__xludf.DUMMYFUNCTION("ROUND(AVERAGE(ARRAYFORMULA(IFERROR(VALUE(REGEXEXTRACT(P$26:P$31,""^[+-]?[0-9]*\.?[0-9]+"")),""""))),2)"),17.4)</f>
        <v>17.4</v>
      </c>
    </row>
    <row r="34">
      <c r="A34" s="4" t="s">
        <v>659</v>
      </c>
      <c r="B34" s="2"/>
      <c r="C34" s="2"/>
      <c r="D34" s="2"/>
      <c r="E34" s="2"/>
      <c r="F34" s="2"/>
      <c r="G34" s="2"/>
      <c r="H34" s="2"/>
      <c r="I34" s="4" t="s">
        <v>659</v>
      </c>
    </row>
    <row r="35">
      <c r="A35" s="6" t="s">
        <v>660</v>
      </c>
      <c r="B35" s="16" t="s">
        <v>661</v>
      </c>
      <c r="C35" s="16" t="s">
        <v>662</v>
      </c>
      <c r="D35" s="16" t="s">
        <v>663</v>
      </c>
      <c r="E35" s="16" t="s">
        <v>664</v>
      </c>
      <c r="F35" s="16" t="s">
        <v>665</v>
      </c>
      <c r="G35" s="16" t="s">
        <v>666</v>
      </c>
      <c r="H35" s="16" t="s">
        <v>667</v>
      </c>
      <c r="I35" s="8" t="str">
        <f t="shared" ref="I35:I56" si="3">A35</f>
        <v>AR1→AR3</v>
      </c>
      <c r="J35" s="9" t="str">
        <f>IFERROR(__xludf.DUMMYFUNCTION("TEXT(VALUE(REGEXEXTRACT(B35,""^[+-]?[0-9]*\.?[0-9]+""))*100,""0.00"")&amp;"" +/- ""&amp;TEXT(VALUE(REGEXEXTRACT(B35,""[0-9]*\.?[0-9]+$""))*100,""0.00"")"),"22.09 +/- 3.81")</f>
        <v>22.09 +/- 3.81</v>
      </c>
      <c r="K35" s="9" t="str">
        <f>IFERROR(__xludf.DUMMYFUNCTION("TEXT(VALUE(REGEXEXTRACT(C35,""^[+-]?[0-9]*\.?[0-9]+""))*100,""0.00"")&amp;"" +/- ""&amp;TEXT(VALUE(REGEXEXTRACT(C35,""[0-9]*\.?[0-9]+$""))*100,""0.00"")"),"34.55 +/- 8.44")</f>
        <v>34.55 +/- 8.44</v>
      </c>
      <c r="L35" s="9" t="str">
        <f>IFERROR(__xludf.DUMMYFUNCTION("TEXT(VALUE(REGEXEXTRACT(D35,""^[+-]?[0-9]*\.?[0-9]+""))*100,""0.00"")&amp;"" +/- ""&amp;TEXT(VALUE(REGEXEXTRACT(D35,""[0-9]*\.?[0-9]+$""))*100,""0.00"")"),"27.93 +/- 16.89")</f>
        <v>27.93 +/- 16.89</v>
      </c>
      <c r="M35" s="10" t="str">
        <f>IFERROR(__xludf.DUMMYFUNCTION("TEXT(VALUE(REGEXEXTRACT(E35,""^[+-]?[0-9]*\.?[0-9]+""))*100,""0.00"")&amp;"" +/- ""&amp;TEXT(VALUE(REGEXEXTRACT(E35,""[0-9]*\.?[0-9]+$""))*100,""0.00"")"),"37.16 +/- 7.02")</f>
        <v>37.16 +/- 7.02</v>
      </c>
      <c r="N35" s="9" t="str">
        <f>IFERROR(__xludf.DUMMYFUNCTION("TEXT(VALUE(REGEXEXTRACT(F35,""^[+-]?[0-9]*\.?[0-9]+""))*100,""0.00"")&amp;"" +/- ""&amp;TEXT(VALUE(REGEXEXTRACT(F35,""[0-9]*\.?[0-9]+$""))*100,""0.00"")"),"20.37 +/- 4.58")</f>
        <v>20.37 +/- 4.58</v>
      </c>
      <c r="O35" s="9" t="str">
        <f>IFERROR(__xludf.DUMMYFUNCTION("TEXT(VALUE(REGEXEXTRACT(G35,""^[+-]?[0-9]*\.?[0-9]+""))*100,""0.00"")&amp;"" +/- ""&amp;TEXT(VALUE(REGEXEXTRACT(G35,""[0-9]*\.?[0-9]+$""))*100,""0.00"")"),"21.04 +/- 4.50")</f>
        <v>21.04 +/- 4.50</v>
      </c>
      <c r="P35" s="9" t="str">
        <f>IFERROR(__xludf.DUMMYFUNCTION("TEXT(VALUE(REGEXEXTRACT(H35,""^[+-]?[0-9]*\.?[0-9]+""))*100,""0.00"")&amp;"" +/- ""&amp;TEXT(VALUE(REGEXEXTRACT(H35,""[0-9]*\.?[0-9]+$""))*100,""0.00"")"),"56.73 +/- 4.68")</f>
        <v>56.73 +/- 4.68</v>
      </c>
    </row>
    <row r="36">
      <c r="A36" s="6" t="s">
        <v>676</v>
      </c>
      <c r="B36" s="16" t="s">
        <v>677</v>
      </c>
      <c r="C36" s="16" t="s">
        <v>678</v>
      </c>
      <c r="D36" s="16" t="s">
        <v>679</v>
      </c>
      <c r="E36" s="16" t="s">
        <v>680</v>
      </c>
      <c r="F36" s="16" t="s">
        <v>681</v>
      </c>
      <c r="G36" s="16" t="s">
        <v>682</v>
      </c>
      <c r="H36" s="16" t="s">
        <v>683</v>
      </c>
      <c r="I36" s="8" t="str">
        <f t="shared" si="3"/>
        <v>AR1→AR4</v>
      </c>
      <c r="J36" s="9" t="str">
        <f>IFERROR(__xludf.DUMMYFUNCTION("TEXT(VALUE(REGEXEXTRACT(B36,""^[+-]?[0-9]*\.?[0-9]+""))*100,""0.00"")&amp;"" +/- ""&amp;TEXT(VALUE(REGEXEXTRACT(B36,""[0-9]*\.?[0-9]+$""))*100,""0.00"")"),"30.38 +/- 4.97")</f>
        <v>30.38 +/- 4.97</v>
      </c>
      <c r="K36" s="9" t="str">
        <f>IFERROR(__xludf.DUMMYFUNCTION("TEXT(VALUE(REGEXEXTRACT(C36,""^[+-]?[0-9]*\.?[0-9]+""))*100,""0.00"")&amp;"" +/- ""&amp;TEXT(VALUE(REGEXEXTRACT(C36,""[0-9]*\.?[0-9]+$""))*100,""0.00"")"),"8.10 +/- 10.09")</f>
        <v>8.10 +/- 10.09</v>
      </c>
      <c r="L36" s="9" t="str">
        <f>IFERROR(__xludf.DUMMYFUNCTION("TEXT(VALUE(REGEXEXTRACT(D36,""^[+-]?[0-9]*\.?[0-9]+""))*100,""0.00"")&amp;"" +/- ""&amp;TEXT(VALUE(REGEXEXTRACT(D36,""[0-9]*\.?[0-9]+$""))*100,""0.00"")"),"-4.42 +/- 5.70")</f>
        <v>-4.42 +/- 5.70</v>
      </c>
      <c r="M36" s="9" t="str">
        <f>IFERROR(__xludf.DUMMYFUNCTION("TEXT(VALUE(REGEXEXTRACT(E36,""^[+-]?[0-9]*\.?[0-9]+""))*100,""0.00"")&amp;"" +/- ""&amp;TEXT(VALUE(REGEXEXTRACT(E36,""[0-9]*\.?[0-9]+$""))*100,""0.00"")"),"22.09 +/- 10.86")</f>
        <v>22.09 +/- 10.86</v>
      </c>
      <c r="N36" s="9" t="str">
        <f>IFERROR(__xludf.DUMMYFUNCTION("TEXT(VALUE(REGEXEXTRACT(F36,""^[+-]?[0-9]*\.?[0-9]+""))*100,""0.00"")&amp;"" +/- ""&amp;TEXT(VALUE(REGEXEXTRACT(F36,""[0-9]*\.?[0-9]+$""))*100,""0.00"")"),"31.93 +/- 5.32")</f>
        <v>31.93 +/- 5.32</v>
      </c>
      <c r="O36" s="9" t="str">
        <f>IFERROR(__xludf.DUMMYFUNCTION("TEXT(VALUE(REGEXEXTRACT(G36,""^[+-]?[0-9]*\.?[0-9]+""))*100,""0.00"")&amp;"" +/- ""&amp;TEXT(VALUE(REGEXEXTRACT(G36,""[0-9]*\.?[0-9]+$""))*100,""0.00"")"),"31.75 +/- 3.10")</f>
        <v>31.75 +/- 3.10</v>
      </c>
      <c r="P36" s="10" t="str">
        <f>IFERROR(__xludf.DUMMYFUNCTION("TEXT(VALUE(REGEXEXTRACT(H36,""^[+-]?[0-9]*\.?[0-9]+""))*100,""0.00"")&amp;"" +/- ""&amp;TEXT(VALUE(REGEXEXTRACT(H36,""[0-9]*\.?[0-9]+$""))*100,""0.00"")"),"43.70 +/- 3.03")</f>
        <v>43.70 +/- 3.03</v>
      </c>
    </row>
    <row r="37">
      <c r="A37" s="6" t="s">
        <v>684</v>
      </c>
      <c r="B37" s="16" t="s">
        <v>685</v>
      </c>
      <c r="C37" s="16" t="s">
        <v>686</v>
      </c>
      <c r="D37" s="16" t="s">
        <v>686</v>
      </c>
      <c r="E37" s="16" t="s">
        <v>687</v>
      </c>
      <c r="F37" s="16" t="s">
        <v>688</v>
      </c>
      <c r="G37" s="16" t="s">
        <v>689</v>
      </c>
      <c r="H37" s="16" t="s">
        <v>690</v>
      </c>
      <c r="I37" s="8" t="str">
        <f t="shared" si="3"/>
        <v>AR1→AR5</v>
      </c>
      <c r="J37" s="9" t="str">
        <f>IFERROR(__xludf.DUMMYFUNCTION("TEXT(VALUE(REGEXEXTRACT(B37,""^[+-]?[0-9]*\.?[0-9]+""))*100,""0.00"")&amp;"" +/- ""&amp;TEXT(VALUE(REGEXEXTRACT(B37,""[0-9]*\.?[0-9]+$""))*100,""0.00"")"),"45.40 +/- 6.90")</f>
        <v>45.40 +/- 6.90</v>
      </c>
      <c r="K37" s="9" t="str">
        <f>IFERROR(__xludf.DUMMYFUNCTION("TEXT(VALUE(REGEXEXTRACT(C37,""^[+-]?[0-9]*\.?[0-9]+""))*100,""0.00"")&amp;"" +/- ""&amp;TEXT(VALUE(REGEXEXTRACT(C37,""[0-9]*\.?[0-9]+$""))*100,""0.00"")"),"0.00 +/- 0.00")</f>
        <v>0.00 +/- 0.00</v>
      </c>
      <c r="L37" s="9" t="str">
        <f>IFERROR(__xludf.DUMMYFUNCTION("TEXT(VALUE(REGEXEXTRACT(D37,""^[+-]?[0-9]*\.?[0-9]+""))*100,""0.00"")&amp;"" +/- ""&amp;TEXT(VALUE(REGEXEXTRACT(D37,""[0-9]*\.?[0-9]+$""))*100,""0.00"")"),"0.00 +/- 0.00")</f>
        <v>0.00 +/- 0.00</v>
      </c>
      <c r="M37" s="9" t="str">
        <f>IFERROR(__xludf.DUMMYFUNCTION("TEXT(VALUE(REGEXEXTRACT(E37,""^[+-]?[0-9]*\.?[0-9]+""))*100,""0.00"")&amp;"" +/- ""&amp;TEXT(VALUE(REGEXEXTRACT(E37,""[0-9]*\.?[0-9]+$""))*100,""0.00"")"),"40.22 +/- 14.23")</f>
        <v>40.22 +/- 14.23</v>
      </c>
      <c r="N37" s="9" t="str">
        <f>IFERROR(__xludf.DUMMYFUNCTION("TEXT(VALUE(REGEXEXTRACT(F37,""^[+-]?[0-9]*\.?[0-9]+""))*100,""0.00"")&amp;"" +/- ""&amp;TEXT(VALUE(REGEXEXTRACT(F37,""[0-9]*\.?[0-9]+$""))*100,""0.00"")"),"46.70 +/- 7.49")</f>
        <v>46.70 +/- 7.49</v>
      </c>
      <c r="O37" s="9" t="str">
        <f>IFERROR(__xludf.DUMMYFUNCTION("TEXT(VALUE(REGEXEXTRACT(G37,""^[+-]?[0-9]*\.?[0-9]+""))*100,""0.00"")&amp;"" +/- ""&amp;TEXT(VALUE(REGEXEXTRACT(G37,""[0-9]*\.?[0-9]+$""))*100,""0.00"")"),"44.08 +/- 6.69")</f>
        <v>44.08 +/- 6.69</v>
      </c>
      <c r="P37" s="10" t="str">
        <f>IFERROR(__xludf.DUMMYFUNCTION("TEXT(VALUE(REGEXEXTRACT(H37,""^[+-]?[0-9]*\.?[0-9]+""))*100,""0.00"")&amp;"" +/- ""&amp;TEXT(VALUE(REGEXEXTRACT(H37,""[0-9]*\.?[0-9]+$""))*100,""0.00"")"),"47.43 +/- 7.48")</f>
        <v>47.43 +/- 7.48</v>
      </c>
    </row>
    <row r="38">
      <c r="A38" s="6" t="s">
        <v>702</v>
      </c>
      <c r="B38" s="16" t="s">
        <v>703</v>
      </c>
      <c r="C38" s="16" t="s">
        <v>704</v>
      </c>
      <c r="D38" s="16" t="s">
        <v>705</v>
      </c>
      <c r="E38" s="16" t="s">
        <v>706</v>
      </c>
      <c r="F38" s="16" t="s">
        <v>707</v>
      </c>
      <c r="G38" s="16" t="s">
        <v>725</v>
      </c>
      <c r="H38" s="16" t="s">
        <v>726</v>
      </c>
      <c r="I38" s="8" t="str">
        <f t="shared" si="3"/>
        <v>AR1→AR6</v>
      </c>
      <c r="J38" s="9" t="str">
        <f>IFERROR(__xludf.DUMMYFUNCTION("TEXT(VALUE(REGEXEXTRACT(B38,""^[+-]?[0-9]*\.?[0-9]+""))*100,""0.00"")&amp;"" +/- ""&amp;TEXT(VALUE(REGEXEXTRACT(B38,""[0-9]*\.?[0-9]+$""))*100,""0.00"")"),"12.86 +/- 4.90")</f>
        <v>12.86 +/- 4.90</v>
      </c>
      <c r="K38" s="9" t="str">
        <f>IFERROR(__xludf.DUMMYFUNCTION("TEXT(VALUE(REGEXEXTRACT(C38,""^[+-]?[0-9]*\.?[0-9]+""))*100,""0.00"")&amp;"" +/- ""&amp;TEXT(VALUE(REGEXEXTRACT(C38,""[0-9]*\.?[0-9]+$""))*100,""0.00"")"),"16.25 +/- 14.91")</f>
        <v>16.25 +/- 14.91</v>
      </c>
      <c r="L38" s="9" t="str">
        <f>IFERROR(__xludf.DUMMYFUNCTION("TEXT(VALUE(REGEXEXTRACT(D38,""^[+-]?[0-9]*\.?[0-9]+""))*100,""0.00"")&amp;"" +/- ""&amp;TEXT(VALUE(REGEXEXTRACT(D38,""[0-9]*\.?[0-9]+$""))*100,""0.00"")"),"-0.14 +/- 0.76")</f>
        <v>-0.14 +/- 0.76</v>
      </c>
      <c r="M38" s="10" t="str">
        <f>IFERROR(__xludf.DUMMYFUNCTION("TEXT(VALUE(REGEXEXTRACT(E38,""^[+-]?[0-9]*\.?[0-9]+""))*100,""0.00"")&amp;"" +/- ""&amp;TEXT(VALUE(REGEXEXTRACT(E38,""[0-9]*\.?[0-9]+$""))*100,""0.00"")"),"18.17 +/- 3.79")</f>
        <v>18.17 +/- 3.79</v>
      </c>
      <c r="N38" s="9" t="str">
        <f>IFERROR(__xludf.DUMMYFUNCTION("TEXT(VALUE(REGEXEXTRACT(F38,""^[+-]?[0-9]*\.?[0-9]+""))*100,""0.00"")&amp;"" +/- ""&amp;TEXT(VALUE(REGEXEXTRACT(F38,""[0-9]*\.?[0-9]+$""))*100,""0.00"")"),"11.75 +/- 4.82")</f>
        <v>11.75 +/- 4.82</v>
      </c>
      <c r="O38" s="9" t="str">
        <f>IFERROR(__xludf.DUMMYFUNCTION("TEXT(VALUE(REGEXEXTRACT(G38,""^[+-]?[0-9]*\.?[0-9]+""))*100,""0.00"")&amp;"" +/- ""&amp;TEXT(VALUE(REGEXEXTRACT(G38,""[0-9]*\.?[0-9]+$""))*100,""0.00"")"),"10.41 +/- 5.60")</f>
        <v>10.41 +/- 5.60</v>
      </c>
      <c r="P38" s="9" t="str">
        <f>IFERROR(__xludf.DUMMYFUNCTION("TEXT(VALUE(REGEXEXTRACT(H38,""^[+-]?[0-9]*\.?[0-9]+""))*100,""0.00"")&amp;"" +/- ""&amp;TEXT(VALUE(REGEXEXTRACT(H38,""[0-9]*\.?[0-9]+$""))*100,""0.00"")"),"10.18 +/- 4.04")</f>
        <v>10.18 +/- 4.04</v>
      </c>
    </row>
    <row r="39">
      <c r="A39" s="6" t="s">
        <v>738</v>
      </c>
      <c r="B39" s="16" t="s">
        <v>741</v>
      </c>
      <c r="C39" s="16" t="s">
        <v>743</v>
      </c>
      <c r="D39" s="16" t="s">
        <v>744</v>
      </c>
      <c r="E39" s="16" t="s">
        <v>745</v>
      </c>
      <c r="F39" s="16" t="s">
        <v>746</v>
      </c>
      <c r="G39" s="16" t="s">
        <v>747</v>
      </c>
      <c r="H39" s="16" t="s">
        <v>748</v>
      </c>
      <c r="I39" s="8" t="str">
        <f t="shared" si="3"/>
        <v>AR3→AR1</v>
      </c>
      <c r="J39" s="9" t="str">
        <f>IFERROR(__xludf.DUMMYFUNCTION("TEXT(VALUE(REGEXEXTRACT(B39,""^[+-]?[0-9]*\.?[0-9]+""))*100,""0.00"")&amp;"" +/- ""&amp;TEXT(VALUE(REGEXEXTRACT(B39,""[0-9]*\.?[0-9]+$""))*100,""0.00"")"),"10.73 +/- 5.00")</f>
        <v>10.73 +/- 5.00</v>
      </c>
      <c r="K39" s="10" t="str">
        <f>IFERROR(__xludf.DUMMYFUNCTION("TEXT(VALUE(REGEXEXTRACT(C39,""^[+-]?[0-9]*\.?[0-9]+""))*100,""0.00"")&amp;"" +/- ""&amp;TEXT(VALUE(REGEXEXTRACT(C39,""[0-9]*\.?[0-9]+$""))*100,""0.00"")"),"21.85 +/- 4.22")</f>
        <v>21.85 +/- 4.22</v>
      </c>
      <c r="L39" s="9" t="str">
        <f>IFERROR(__xludf.DUMMYFUNCTION("TEXT(VALUE(REGEXEXTRACT(D39,""^[+-]?[0-9]*\.?[0-9]+""))*100,""0.00"")&amp;"" +/- ""&amp;TEXT(VALUE(REGEXEXTRACT(D39,""[0-9]*\.?[0-9]+$""))*100,""0.00"")"),"3.78 +/- 8.98")</f>
        <v>3.78 +/- 8.98</v>
      </c>
      <c r="M39" s="9" t="str">
        <f>IFERROR(__xludf.DUMMYFUNCTION("TEXT(VALUE(REGEXEXTRACT(E39,""^[+-]?[0-9]*\.?[0-9]+""))*100,""0.00"")&amp;"" +/- ""&amp;TEXT(VALUE(REGEXEXTRACT(E39,""[0-9]*\.?[0-9]+$""))*100,""0.00"")"),"15.31 +/- 3.82")</f>
        <v>15.31 +/- 3.82</v>
      </c>
      <c r="N39" s="9" t="str">
        <f>IFERROR(__xludf.DUMMYFUNCTION("TEXT(VALUE(REGEXEXTRACT(F39,""^[+-]?[0-9]*\.?[0-9]+""))*100,""0.00"")&amp;"" +/- ""&amp;TEXT(VALUE(REGEXEXTRACT(F39,""[0-9]*\.?[0-9]+$""))*100,""0.00"")"),"11.56 +/- 4.33")</f>
        <v>11.56 +/- 4.33</v>
      </c>
      <c r="O39" s="9" t="str">
        <f>IFERROR(__xludf.DUMMYFUNCTION("TEXT(VALUE(REGEXEXTRACT(G39,""^[+-]?[0-9]*\.?[0-9]+""))*100,""0.00"")&amp;"" +/- ""&amp;TEXT(VALUE(REGEXEXTRACT(G39,""[0-9]*\.?[0-9]+$""))*100,""0.00"")"),"10.52 +/- 4.27")</f>
        <v>10.52 +/- 4.27</v>
      </c>
      <c r="P39" s="9" t="str">
        <f>IFERROR(__xludf.DUMMYFUNCTION("TEXT(VALUE(REGEXEXTRACT(H39,""^[+-]?[0-9]*\.?[0-9]+""))*100,""0.00"")&amp;"" +/- ""&amp;TEXT(VALUE(REGEXEXTRACT(H39,""[0-9]*\.?[0-9]+$""))*100,""0.00"")"),"9.46 +/- 5.37")</f>
        <v>9.46 +/- 5.37</v>
      </c>
    </row>
    <row r="40">
      <c r="A40" s="6" t="s">
        <v>752</v>
      </c>
      <c r="B40" s="16" t="s">
        <v>754</v>
      </c>
      <c r="C40" s="16" t="s">
        <v>756</v>
      </c>
      <c r="D40" s="16" t="s">
        <v>758</v>
      </c>
      <c r="E40" s="16" t="s">
        <v>760</v>
      </c>
      <c r="F40" s="16" t="s">
        <v>761</v>
      </c>
      <c r="G40" s="16" t="s">
        <v>762</v>
      </c>
      <c r="H40" s="16" t="s">
        <v>763</v>
      </c>
      <c r="I40" s="8" t="str">
        <f t="shared" si="3"/>
        <v>AR3→AR4</v>
      </c>
      <c r="J40" s="9" t="str">
        <f>IFERROR(__xludf.DUMMYFUNCTION("TEXT(VALUE(REGEXEXTRACT(B40,""^[+-]?[0-9]*\.?[0-9]+""))*100,""0.00"")&amp;"" +/- ""&amp;TEXT(VALUE(REGEXEXTRACT(B40,""[0-9]*\.?[0-9]+$""))*100,""0.00"")"),"41.96 +/- 6.00")</f>
        <v>41.96 +/- 6.00</v>
      </c>
      <c r="K40" s="10" t="str">
        <f>IFERROR(__xludf.DUMMYFUNCTION("TEXT(VALUE(REGEXEXTRACT(C40,""^[+-]?[0-9]*\.?[0-9]+""))*100,""0.00"")&amp;"" +/- ""&amp;TEXT(VALUE(REGEXEXTRACT(C40,""[0-9]*\.?[0-9]+$""))*100,""0.00"")"),"44.94 +/- 2.31")</f>
        <v>44.94 +/- 2.31</v>
      </c>
      <c r="L40" s="9" t="str">
        <f>IFERROR(__xludf.DUMMYFUNCTION("TEXT(VALUE(REGEXEXTRACT(D40,""^[+-]?[0-9]*\.?[0-9]+""))*100,""0.00"")&amp;"" +/- ""&amp;TEXT(VALUE(REGEXEXTRACT(D40,""[0-9]*\.?[0-9]+$""))*100,""0.00"")"),"18.16 +/- 11.52")</f>
        <v>18.16 +/- 11.52</v>
      </c>
      <c r="M40" s="9" t="str">
        <f>IFERROR(__xludf.DUMMYFUNCTION("TEXT(VALUE(REGEXEXTRACT(E40,""^[+-]?[0-9]*\.?[0-9]+""))*100,""0.00"")&amp;"" +/- ""&amp;TEXT(VALUE(REGEXEXTRACT(E40,""[0-9]*\.?[0-9]+$""))*100,""0.00"")"),"49.27 +/- 2.79")</f>
        <v>49.27 +/- 2.79</v>
      </c>
      <c r="N40" s="9" t="str">
        <f>IFERROR(__xludf.DUMMYFUNCTION("TEXT(VALUE(REGEXEXTRACT(F40,""^[+-]?[0-9]*\.?[0-9]+""))*100,""0.00"")&amp;"" +/- ""&amp;TEXT(VALUE(REGEXEXTRACT(F40,""[0-9]*\.?[0-9]+$""))*100,""0.00"")"),"40.34 +/- 5.37")</f>
        <v>40.34 +/- 5.37</v>
      </c>
      <c r="O40" s="9" t="str">
        <f>IFERROR(__xludf.DUMMYFUNCTION("TEXT(VALUE(REGEXEXTRACT(G40,""^[+-]?[0-9]*\.?[0-9]+""))*100,""0.00"")&amp;"" +/- ""&amp;TEXT(VALUE(REGEXEXTRACT(G40,""[0-9]*\.?[0-9]+$""))*100,""0.00"")"),"43.27 +/- 6.65")</f>
        <v>43.27 +/- 6.65</v>
      </c>
      <c r="P40" s="9" t="str">
        <f>IFERROR(__xludf.DUMMYFUNCTION("TEXT(VALUE(REGEXEXTRACT(H40,""^[+-]?[0-9]*\.?[0-9]+""))*100,""0.00"")&amp;"" +/- ""&amp;TEXT(VALUE(REGEXEXTRACT(H40,""[0-9]*\.?[0-9]+$""))*100,""0.00"")"),"33.85 +/- 12.67")</f>
        <v>33.85 +/- 12.67</v>
      </c>
    </row>
    <row r="41">
      <c r="A41" s="6" t="s">
        <v>771</v>
      </c>
      <c r="B41" s="16" t="s">
        <v>772</v>
      </c>
      <c r="C41" s="16" t="s">
        <v>773</v>
      </c>
      <c r="D41" s="16" t="s">
        <v>686</v>
      </c>
      <c r="E41" s="16" t="s">
        <v>776</v>
      </c>
      <c r="F41" s="16" t="s">
        <v>778</v>
      </c>
      <c r="G41" s="16" t="s">
        <v>780</v>
      </c>
      <c r="H41" s="16" t="s">
        <v>782</v>
      </c>
      <c r="I41" s="8" t="str">
        <f t="shared" si="3"/>
        <v>AR3→AR5</v>
      </c>
      <c r="J41" s="9" t="str">
        <f>IFERROR(__xludf.DUMMYFUNCTION("TEXT(VALUE(REGEXEXTRACT(B41,""^[+-]?[0-9]*\.?[0-9]+""))*100,""0.00"")&amp;"" +/- ""&amp;TEXT(VALUE(REGEXEXTRACT(B41,""[0-9]*\.?[0-9]+$""))*100,""0.00"")"),"64.68 +/- 5.53")</f>
        <v>64.68 +/- 5.53</v>
      </c>
      <c r="K41" s="9" t="str">
        <f>IFERROR(__xludf.DUMMYFUNCTION("TEXT(VALUE(REGEXEXTRACT(C41,""^[+-]?[0-9]*\.?[0-9]+""))*100,""0.00"")&amp;"" +/- ""&amp;TEXT(VALUE(REGEXEXTRACT(C41,""[0-9]*\.?[0-9]+$""))*100,""0.00"")"),"56.04 +/- 2.01")</f>
        <v>56.04 +/- 2.01</v>
      </c>
      <c r="L41" s="9" t="str">
        <f>IFERROR(__xludf.DUMMYFUNCTION("TEXT(VALUE(REGEXEXTRACT(D41,""^[+-]?[0-9]*\.?[0-9]+""))*100,""0.00"")&amp;"" +/- ""&amp;TEXT(VALUE(REGEXEXTRACT(D41,""[0-9]*\.?[0-9]+$""))*100,""0.00"")"),"0.00 +/- 0.00")</f>
        <v>0.00 +/- 0.00</v>
      </c>
      <c r="M41" s="9" t="str">
        <f>IFERROR(__xludf.DUMMYFUNCTION("TEXT(VALUE(REGEXEXTRACT(E41,""^[+-]?[0-9]*\.?[0-9]+""))*100,""0.00"")&amp;"" +/- ""&amp;TEXT(VALUE(REGEXEXTRACT(E41,""[0-9]*\.?[0-9]+$""))*100,""0.00"")"),"48.61 +/- 2.44")</f>
        <v>48.61 +/- 2.44</v>
      </c>
      <c r="N41" s="9" t="str">
        <f>IFERROR(__xludf.DUMMYFUNCTION("TEXT(VALUE(REGEXEXTRACT(F41,""^[+-]?[0-9]*\.?[0-9]+""))*100,""0.00"")&amp;"" +/- ""&amp;TEXT(VALUE(REGEXEXTRACT(F41,""[0-9]*\.?[0-9]+$""))*100,""0.00"")"),"65.62 +/- 7.34")</f>
        <v>65.62 +/- 7.34</v>
      </c>
      <c r="O41" s="10" t="str">
        <f>IFERROR(__xludf.DUMMYFUNCTION("TEXT(VALUE(REGEXEXTRACT(G41,""^[+-]?[0-9]*\.?[0-9]+""))*100,""0.00"")&amp;"" +/- ""&amp;TEXT(VALUE(REGEXEXTRACT(G41,""[0-9]*\.?[0-9]+$""))*100,""0.00"")"),"65.99 +/- 6.53")</f>
        <v>65.99 +/- 6.53</v>
      </c>
      <c r="P41" s="9" t="str">
        <f>IFERROR(__xludf.DUMMYFUNCTION("TEXT(VALUE(REGEXEXTRACT(H41,""^[+-]?[0-9]*\.?[0-9]+""))*100,""0.00"")&amp;"" +/- ""&amp;TEXT(VALUE(REGEXEXTRACT(H41,""[0-9]*\.?[0-9]+$""))*100,""0.00"")"),"29.52 +/- 8.04")</f>
        <v>29.52 +/- 8.04</v>
      </c>
    </row>
    <row r="42">
      <c r="A42" s="6" t="s">
        <v>798</v>
      </c>
      <c r="B42" s="16" t="s">
        <v>799</v>
      </c>
      <c r="C42" s="16" t="s">
        <v>800</v>
      </c>
      <c r="D42" s="16" t="s">
        <v>801</v>
      </c>
      <c r="E42" s="16" t="s">
        <v>802</v>
      </c>
      <c r="F42" s="16" t="s">
        <v>803</v>
      </c>
      <c r="G42" s="16" t="s">
        <v>804</v>
      </c>
      <c r="H42" s="16" t="s">
        <v>805</v>
      </c>
      <c r="I42" s="8" t="str">
        <f t="shared" si="3"/>
        <v>AR3→AR6</v>
      </c>
      <c r="J42" s="9" t="str">
        <f>IFERROR(__xludf.DUMMYFUNCTION("TEXT(VALUE(REGEXEXTRACT(B42,""^[+-]?[0-9]*\.?[0-9]+""))*100,""0.00"")&amp;"" +/- ""&amp;TEXT(VALUE(REGEXEXTRACT(B42,""[0-9]*\.?[0-9]+$""))*100,""0.00"")"),"-0.30 +/- 6.88")</f>
        <v>-0.30 +/- 6.88</v>
      </c>
      <c r="K42" s="10" t="str">
        <f>IFERROR(__xludf.DUMMYFUNCTION("TEXT(VALUE(REGEXEXTRACT(C42,""^[+-]?[0-9]*\.?[0-9]+""))*100,""0.00"")&amp;"" +/- ""&amp;TEXT(VALUE(REGEXEXTRACT(C42,""[0-9]*\.?[0-9]+$""))*100,""0.00"")"),"24.73 +/- 6.58")</f>
        <v>24.73 +/- 6.58</v>
      </c>
      <c r="L42" s="9" t="str">
        <f>IFERROR(__xludf.DUMMYFUNCTION("TEXT(VALUE(REGEXEXTRACT(D42,""^[+-]?[0-9]*\.?[0-9]+""))*100,""0.00"")&amp;"" +/- ""&amp;TEXT(VALUE(REGEXEXTRACT(D42,""[0-9]*\.?[0-9]+$""))*100,""0.00"")"),"5.45 +/- 10.41")</f>
        <v>5.45 +/- 10.41</v>
      </c>
      <c r="M42" s="9" t="str">
        <f>IFERROR(__xludf.DUMMYFUNCTION("TEXT(VALUE(REGEXEXTRACT(E42,""^[+-]?[0-9]*\.?[0-9]+""))*100,""0.00"")&amp;"" +/- ""&amp;TEXT(VALUE(REGEXEXTRACT(E42,""[0-9]*\.?[0-9]+$""))*100,""0.00"")"),"-2.47 +/- 3.49")</f>
        <v>-2.47 +/- 3.49</v>
      </c>
      <c r="N42" s="9" t="str">
        <f>IFERROR(__xludf.DUMMYFUNCTION("TEXT(VALUE(REGEXEXTRACT(F42,""^[+-]?[0-9]*\.?[0-9]+""))*100,""0.00"")&amp;"" +/- ""&amp;TEXT(VALUE(REGEXEXTRACT(F42,""[0-9]*\.?[0-9]+$""))*100,""0.00"")"),"0.98 +/- 5.43")</f>
        <v>0.98 +/- 5.43</v>
      </c>
      <c r="O42" s="9" t="str">
        <f>IFERROR(__xludf.DUMMYFUNCTION("TEXT(VALUE(REGEXEXTRACT(G42,""^[+-]?[0-9]*\.?[0-9]+""))*100,""0.00"")&amp;"" +/- ""&amp;TEXT(VALUE(REGEXEXTRACT(G42,""[0-9]*\.?[0-9]+$""))*100,""0.00"")"),"0.46 +/- 6.81")</f>
        <v>0.46 +/- 6.81</v>
      </c>
      <c r="P42" s="9" t="str">
        <f>IFERROR(__xludf.DUMMYFUNCTION("TEXT(VALUE(REGEXEXTRACT(H42,""^[+-]?[0-9]*\.?[0-9]+""))*100,""0.00"")&amp;"" +/- ""&amp;TEXT(VALUE(REGEXEXTRACT(H42,""[0-9]*\.?[0-9]+$""))*100,""0.00"")"),"5.80 +/- 11.65")</f>
        <v>5.80 +/- 11.65</v>
      </c>
    </row>
    <row r="43">
      <c r="A43" s="6" t="s">
        <v>806</v>
      </c>
      <c r="B43" s="16" t="s">
        <v>807</v>
      </c>
      <c r="C43" s="16" t="s">
        <v>808</v>
      </c>
      <c r="D43" s="16" t="s">
        <v>809</v>
      </c>
      <c r="E43" s="16" t="s">
        <v>810</v>
      </c>
      <c r="F43" s="16" t="s">
        <v>812</v>
      </c>
      <c r="G43" s="16" t="s">
        <v>813</v>
      </c>
      <c r="H43" s="16" t="s">
        <v>814</v>
      </c>
      <c r="I43" s="8" t="str">
        <f t="shared" si="3"/>
        <v>AR4→AR1</v>
      </c>
      <c r="J43" s="9" t="str">
        <f>IFERROR(__xludf.DUMMYFUNCTION("TEXT(VALUE(REGEXEXTRACT(B43,""^[+-]?[0-9]*\.?[0-9]+""))*100,""0.00"")&amp;"" +/- ""&amp;TEXT(VALUE(REGEXEXTRACT(B43,""[0-9]*\.?[0-9]+$""))*100,""0.00"")"),"8.00 +/- 2.95")</f>
        <v>8.00 +/- 2.95</v>
      </c>
      <c r="K43" s="10" t="str">
        <f>IFERROR(__xludf.DUMMYFUNCTION("TEXT(VALUE(REGEXEXTRACT(C43,""^[+-]?[0-9]*\.?[0-9]+""))*100,""0.00"")&amp;"" +/- ""&amp;TEXT(VALUE(REGEXEXTRACT(C43,""[0-9]*\.?[0-9]+$""))*100,""0.00"")"),"17.63 +/- 0.95")</f>
        <v>17.63 +/- 0.95</v>
      </c>
      <c r="L43" s="9" t="str">
        <f>IFERROR(__xludf.DUMMYFUNCTION("TEXT(VALUE(REGEXEXTRACT(D43,""^[+-]?[0-9]*\.?[0-9]+""))*100,""0.00"")&amp;"" +/- ""&amp;TEXT(VALUE(REGEXEXTRACT(D43,""[0-9]*\.?[0-9]+$""))*100,""0.00"")"),"6.97 +/- 5.29")</f>
        <v>6.97 +/- 5.29</v>
      </c>
      <c r="M43" s="9" t="str">
        <f>IFERROR(__xludf.DUMMYFUNCTION("TEXT(VALUE(REGEXEXTRACT(E43,""^[+-]?[0-9]*\.?[0-9]+""))*100,""0.00"")&amp;"" +/- ""&amp;TEXT(VALUE(REGEXEXTRACT(E43,""[0-9]*\.?[0-9]+$""))*100,""0.00"")"),"10.62 +/- 2.47")</f>
        <v>10.62 +/- 2.47</v>
      </c>
      <c r="N43" s="9" t="str">
        <f>IFERROR(__xludf.DUMMYFUNCTION("TEXT(VALUE(REGEXEXTRACT(F43,""^[+-]?[0-9]*\.?[0-9]+""))*100,""0.00"")&amp;"" +/- ""&amp;TEXT(VALUE(REGEXEXTRACT(F43,""[0-9]*\.?[0-9]+$""))*100,""0.00"")"),"9.78 +/- 4.19")</f>
        <v>9.78 +/- 4.19</v>
      </c>
      <c r="O43" s="9" t="str">
        <f>IFERROR(__xludf.DUMMYFUNCTION("TEXT(VALUE(REGEXEXTRACT(G43,""^[+-]?[0-9]*\.?[0-9]+""))*100,""0.00"")&amp;"" +/- ""&amp;TEXT(VALUE(REGEXEXTRACT(G43,""[0-9]*\.?[0-9]+$""))*100,""0.00"")"),"10.22 +/- 3.72")</f>
        <v>10.22 +/- 3.72</v>
      </c>
      <c r="P43" s="9" t="str">
        <f>IFERROR(__xludf.DUMMYFUNCTION("TEXT(VALUE(REGEXEXTRACT(H43,""^[+-]?[0-9]*\.?[0-9]+""))*100,""0.00"")&amp;"" +/- ""&amp;TEXT(VALUE(REGEXEXTRACT(H43,""[0-9]*\.?[0-9]+$""))*100,""0.00"")"),"9.09 +/- 6.46")</f>
        <v>9.09 +/- 6.46</v>
      </c>
    </row>
    <row r="44">
      <c r="A44" s="6" t="s">
        <v>819</v>
      </c>
      <c r="B44" s="16" t="s">
        <v>820</v>
      </c>
      <c r="C44" s="16" t="s">
        <v>821</v>
      </c>
      <c r="D44" s="16" t="s">
        <v>822</v>
      </c>
      <c r="E44" s="16" t="s">
        <v>823</v>
      </c>
      <c r="F44" s="16" t="s">
        <v>824</v>
      </c>
      <c r="G44" s="16" t="s">
        <v>825</v>
      </c>
      <c r="H44" s="16" t="s">
        <v>826</v>
      </c>
      <c r="I44" s="8" t="str">
        <f t="shared" si="3"/>
        <v>AR4→AR3</v>
      </c>
      <c r="J44" s="9" t="str">
        <f>IFERROR(__xludf.DUMMYFUNCTION("TEXT(VALUE(REGEXEXTRACT(B44,""^[+-]?[0-9]*\.?[0-9]+""))*100,""0.00"")&amp;"" +/- ""&amp;TEXT(VALUE(REGEXEXTRACT(B44,""[0-9]*\.?[0-9]+$""))*100,""0.00"")"),"49.62 +/- 3.77")</f>
        <v>49.62 +/- 3.77</v>
      </c>
      <c r="K44" s="10" t="str">
        <f>IFERROR(__xludf.DUMMYFUNCTION("TEXT(VALUE(REGEXEXTRACT(C44,""^[+-]?[0-9]*\.?[0-9]+""))*100,""0.00"")&amp;"" +/- ""&amp;TEXT(VALUE(REGEXEXTRACT(C44,""[0-9]*\.?[0-9]+$""))*100,""0.00"")"),"59.27 +/- 6.15")</f>
        <v>59.27 +/- 6.15</v>
      </c>
      <c r="L44" s="9" t="str">
        <f>IFERROR(__xludf.DUMMYFUNCTION("TEXT(VALUE(REGEXEXTRACT(D44,""^[+-]?[0-9]*\.?[0-9]+""))*100,""0.00"")&amp;"" +/- ""&amp;TEXT(VALUE(REGEXEXTRACT(D44,""[0-9]*\.?[0-9]+$""))*100,""0.00"")"),"38.93 +/- 11.76")</f>
        <v>38.93 +/- 11.76</v>
      </c>
      <c r="M44" s="9" t="str">
        <f>IFERROR(__xludf.DUMMYFUNCTION("TEXT(VALUE(REGEXEXTRACT(E44,""^[+-]?[0-9]*\.?[0-9]+""))*100,""0.00"")&amp;"" +/- ""&amp;TEXT(VALUE(REGEXEXTRACT(E44,""[0-9]*\.?[0-9]+$""))*100,""0.00"")"),"51.77 +/- 7.01")</f>
        <v>51.77 +/- 7.01</v>
      </c>
      <c r="N44" s="9" t="str">
        <f>IFERROR(__xludf.DUMMYFUNCTION("TEXT(VALUE(REGEXEXTRACT(F44,""^[+-]?[0-9]*\.?[0-9]+""))*100,""0.00"")&amp;"" +/- ""&amp;TEXT(VALUE(REGEXEXTRACT(F44,""[0-9]*\.?[0-9]+$""))*100,""0.00"")"),"29.19 +/- 5.96")</f>
        <v>29.19 +/- 5.96</v>
      </c>
      <c r="O44" s="9" t="str">
        <f>IFERROR(__xludf.DUMMYFUNCTION("TEXT(VALUE(REGEXEXTRACT(G44,""^[+-]?[0-9]*\.?[0-9]+""))*100,""0.00"")&amp;"" +/- ""&amp;TEXT(VALUE(REGEXEXTRACT(G44,""[0-9]*\.?[0-9]+$""))*100,""0.00"")"),"35.25 +/- 6.44")</f>
        <v>35.25 +/- 6.44</v>
      </c>
      <c r="P44" s="9" t="str">
        <f>IFERROR(__xludf.DUMMYFUNCTION("TEXT(VALUE(REGEXEXTRACT(H44,""^[+-]?[0-9]*\.?[0-9]+""))*100,""0.00"")&amp;"" +/- ""&amp;TEXT(VALUE(REGEXEXTRACT(H44,""[0-9]*\.?[0-9]+$""))*100,""0.00"")"),"18.07 +/- 6.28")</f>
        <v>18.07 +/- 6.28</v>
      </c>
    </row>
    <row r="45">
      <c r="A45" s="6" t="s">
        <v>833</v>
      </c>
      <c r="B45" s="16" t="s">
        <v>834</v>
      </c>
      <c r="C45" s="16" t="s">
        <v>835</v>
      </c>
      <c r="D45" s="16" t="s">
        <v>836</v>
      </c>
      <c r="E45" s="16" t="s">
        <v>837</v>
      </c>
      <c r="F45" s="16" t="s">
        <v>838</v>
      </c>
      <c r="G45" s="16" t="s">
        <v>839</v>
      </c>
      <c r="H45" s="16" t="s">
        <v>841</v>
      </c>
      <c r="I45" s="8" t="str">
        <f t="shared" si="3"/>
        <v>AR4→AR5</v>
      </c>
      <c r="J45" s="10" t="str">
        <f>IFERROR(__xludf.DUMMYFUNCTION("TEXT(VALUE(REGEXEXTRACT(B45,""^[+-]?[0-9]*\.?[0-9]+""))*100,""0.00"")&amp;"" +/- ""&amp;TEXT(VALUE(REGEXEXTRACT(B45,""[0-9]*\.?[0-9]+$""))*100,""0.00"")"),"71.04 +/- 4.77")</f>
        <v>71.04 +/- 4.77</v>
      </c>
      <c r="K45" s="9" t="str">
        <f>IFERROR(__xludf.DUMMYFUNCTION("TEXT(VALUE(REGEXEXTRACT(C45,""^[+-]?[0-9]*\.?[0-9]+""))*100,""0.00"")&amp;"" +/- ""&amp;TEXT(VALUE(REGEXEXTRACT(C45,""[0-9]*\.?[0-9]+$""))*100,""0.00"")"),"55.74 +/- 9.65")</f>
        <v>55.74 +/- 9.65</v>
      </c>
      <c r="L45" s="9" t="str">
        <f>IFERROR(__xludf.DUMMYFUNCTION("TEXT(VALUE(REGEXEXTRACT(D45,""^[+-]?[0-9]*\.?[0-9]+""))*100,""0.00"")&amp;"" +/- ""&amp;TEXT(VALUE(REGEXEXTRACT(D45,""[0-9]*\.?[0-9]+$""))*100,""0.00"")"),"53.82 +/- 12.06")</f>
        <v>53.82 +/- 12.06</v>
      </c>
      <c r="M45" s="9" t="str">
        <f>IFERROR(__xludf.DUMMYFUNCTION("TEXT(VALUE(REGEXEXTRACT(E45,""^[+-]?[0-9]*\.?[0-9]+""))*100,""0.00"")&amp;"" +/- ""&amp;TEXT(VALUE(REGEXEXTRACT(E45,""[0-9]*\.?[0-9]+$""))*100,""0.00"")"),"69.09 +/- 9.08")</f>
        <v>69.09 +/- 9.08</v>
      </c>
      <c r="N45" s="9" t="str">
        <f>IFERROR(__xludf.DUMMYFUNCTION("TEXT(VALUE(REGEXEXTRACT(F45,""^[+-]?[0-9]*\.?[0-9]+""))*100,""0.00"")&amp;"" +/- ""&amp;TEXT(VALUE(REGEXEXTRACT(F45,""[0-9]*\.?[0-9]+$""))*100,""0.00"")"),"62.71 +/- 8.11")</f>
        <v>62.71 +/- 8.11</v>
      </c>
      <c r="O45" s="9" t="str">
        <f>IFERROR(__xludf.DUMMYFUNCTION("TEXT(VALUE(REGEXEXTRACT(G45,""^[+-]?[0-9]*\.?[0-9]+""))*100,""0.00"")&amp;"" +/- ""&amp;TEXT(VALUE(REGEXEXTRACT(G45,""[0-9]*\.?[0-9]+$""))*100,""0.00"")"),"68.93 +/- 7.17")</f>
        <v>68.93 +/- 7.17</v>
      </c>
      <c r="P45" s="9" t="str">
        <f>IFERROR(__xludf.DUMMYFUNCTION("TEXT(VALUE(REGEXEXTRACT(H45,""^[+-]?[0-9]*\.?[0-9]+""))*100,""0.00"")&amp;"" +/- ""&amp;TEXT(VALUE(REGEXEXTRACT(H45,""[0-9]*\.?[0-9]+$""))*100,""0.00"")"),"31.90 +/- 17.80")</f>
        <v>31.90 +/- 17.80</v>
      </c>
    </row>
    <row r="46">
      <c r="A46" s="6" t="s">
        <v>849</v>
      </c>
      <c r="B46" s="16" t="s">
        <v>850</v>
      </c>
      <c r="C46" s="16" t="s">
        <v>851</v>
      </c>
      <c r="D46" s="16" t="s">
        <v>852</v>
      </c>
      <c r="E46" s="16" t="s">
        <v>853</v>
      </c>
      <c r="F46" s="16" t="s">
        <v>854</v>
      </c>
      <c r="G46" s="16" t="s">
        <v>855</v>
      </c>
      <c r="H46" s="16" t="s">
        <v>856</v>
      </c>
      <c r="I46" s="8" t="str">
        <f t="shared" si="3"/>
        <v>AR4→AR6</v>
      </c>
      <c r="J46" s="9" t="str">
        <f>IFERROR(__xludf.DUMMYFUNCTION("TEXT(VALUE(REGEXEXTRACT(B46,""^[+-]?[0-9]*\.?[0-9]+""))*100,""0.00"")&amp;"" +/- ""&amp;TEXT(VALUE(REGEXEXTRACT(B46,""[0-9]*\.?[0-9]+$""))*100,""0.00"")"),"9.99 +/- 1.04")</f>
        <v>9.99 +/- 1.04</v>
      </c>
      <c r="K46" s="9" t="str">
        <f>IFERROR(__xludf.DUMMYFUNCTION("TEXT(VALUE(REGEXEXTRACT(C46,""^[+-]?[0-9]*\.?[0-9]+""))*100,""0.00"")&amp;"" +/- ""&amp;TEXT(VALUE(REGEXEXTRACT(C46,""[0-9]*\.?[0-9]+$""))*100,""0.00"")"),"12.10 +/- 4.38")</f>
        <v>12.10 +/- 4.38</v>
      </c>
      <c r="L46" s="9" t="str">
        <f>IFERROR(__xludf.DUMMYFUNCTION("TEXT(VALUE(REGEXEXTRACT(D46,""^[+-]?[0-9]*\.?[0-9]+""))*100,""0.00"")&amp;"" +/- ""&amp;TEXT(VALUE(REGEXEXTRACT(D46,""[0-9]*\.?[0-9]+$""))*100,""0.00"")"),"12.16 +/- 8.84")</f>
        <v>12.16 +/- 8.84</v>
      </c>
      <c r="M46" s="9" t="str">
        <f>IFERROR(__xludf.DUMMYFUNCTION("TEXT(VALUE(REGEXEXTRACT(E46,""^[+-]?[0-9]*\.?[0-9]+""))*100,""0.00"")&amp;"" +/- ""&amp;TEXT(VALUE(REGEXEXTRACT(E46,""[0-9]*\.?[0-9]+$""))*100,""0.00"")"),"11.89 +/- 1.14")</f>
        <v>11.89 +/- 1.14</v>
      </c>
      <c r="N46" s="10" t="str">
        <f>IFERROR(__xludf.DUMMYFUNCTION("TEXT(VALUE(REGEXEXTRACT(F46,""^[+-]?[0-9]*\.?[0-9]+""))*100,""0.00"")&amp;"" +/- ""&amp;TEXT(VALUE(REGEXEXTRACT(F46,""[0-9]*\.?[0-9]+$""))*100,""0.00"")"),"12.61 +/- 2.67")</f>
        <v>12.61 +/- 2.67</v>
      </c>
      <c r="O46" s="9" t="str">
        <f>IFERROR(__xludf.DUMMYFUNCTION("TEXT(VALUE(REGEXEXTRACT(G46,""^[+-]?[0-9]*\.?[0-9]+""))*100,""0.00"")&amp;"" +/- ""&amp;TEXT(VALUE(REGEXEXTRACT(G46,""[0-9]*\.?[0-9]+$""))*100,""0.00"")"),"13.07 +/- 2.61")</f>
        <v>13.07 +/- 2.61</v>
      </c>
      <c r="P46" s="9" t="str">
        <f>IFERROR(__xludf.DUMMYFUNCTION("TEXT(VALUE(REGEXEXTRACT(H46,""^[+-]?[0-9]*\.?[0-9]+""))*100,""0.00"")&amp;"" +/- ""&amp;TEXT(VALUE(REGEXEXTRACT(H46,""[0-9]*\.?[0-9]+$""))*100,""0.00"")"),"10.72 +/- 3.17")</f>
        <v>10.72 +/- 3.17</v>
      </c>
    </row>
    <row r="47">
      <c r="A47" s="6" t="s">
        <v>864</v>
      </c>
      <c r="B47" s="16" t="s">
        <v>865</v>
      </c>
      <c r="C47" s="16" t="s">
        <v>866</v>
      </c>
      <c r="D47" s="16" t="s">
        <v>867</v>
      </c>
      <c r="E47" s="16" t="s">
        <v>868</v>
      </c>
      <c r="F47" s="16" t="s">
        <v>869</v>
      </c>
      <c r="G47" s="16" t="s">
        <v>870</v>
      </c>
      <c r="H47" s="16" t="s">
        <v>871</v>
      </c>
      <c r="I47" s="8" t="str">
        <f t="shared" si="3"/>
        <v>AR5→AR1</v>
      </c>
      <c r="J47" s="9" t="str">
        <f>IFERROR(__xludf.DUMMYFUNCTION("TEXT(VALUE(REGEXEXTRACT(B47,""^[+-]?[0-9]*\.?[0-9]+""))*100,""0.00"")&amp;"" +/- ""&amp;TEXT(VALUE(REGEXEXTRACT(B47,""[0-9]*\.?[0-9]+$""))*100,""0.00"")"),"10.34 +/- 2.55")</f>
        <v>10.34 +/- 2.55</v>
      </c>
      <c r="K47" s="9" t="str">
        <f>IFERROR(__xludf.DUMMYFUNCTION("TEXT(VALUE(REGEXEXTRACT(C47,""^[+-]?[0-9]*\.?[0-9]+""))*100,""0.00"")&amp;"" +/- ""&amp;TEXT(VALUE(REGEXEXTRACT(C47,""[0-9]*\.?[0-9]+$""))*100,""0.00"")"),"17.99 +/- 2.15")</f>
        <v>17.99 +/- 2.15</v>
      </c>
      <c r="L47" s="9" t="str">
        <f>IFERROR(__xludf.DUMMYFUNCTION("TEXT(VALUE(REGEXEXTRACT(D47,""^[+-]?[0-9]*\.?[0-9]+""))*100,""0.00"")&amp;"" +/- ""&amp;TEXT(VALUE(REGEXEXTRACT(D47,""[0-9]*\.?[0-9]+$""))*100,""0.00"")"),"0.28 +/- 7.60")</f>
        <v>0.28 +/- 7.60</v>
      </c>
      <c r="M47" s="10" t="str">
        <f>IFERROR(__xludf.DUMMYFUNCTION("TEXT(VALUE(REGEXEXTRACT(E47,""^[+-]?[0-9]*\.?[0-9]+""))*100,""0.00"")&amp;"" +/- ""&amp;TEXT(VALUE(REGEXEXTRACT(E47,""[0-9]*\.?[0-9]+$""))*100,""0.00"")"),"11.83 +/- 1.83")</f>
        <v>11.83 +/- 1.83</v>
      </c>
      <c r="N47" s="9" t="str">
        <f>IFERROR(__xludf.DUMMYFUNCTION("TEXT(VALUE(REGEXEXTRACT(F47,""^[+-]?[0-9]*\.?[0-9]+""))*100,""0.00"")&amp;"" +/- ""&amp;TEXT(VALUE(REGEXEXTRACT(F47,""[0-9]*\.?[0-9]+$""))*100,""0.00"")"),"9.89 +/- 3.75")</f>
        <v>9.89 +/- 3.75</v>
      </c>
      <c r="O47" s="9" t="str">
        <f>IFERROR(__xludf.DUMMYFUNCTION("TEXT(VALUE(REGEXEXTRACT(G47,""^[+-]?[0-9]*\.?[0-9]+""))*100,""0.00"")&amp;"" +/- ""&amp;TEXT(VALUE(REGEXEXTRACT(G47,""[0-9]*\.?[0-9]+$""))*100,""0.00"")"),"9.21 +/- 2.38")</f>
        <v>9.21 +/- 2.38</v>
      </c>
      <c r="P47" s="9" t="str">
        <f>IFERROR(__xludf.DUMMYFUNCTION("TEXT(VALUE(REGEXEXTRACT(H47,""^[+-]?[0-9]*\.?[0-9]+""))*100,""0.00"")&amp;"" +/- ""&amp;TEXT(VALUE(REGEXEXTRACT(H47,""[0-9]*\.?[0-9]+$""))*100,""0.00"")"),"9.40 +/- 1.74")</f>
        <v>9.40 +/- 1.74</v>
      </c>
    </row>
    <row r="48">
      <c r="A48" s="6" t="s">
        <v>878</v>
      </c>
      <c r="B48" s="16" t="s">
        <v>879</v>
      </c>
      <c r="C48" s="16" t="s">
        <v>880</v>
      </c>
      <c r="D48" s="16" t="s">
        <v>881</v>
      </c>
      <c r="E48" s="16" t="s">
        <v>882</v>
      </c>
      <c r="F48" s="16" t="s">
        <v>883</v>
      </c>
      <c r="G48" s="16" t="s">
        <v>884</v>
      </c>
      <c r="H48" s="16" t="s">
        <v>885</v>
      </c>
      <c r="I48" s="8" t="str">
        <f t="shared" si="3"/>
        <v>AR5→AR3</v>
      </c>
      <c r="J48" s="9" t="str">
        <f>IFERROR(__xludf.DUMMYFUNCTION("TEXT(VALUE(REGEXEXTRACT(B48,""^[+-]?[0-9]*\.?[0-9]+""))*100,""0.00"")&amp;"" +/- ""&amp;TEXT(VALUE(REGEXEXTRACT(B48,""[0-9]*\.?[0-9]+$""))*100,""0.00"")"),"41.68 +/- 4.80")</f>
        <v>41.68 +/- 4.80</v>
      </c>
      <c r="K48" s="10" t="str">
        <f>IFERROR(__xludf.DUMMYFUNCTION("TEXT(VALUE(REGEXEXTRACT(C48,""^[+-]?[0-9]*\.?[0-9]+""))*100,""0.00"")&amp;"" +/- ""&amp;TEXT(VALUE(REGEXEXTRACT(C48,""[0-9]*\.?[0-9]+$""))*100,""0.00"")"),"56.72 +/- 2.71")</f>
        <v>56.72 +/- 2.71</v>
      </c>
      <c r="L48" s="9" t="str">
        <f>IFERROR(__xludf.DUMMYFUNCTION("TEXT(VALUE(REGEXEXTRACT(D48,""^[+-]?[0-9]*\.?[0-9]+""))*100,""0.00"")&amp;"" +/- ""&amp;TEXT(VALUE(REGEXEXTRACT(D48,""[0-9]*\.?[0-9]+$""))*100,""0.00"")"),"11.49 +/- 16.64")</f>
        <v>11.49 +/- 16.64</v>
      </c>
      <c r="M48" s="9" t="str">
        <f>IFERROR(__xludf.DUMMYFUNCTION("TEXT(VALUE(REGEXEXTRACT(E48,""^[+-]?[0-9]*\.?[0-9]+""))*100,""0.00"")&amp;"" +/- ""&amp;TEXT(VALUE(REGEXEXTRACT(E48,""[0-9]*\.?[0-9]+$""))*100,""0.00"")"),"43.12 +/- 4.66")</f>
        <v>43.12 +/- 4.66</v>
      </c>
      <c r="N48" s="9" t="str">
        <f>IFERROR(__xludf.DUMMYFUNCTION("TEXT(VALUE(REGEXEXTRACT(F48,""^[+-]?[0-9]*\.?[0-9]+""))*100,""0.00"")&amp;"" +/- ""&amp;TEXT(VALUE(REGEXEXTRACT(F48,""[0-9]*\.?[0-9]+$""))*100,""0.00"")"),"36.80 +/- 3.89")</f>
        <v>36.80 +/- 3.89</v>
      </c>
      <c r="O48" s="9" t="str">
        <f>IFERROR(__xludf.DUMMYFUNCTION("TEXT(VALUE(REGEXEXTRACT(G48,""^[+-]?[0-9]*\.?[0-9]+""))*100,""0.00"")&amp;"" +/- ""&amp;TEXT(VALUE(REGEXEXTRACT(G48,""[0-9]*\.?[0-9]+$""))*100,""0.00"")"),"39.47 +/- 4.25")</f>
        <v>39.47 +/- 4.25</v>
      </c>
      <c r="P48" s="9" t="str">
        <f>IFERROR(__xludf.DUMMYFUNCTION("TEXT(VALUE(REGEXEXTRACT(H48,""^[+-]?[0-9]*\.?[0-9]+""))*100,""0.00"")&amp;"" +/- ""&amp;TEXT(VALUE(REGEXEXTRACT(H48,""[0-9]*\.?[0-9]+$""))*100,""0.00"")"),"40.11 +/- 4.55")</f>
        <v>40.11 +/- 4.55</v>
      </c>
    </row>
    <row r="49">
      <c r="A49" s="6" t="s">
        <v>892</v>
      </c>
      <c r="B49" s="16" t="s">
        <v>893</v>
      </c>
      <c r="C49" s="16" t="s">
        <v>894</v>
      </c>
      <c r="D49" s="16" t="s">
        <v>895</v>
      </c>
      <c r="E49" s="16" t="s">
        <v>896</v>
      </c>
      <c r="F49" s="16" t="s">
        <v>897</v>
      </c>
      <c r="G49" s="16" t="s">
        <v>898</v>
      </c>
      <c r="H49" s="16" t="s">
        <v>899</v>
      </c>
      <c r="I49" s="8" t="str">
        <f t="shared" si="3"/>
        <v>AR5→AR4</v>
      </c>
      <c r="J49" s="9" t="str">
        <f>IFERROR(__xludf.DUMMYFUNCTION("TEXT(VALUE(REGEXEXTRACT(B49,""^[+-]?[0-9]*\.?[0-9]+""))*100,""0.00"")&amp;"" +/- ""&amp;TEXT(VALUE(REGEXEXTRACT(B49,""[0-9]*\.?[0-9]+$""))*100,""0.00"")"),"41.48 +/- 2.87")</f>
        <v>41.48 +/- 2.87</v>
      </c>
      <c r="K49" s="10" t="str">
        <f>IFERROR(__xludf.DUMMYFUNCTION("TEXT(VALUE(REGEXEXTRACT(C49,""^[+-]?[0-9]*\.?[0-9]+""))*100,""0.00"")&amp;"" +/- ""&amp;TEXT(VALUE(REGEXEXTRACT(C49,""[0-9]*\.?[0-9]+$""))*100,""0.00"")"),"47.51 +/- 2.87")</f>
        <v>47.51 +/- 2.87</v>
      </c>
      <c r="L49" s="9" t="str">
        <f>IFERROR(__xludf.DUMMYFUNCTION("TEXT(VALUE(REGEXEXTRACT(D49,""^[+-]?[0-9]*\.?[0-9]+""))*100,""0.00"")&amp;"" +/- ""&amp;TEXT(VALUE(REGEXEXTRACT(D49,""[0-9]*\.?[0-9]+$""))*100,""0.00"")"),"3.38 +/- 7.68")</f>
        <v>3.38 +/- 7.68</v>
      </c>
      <c r="M49" s="9" t="str">
        <f>IFERROR(__xludf.DUMMYFUNCTION("TEXT(VALUE(REGEXEXTRACT(E49,""^[+-]?[0-9]*\.?[0-9]+""))*100,""0.00"")&amp;"" +/- ""&amp;TEXT(VALUE(REGEXEXTRACT(E49,""[0-9]*\.?[0-9]+$""))*100,""0.00"")"),"43.03 +/- 3.25")</f>
        <v>43.03 +/- 3.25</v>
      </c>
      <c r="N49" s="9" t="str">
        <f>IFERROR(__xludf.DUMMYFUNCTION("TEXT(VALUE(REGEXEXTRACT(F49,""^[+-]?[0-9]*\.?[0-9]+""))*100,""0.00"")&amp;"" +/- ""&amp;TEXT(VALUE(REGEXEXTRACT(F49,""[0-9]*\.?[0-9]+$""))*100,""0.00"")"),"42.79 +/- 4.06")</f>
        <v>42.79 +/- 4.06</v>
      </c>
      <c r="O49" s="9" t="str">
        <f>IFERROR(__xludf.DUMMYFUNCTION("TEXT(VALUE(REGEXEXTRACT(G49,""^[+-]?[0-9]*\.?[0-9]+""))*100,""0.00"")&amp;"" +/- ""&amp;TEXT(VALUE(REGEXEXTRACT(G49,""[0-9]*\.?[0-9]+$""))*100,""0.00"")"),"41.86 +/- 3.02")</f>
        <v>41.86 +/- 3.02</v>
      </c>
      <c r="P49" s="9" t="str">
        <f>IFERROR(__xludf.DUMMYFUNCTION("TEXT(VALUE(REGEXEXTRACT(H49,""^[+-]?[0-9]*\.?[0-9]+""))*100,""0.00"")&amp;"" +/- ""&amp;TEXT(VALUE(REGEXEXTRACT(H49,""[0-9]*\.?[0-9]+$""))*100,""0.00"")"),"39.50 +/- 2.79")</f>
        <v>39.50 +/- 2.79</v>
      </c>
    </row>
    <row r="50">
      <c r="A50" s="6" t="s">
        <v>907</v>
      </c>
      <c r="B50" s="16" t="s">
        <v>908</v>
      </c>
      <c r="C50" s="16" t="s">
        <v>909</v>
      </c>
      <c r="D50" s="16" t="s">
        <v>910</v>
      </c>
      <c r="E50" s="16" t="s">
        <v>911</v>
      </c>
      <c r="F50" s="16" t="s">
        <v>912</v>
      </c>
      <c r="G50" s="16" t="s">
        <v>913</v>
      </c>
      <c r="H50" s="16" t="s">
        <v>914</v>
      </c>
      <c r="I50" s="8" t="str">
        <f t="shared" si="3"/>
        <v>AR5→AR6</v>
      </c>
      <c r="J50" s="9" t="str">
        <f>IFERROR(__xludf.DUMMYFUNCTION("TEXT(VALUE(REGEXEXTRACT(B50,""^[+-]?[0-9]*\.?[0-9]+""))*100,""0.00"")&amp;"" +/- ""&amp;TEXT(VALUE(REGEXEXTRACT(B50,""[0-9]*\.?[0-9]+$""))*100,""0.00"")"),"19.70 +/- 6.33")</f>
        <v>19.70 +/- 6.33</v>
      </c>
      <c r="K50" s="10" t="str">
        <f>IFERROR(__xludf.DUMMYFUNCTION("TEXT(VALUE(REGEXEXTRACT(C50,""^[+-]?[0-9]*\.?[0-9]+""))*100,""0.00"")&amp;"" +/- ""&amp;TEXT(VALUE(REGEXEXTRACT(C50,""[0-9]*\.?[0-9]+$""))*100,""0.00"")"),"27.93 +/- 1.48")</f>
        <v>27.93 +/- 1.48</v>
      </c>
      <c r="L50" s="9" t="str">
        <f>IFERROR(__xludf.DUMMYFUNCTION("TEXT(VALUE(REGEXEXTRACT(D50,""^[+-]?[0-9]*\.?[0-9]+""))*100,""0.00"")&amp;"" +/- ""&amp;TEXT(VALUE(REGEXEXTRACT(D50,""[0-9]*\.?[0-9]+$""))*100,""0.00"")"),"-0.28 +/- 1.06")</f>
        <v>-0.28 +/- 1.06</v>
      </c>
      <c r="M50" s="9" t="str">
        <f>IFERROR(__xludf.DUMMYFUNCTION("TEXT(VALUE(REGEXEXTRACT(E50,""^[+-]?[0-9]*\.?[0-9]+""))*100,""0.00"")&amp;"" +/- ""&amp;TEXT(VALUE(REGEXEXTRACT(E50,""[0-9]*\.?[0-9]+$""))*100,""0.00"")"),"14.32 +/- 4.37")</f>
        <v>14.32 +/- 4.37</v>
      </c>
      <c r="N50" s="9" t="str">
        <f>IFERROR(__xludf.DUMMYFUNCTION("TEXT(VALUE(REGEXEXTRACT(F50,""^[+-]?[0-9]*\.?[0-9]+""))*100,""0.00"")&amp;"" +/- ""&amp;TEXT(VALUE(REGEXEXTRACT(F50,""[0-9]*\.?[0-9]+$""))*100,""0.00"")"),"13.05 +/- 3.82")</f>
        <v>13.05 +/- 3.82</v>
      </c>
      <c r="O50" s="9" t="str">
        <f>IFERROR(__xludf.DUMMYFUNCTION("TEXT(VALUE(REGEXEXTRACT(G50,""^[+-]?[0-9]*\.?[0-9]+""))*100,""0.00"")&amp;"" +/- ""&amp;TEXT(VALUE(REGEXEXTRACT(G50,""[0-9]*\.?[0-9]+$""))*100,""0.00"")"),"17.26 +/- 5.55")</f>
        <v>17.26 +/- 5.55</v>
      </c>
      <c r="P50" s="9" t="str">
        <f>IFERROR(__xludf.DUMMYFUNCTION("TEXT(VALUE(REGEXEXTRACT(H50,""^[+-]?[0-9]*\.?[0-9]+""))*100,""0.00"")&amp;"" +/- ""&amp;TEXT(VALUE(REGEXEXTRACT(H50,""[0-9]*\.?[0-9]+$""))*100,""0.00"")"),"16.10 +/- 5.34")</f>
        <v>16.10 +/- 5.34</v>
      </c>
    </row>
    <row r="51">
      <c r="A51" s="6" t="s">
        <v>922</v>
      </c>
      <c r="B51" s="16" t="s">
        <v>923</v>
      </c>
      <c r="C51" s="16" t="s">
        <v>924</v>
      </c>
      <c r="D51" s="16" t="s">
        <v>925</v>
      </c>
      <c r="E51" s="16" t="s">
        <v>926</v>
      </c>
      <c r="F51" s="16" t="s">
        <v>927</v>
      </c>
      <c r="G51" s="16" t="s">
        <v>928</v>
      </c>
      <c r="H51" s="16" t="s">
        <v>929</v>
      </c>
      <c r="I51" s="8" t="str">
        <f t="shared" si="3"/>
        <v>AR6→AR1</v>
      </c>
      <c r="J51" s="9" t="str">
        <f>IFERROR(__xludf.DUMMYFUNCTION("TEXT(VALUE(REGEXEXTRACT(B51,""^[+-]?[0-9]*\.?[0-9]+""))*100,""0.00"")&amp;"" +/- ""&amp;TEXT(VALUE(REGEXEXTRACT(B51,""[0-9]*\.?[0-9]+$""))*100,""0.00"")"),"18.52 +/- 6.31")</f>
        <v>18.52 +/- 6.31</v>
      </c>
      <c r="K51" s="9" t="str">
        <f>IFERROR(__xludf.DUMMYFUNCTION("TEXT(VALUE(REGEXEXTRACT(C51,""^[+-]?[0-9]*\.?[0-9]+""))*100,""0.00"")&amp;"" +/- ""&amp;TEXT(VALUE(REGEXEXTRACT(C51,""[0-9]*\.?[0-9]+$""))*100,""0.00"")"),"14.31 +/- 8.77")</f>
        <v>14.31 +/- 8.77</v>
      </c>
      <c r="L51" s="9" t="str">
        <f>IFERROR(__xludf.DUMMYFUNCTION("TEXT(VALUE(REGEXEXTRACT(D51,""^[+-]?[0-9]*\.?[0-9]+""))*100,""0.00"")&amp;"" +/- ""&amp;TEXT(VALUE(REGEXEXTRACT(D51,""[0-9]*\.?[0-9]+$""))*100,""0.00"")"),"-0.30 +/- 0.92")</f>
        <v>-0.30 +/- 0.92</v>
      </c>
      <c r="M51" s="9" t="str">
        <f>IFERROR(__xludf.DUMMYFUNCTION("TEXT(VALUE(REGEXEXTRACT(E51,""^[+-]?[0-9]*\.?[0-9]+""))*100,""0.00"")&amp;"" +/- ""&amp;TEXT(VALUE(REGEXEXTRACT(E51,""[0-9]*\.?[0-9]+$""))*100,""0.00"")"),"18.52 +/- 5.64")</f>
        <v>18.52 +/- 5.64</v>
      </c>
      <c r="N51" s="9" t="str">
        <f>IFERROR(__xludf.DUMMYFUNCTION("TEXT(VALUE(REGEXEXTRACT(F51,""^[+-]?[0-9]*\.?[0-9]+""))*100,""0.00"")&amp;"" +/- ""&amp;TEXT(VALUE(REGEXEXTRACT(F51,""[0-9]*\.?[0-9]+$""))*100,""0.00"")"),"12.45 +/- 7.04")</f>
        <v>12.45 +/- 7.04</v>
      </c>
      <c r="O51" s="9" t="str">
        <f>IFERROR(__xludf.DUMMYFUNCTION("TEXT(VALUE(REGEXEXTRACT(G51,""^[+-]?[0-9]*\.?[0-9]+""))*100,""0.00"")&amp;"" +/- ""&amp;TEXT(VALUE(REGEXEXTRACT(G51,""[0-9]*\.?[0-9]+$""))*100,""0.00"")"),"15.36 +/- 6.16")</f>
        <v>15.36 +/- 6.16</v>
      </c>
      <c r="P51" s="10" t="str">
        <f>IFERROR(__xludf.DUMMYFUNCTION("TEXT(VALUE(REGEXEXTRACT(H51,""^[+-]?[0-9]*\.?[0-9]+""))*100,""0.00"")&amp;"" +/- ""&amp;TEXT(VALUE(REGEXEXTRACT(H51,""[0-9]*\.?[0-9]+$""))*100,""0.00"")"),"19.22 +/- 6.59")</f>
        <v>19.22 +/- 6.59</v>
      </c>
    </row>
    <row r="52">
      <c r="A52" s="6" t="s">
        <v>944</v>
      </c>
      <c r="B52" s="16" t="s">
        <v>945</v>
      </c>
      <c r="C52" s="16" t="s">
        <v>946</v>
      </c>
      <c r="D52" s="16" t="s">
        <v>947</v>
      </c>
      <c r="E52" s="16" t="s">
        <v>948</v>
      </c>
      <c r="F52" s="16" t="s">
        <v>949</v>
      </c>
      <c r="G52" s="16" t="s">
        <v>950</v>
      </c>
      <c r="H52" s="16" t="s">
        <v>951</v>
      </c>
      <c r="I52" s="8" t="str">
        <f t="shared" si="3"/>
        <v>AR6→AR3</v>
      </c>
      <c r="J52" s="9" t="str">
        <f>IFERROR(__xludf.DUMMYFUNCTION("TEXT(VALUE(REGEXEXTRACT(B52,""^[+-]?[0-9]*\.?[0-9]+""))*100,""0.00"")&amp;"" +/- ""&amp;TEXT(VALUE(REGEXEXTRACT(B52,""[0-9]*\.?[0-9]+$""))*100,""0.00"")"),"28.16 +/- 4.26")</f>
        <v>28.16 +/- 4.26</v>
      </c>
      <c r="K52" s="10" t="str">
        <f>IFERROR(__xludf.DUMMYFUNCTION("TEXT(VALUE(REGEXEXTRACT(C52,""^[+-]?[0-9]*\.?[0-9]+""))*100,""0.00"")&amp;"" +/- ""&amp;TEXT(VALUE(REGEXEXTRACT(C52,""[0-9]*\.?[0-9]+$""))*100,""0.00"")"),"45.06 +/- 10.91")</f>
        <v>45.06 +/- 10.91</v>
      </c>
      <c r="L52" s="9" t="str">
        <f>IFERROR(__xludf.DUMMYFUNCTION("TEXT(VALUE(REGEXEXTRACT(D52,""^[+-]?[0-9]*\.?[0-9]+""))*100,""0.00"")&amp;"" +/- ""&amp;TEXT(VALUE(REGEXEXTRACT(D52,""[0-9]*\.?[0-9]+$""))*100,""0.00"")"),"2.16 +/- 11.79")</f>
        <v>2.16 +/- 11.79</v>
      </c>
      <c r="M52" s="9" t="str">
        <f>IFERROR(__xludf.DUMMYFUNCTION("TEXT(VALUE(REGEXEXTRACT(E52,""^[+-]?[0-9]*\.?[0-9]+""))*100,""0.00"")&amp;"" +/- ""&amp;TEXT(VALUE(REGEXEXTRACT(E52,""[0-9]*\.?[0-9]+$""))*100,""0.00"")"),"29.20 +/- 7.51")</f>
        <v>29.20 +/- 7.51</v>
      </c>
      <c r="N52" s="9" t="str">
        <f>IFERROR(__xludf.DUMMYFUNCTION("TEXT(VALUE(REGEXEXTRACT(F52,""^[+-]?[0-9]*\.?[0-9]+""))*100,""0.00"")&amp;"" +/- ""&amp;TEXT(VALUE(REGEXEXTRACT(F52,""[0-9]*\.?[0-9]+$""))*100,""0.00"")"),"21.77 +/- 4.82")</f>
        <v>21.77 +/- 4.82</v>
      </c>
      <c r="O52" s="9" t="str">
        <f>IFERROR(__xludf.DUMMYFUNCTION("TEXT(VALUE(REGEXEXTRACT(G52,""^[+-]?[0-9]*\.?[0-9]+""))*100,""0.00"")&amp;"" +/- ""&amp;TEXT(VALUE(REGEXEXTRACT(G52,""[0-9]*\.?[0-9]+$""))*100,""0.00"")"),"23.39 +/- 5.09")</f>
        <v>23.39 +/- 5.09</v>
      </c>
      <c r="P52" s="9" t="str">
        <f>IFERROR(__xludf.DUMMYFUNCTION("TEXT(VALUE(REGEXEXTRACT(H52,""^[+-]?[0-9]*\.?[0-9]+""))*100,""0.00"")&amp;"" +/- ""&amp;TEXT(VALUE(REGEXEXTRACT(H52,""[0-9]*\.?[0-9]+$""))*100,""0.00"")"),"45.02 +/- 5.79")</f>
        <v>45.02 +/- 5.79</v>
      </c>
    </row>
    <row r="53">
      <c r="A53" s="6" t="s">
        <v>959</v>
      </c>
      <c r="B53" s="16" t="s">
        <v>960</v>
      </c>
      <c r="C53" s="16" t="s">
        <v>961</v>
      </c>
      <c r="D53" s="16" t="s">
        <v>962</v>
      </c>
      <c r="E53" s="16" t="s">
        <v>963</v>
      </c>
      <c r="F53" s="16" t="s">
        <v>964</v>
      </c>
      <c r="G53" s="16" t="s">
        <v>965</v>
      </c>
      <c r="H53" s="16" t="s">
        <v>966</v>
      </c>
      <c r="I53" s="8" t="str">
        <f t="shared" si="3"/>
        <v>AR6→AR4</v>
      </c>
      <c r="J53" s="9" t="str">
        <f>IFERROR(__xludf.DUMMYFUNCTION("TEXT(VALUE(REGEXEXTRACT(B53,""^[+-]?[0-9]*\.?[0-9]+""))*100,""0.00"")&amp;"" +/- ""&amp;TEXT(VALUE(REGEXEXTRACT(B53,""[0-9]*\.?[0-9]+$""))*100,""0.00"")"),"20.61 +/- 4.51")</f>
        <v>20.61 +/- 4.51</v>
      </c>
      <c r="K53" s="9" t="str">
        <f>IFERROR(__xludf.DUMMYFUNCTION("TEXT(VALUE(REGEXEXTRACT(C53,""^[+-]?[0-9]*\.?[0-9]+""))*100,""0.00"")&amp;"" +/- ""&amp;TEXT(VALUE(REGEXEXTRACT(C53,""[0-9]*\.?[0-9]+$""))*100,""0.00"")"),"1.41 +/- 5.65")</f>
        <v>1.41 +/- 5.65</v>
      </c>
      <c r="L53" s="9" t="str">
        <f>IFERROR(__xludf.DUMMYFUNCTION("TEXT(VALUE(REGEXEXTRACT(D53,""^[+-]?[0-9]*\.?[0-9]+""))*100,""0.00"")&amp;"" +/- ""&amp;TEXT(VALUE(REGEXEXTRACT(D53,""[0-9]*\.?[0-9]+$""))*100,""0.00"")"),"15.99 +/- 10.22")</f>
        <v>15.99 +/- 10.22</v>
      </c>
      <c r="M53" s="9" t="str">
        <f>IFERROR(__xludf.DUMMYFUNCTION("TEXT(VALUE(REGEXEXTRACT(E53,""^[+-]?[0-9]*\.?[0-9]+""))*100,""0.00"")&amp;"" +/- ""&amp;TEXT(VALUE(REGEXEXTRACT(E53,""[0-9]*\.?[0-9]+$""))*100,""0.00"")"),"16.44 +/- 5.71")</f>
        <v>16.44 +/- 5.71</v>
      </c>
      <c r="N53" s="9" t="str">
        <f>IFERROR(__xludf.DUMMYFUNCTION("TEXT(VALUE(REGEXEXTRACT(F53,""^[+-]?[0-9]*\.?[0-9]+""))*100,""0.00"")&amp;"" +/- ""&amp;TEXT(VALUE(REGEXEXTRACT(F53,""[0-9]*\.?[0-9]+$""))*100,""0.00"")"),"20.16 +/- 5.78")</f>
        <v>20.16 +/- 5.78</v>
      </c>
      <c r="O53" s="9" t="str">
        <f>IFERROR(__xludf.DUMMYFUNCTION("TEXT(VALUE(REGEXEXTRACT(G53,""^[+-]?[0-9]*\.?[0-9]+""))*100,""0.00"")&amp;"" +/- ""&amp;TEXT(VALUE(REGEXEXTRACT(G53,""[0-9]*\.?[0-9]+$""))*100,""0.00"")"),"18.73 +/- 5.40")</f>
        <v>18.73 +/- 5.40</v>
      </c>
      <c r="P53" s="10" t="str">
        <f>IFERROR(__xludf.DUMMYFUNCTION("TEXT(VALUE(REGEXEXTRACT(H53,""^[+-]?[0-9]*\.?[0-9]+""))*100,""0.00"")&amp;"" +/- ""&amp;TEXT(VALUE(REGEXEXTRACT(H53,""[0-9]*\.?[0-9]+$""))*100,""0.00"")"),"21.80 +/- 4.63")</f>
        <v>21.80 +/- 4.63</v>
      </c>
    </row>
    <row r="54">
      <c r="A54" s="6" t="s">
        <v>974</v>
      </c>
      <c r="B54" s="16" t="s">
        <v>975</v>
      </c>
      <c r="C54" s="16" t="s">
        <v>976</v>
      </c>
      <c r="D54" s="16" t="s">
        <v>977</v>
      </c>
      <c r="E54" s="16" t="s">
        <v>978</v>
      </c>
      <c r="F54" s="16" t="s">
        <v>979</v>
      </c>
      <c r="G54" s="16" t="s">
        <v>980</v>
      </c>
      <c r="H54" s="16" t="s">
        <v>981</v>
      </c>
      <c r="I54" s="8" t="str">
        <f t="shared" si="3"/>
        <v>AR6→AR5</v>
      </c>
      <c r="J54" s="9" t="str">
        <f>IFERROR(__xludf.DUMMYFUNCTION("TEXT(VALUE(REGEXEXTRACT(B54,""^[+-]?[0-9]*\.?[0-9]+""))*100,""0.00"")&amp;"" +/- ""&amp;TEXT(VALUE(REGEXEXTRACT(B54,""[0-9]*\.?[0-9]+$""))*100,""0.00"")"),"47.52 +/- 10.01")</f>
        <v>47.52 +/- 10.01</v>
      </c>
      <c r="K54" s="9" t="str">
        <f>IFERROR(__xludf.DUMMYFUNCTION("TEXT(VALUE(REGEXEXTRACT(C54,""^[+-]?[0-9]*\.?[0-9]+""))*100,""0.00"")&amp;"" +/- ""&amp;TEXT(VALUE(REGEXEXTRACT(C54,""[0-9]*\.?[0-9]+$""))*100,""0.00"")"),"49.88 +/- 7.50")</f>
        <v>49.88 +/- 7.50</v>
      </c>
      <c r="L54" s="9" t="str">
        <f>IFERROR(__xludf.DUMMYFUNCTION("TEXT(VALUE(REGEXEXTRACT(D54,""^[+-]?[0-9]*\.?[0-9]+""))*100,""0.00"")&amp;"" +/- ""&amp;TEXT(VALUE(REGEXEXTRACT(D54,""[0-9]*\.?[0-9]+$""))*100,""0.00"")"),"1.58 +/- 13.34")</f>
        <v>1.58 +/- 13.34</v>
      </c>
      <c r="M54" s="9" t="str">
        <f>IFERROR(__xludf.DUMMYFUNCTION("TEXT(VALUE(REGEXEXTRACT(E54,""^[+-]?[0-9]*\.?[0-9]+""))*100,""0.00"")&amp;"" +/- ""&amp;TEXT(VALUE(REGEXEXTRACT(E54,""[0-9]*\.?[0-9]+$""))*100,""0.00"")"),"49.61 +/- 6.48")</f>
        <v>49.61 +/- 6.48</v>
      </c>
      <c r="N54" s="10" t="str">
        <f>IFERROR(__xludf.DUMMYFUNCTION("TEXT(VALUE(REGEXEXTRACT(F54,""^[+-]?[0-9]*\.?[0-9]+""))*100,""0.00"")&amp;"" +/- ""&amp;TEXT(VALUE(REGEXEXTRACT(F54,""[0-9]*\.?[0-9]+$""))*100,""0.00"")"),"52.07 +/- 7.41")</f>
        <v>52.07 +/- 7.41</v>
      </c>
      <c r="O54" s="9" t="str">
        <f>IFERROR(__xludf.DUMMYFUNCTION("TEXT(VALUE(REGEXEXTRACT(G54,""^[+-]?[0-9]*\.?[0-9]+""))*100,""0.00"")&amp;"" +/- ""&amp;TEXT(VALUE(REGEXEXTRACT(G54,""[0-9]*\.?[0-9]+$""))*100,""0.00"")"),"49.10 +/- 8.82")</f>
        <v>49.10 +/- 8.82</v>
      </c>
      <c r="P54" s="9" t="str">
        <f>IFERROR(__xludf.DUMMYFUNCTION("TEXT(VALUE(REGEXEXTRACT(H54,""^[+-]?[0-9]*\.?[0-9]+""))*100,""0.00"")&amp;"" +/- ""&amp;TEXT(VALUE(REGEXEXTRACT(H54,""[0-9]*\.?[0-9]+$""))*100,""0.00"")"),"45.76 +/- 8.78")</f>
        <v>45.76 +/- 8.78</v>
      </c>
    </row>
    <row r="55">
      <c r="A55" s="6" t="s">
        <v>371</v>
      </c>
      <c r="B55" s="14"/>
      <c r="C55" s="21" t="s">
        <v>989</v>
      </c>
      <c r="D55" s="21" t="s">
        <v>990</v>
      </c>
      <c r="E55" s="21" t="s">
        <v>991</v>
      </c>
      <c r="F55" s="21" t="s">
        <v>474</v>
      </c>
      <c r="G55" s="21" t="s">
        <v>992</v>
      </c>
      <c r="H55" s="21" t="s">
        <v>474</v>
      </c>
      <c r="I55" s="8" t="str">
        <f t="shared" si="3"/>
        <v>W/T/L</v>
      </c>
      <c r="K55" s="20" t="str">
        <f>IFERROR(__xludf.DUMMYFUNCTION("SUM(ARRAYFORMULA(IFERROR(
  (VALUE(REGEXEXTRACT($J$35:$J$54,""^[+-]?[0-9]*\.?[0-9]+""))&gt;
   VALUE(REGEXEXTRACT(K$35:K$54,""^[+-]?[0-9]*\.?[0-9]+"")))*1,0)))
&amp;""/""&amp;
SUM(ARRAYFORMULA(IFERROR(
  (VALUE(REGEXEXTRACT($J$35:$J$54,""^[+-]?[0-9]*\.?[0-9]+""))=
 "&amp;"  VALUE(REGEXEXTRACT(K$35:K$54,""^[+-]?[0-9]*\.?[0-9]+"")))*1,0)))
&amp;""/""&amp;
SUM(ARRAYFORMULA(IFERROR(
  (VALUE(REGEXEXTRACT($J$35:$J$54,""^[+-]?[0-9]*\.?[0-9]+""))&lt;
   VALUE(REGEXEXTRACT(K$35:K$54,""^[+-]?[0-9]*\.?[0-9]+"")))*1,0)))"),"6/0/14")</f>
        <v>6/0/14</v>
      </c>
      <c r="L55" s="20" t="str">
        <f>IFERROR(__xludf.DUMMYFUNCTION("SUM(ARRAYFORMULA(IFERROR(
  (VALUE(REGEXEXTRACT($J$35:$J$54,""^[+-]?[0-9]*\.?[0-9]+""))&gt;
   VALUE(REGEXEXTRACT(L$35:L$54,""^[+-]?[0-9]*\.?[0-9]+"")))*1,0)))
&amp;""/""&amp;
SUM(ARRAYFORMULA(IFERROR(
  (VALUE(REGEXEXTRACT($J$35:$J$54,""^[+-]?[0-9]*\.?[0-9]+""))=
 "&amp;"  VALUE(REGEXEXTRACT(L$35:L$54,""^[+-]?[0-9]*\.?[0-9]+"")))*1,0)))
&amp;""/""&amp;
SUM(ARRAYFORMULA(IFERROR(
  (VALUE(REGEXEXTRACT($J$35:$J$54,""^[+-]?[0-9]*\.?[0-9]+""))&lt;
   VALUE(REGEXEXTRACT(L$35:L$54,""^[+-]?[0-9]*\.?[0-9]+"")))*1,0)))"),"17/0/3")</f>
        <v>17/0/3</v>
      </c>
      <c r="M55" s="20" t="str">
        <f>IFERROR(__xludf.DUMMYFUNCTION("SUM(ARRAYFORMULA(IFERROR(
  (VALUE(REGEXEXTRACT($J$35:$J$54,""^[+-]?[0-9]*\.?[0-9]+""))&gt;
   VALUE(REGEXEXTRACT(M$35:M$54,""^[+-]?[0-9]*\.?[0-9]+"")))*1,0)))
&amp;""/""&amp;
SUM(ARRAYFORMULA(IFERROR(
  (VALUE(REGEXEXTRACT($J$35:$J$54,""^[+-]?[0-9]*\.?[0-9]+""))=
 "&amp;"  VALUE(REGEXEXTRACT(M$35:M$54,""^[+-]?[0-9]*\.?[0-9]+"")))*1,0)))
&amp;""/""&amp;
SUM(ARRAYFORMULA(IFERROR(
  (VALUE(REGEXEXTRACT($J$35:$J$54,""^[+-]?[0-9]*\.?[0-9]+""))&lt;
   VALUE(REGEXEXTRACT(M$35:M$54,""^[+-]?[0-9]*\.?[0-9]+"")))*1,0)))"),"7/1/12")</f>
        <v>7/1/12</v>
      </c>
      <c r="N55" s="20" t="str">
        <f>IFERROR(__xludf.DUMMYFUNCTION("SUM(ARRAYFORMULA(IFERROR(
  (VALUE(REGEXEXTRACT($J$35:$J$54,""^[+-]?[0-9]*\.?[0-9]+""))&gt;
   VALUE(REGEXEXTRACT(N$35:N$54,""^[+-]?[0-9]*\.?[0-9]+"")))*1,0)))
&amp;""/""&amp;
SUM(ARRAYFORMULA(IFERROR(
  (VALUE(REGEXEXTRACT($J$35:$J$54,""^[+-]?[0-9]*\.?[0-9]+""))=
 "&amp;"  VALUE(REGEXEXTRACT(N$35:N$54,""^[+-]?[0-9]*\.?[0-9]+"")))*1,0)))
&amp;""/""&amp;
SUM(ARRAYFORMULA(IFERROR(
  (VALUE(REGEXEXTRACT($J$35:$J$54,""^[+-]?[0-9]*\.?[0-9]+""))&lt;
   VALUE(REGEXEXTRACT(N$35:N$54,""^[+-]?[0-9]*\.?[0-9]+"")))*1,0)))"),"11/0/9")</f>
        <v>11/0/9</v>
      </c>
      <c r="O55" s="20" t="str">
        <f>IFERROR(__xludf.DUMMYFUNCTION("SUM(ARRAYFORMULA(IFERROR(
  (VALUE(REGEXEXTRACT($J$35:$J$54,""^[+-]?[0-9]*\.?[0-9]+""))&gt;
   VALUE(REGEXEXTRACT(O$35:O$54,""^[+-]?[0-9]*\.?[0-9]+"")))*1,0)))
&amp;""/""&amp;
SUM(ARRAYFORMULA(IFERROR(
  (VALUE(REGEXEXTRACT($J$35:$J$54,""^[+-]?[0-9]*\.?[0-9]+""))=
 "&amp;"  VALUE(REGEXEXTRACT(O$35:O$54,""^[+-]?[0-9]*\.?[0-9]+"")))*1,0)))
&amp;""/""&amp;
SUM(ARRAYFORMULA(IFERROR(
  (VALUE(REGEXEXTRACT($J$35:$J$54,""^[+-]?[0-9]*\.?[0-9]+""))&lt;
   VALUE(REGEXEXTRACT(O$35:O$54,""^[+-]?[0-9]*\.?[0-9]+"")))*1,0)))"),"12/0/8")</f>
        <v>12/0/8</v>
      </c>
      <c r="P55" s="20" t="str">
        <f>IFERROR(__xludf.DUMMYFUNCTION("SUM(ARRAYFORMULA(IFERROR(
  (VALUE(REGEXEXTRACT($J$35:$J$54,""^[+-]?[0-9]*\.?[0-9]+""))&gt;
   VALUE(REGEXEXTRACT(P$35:P$54,""^[+-]?[0-9]*\.?[0-9]+"")))*1,0)))
&amp;""/""&amp;
SUM(ARRAYFORMULA(IFERROR(
  (VALUE(REGEXEXTRACT($J$35:$J$54,""^[+-]?[0-9]*\.?[0-9]+""))=
 "&amp;"  VALUE(REGEXEXTRACT(P$35:P$54,""^[+-]?[0-9]*\.?[0-9]+"")))*1,0)))
&amp;""/""&amp;
SUM(ARRAYFORMULA(IFERROR(
  (VALUE(REGEXEXTRACT($J$35:$J$54,""^[+-]?[0-9]*\.?[0-9]+""))&lt;
   VALUE(REGEXEXTRACT(P$35:P$54,""^[+-]?[0-9]*\.?[0-9]+"")))*1,0)))"),"11/0/9")</f>
        <v>11/0/9</v>
      </c>
    </row>
    <row r="56">
      <c r="A56" s="6" t="s">
        <v>489</v>
      </c>
      <c r="B56" s="14" t="s">
        <v>1000</v>
      </c>
      <c r="C56" s="14" t="s">
        <v>1001</v>
      </c>
      <c r="D56" s="14" t="s">
        <v>1002</v>
      </c>
      <c r="E56" s="14" t="s">
        <v>1003</v>
      </c>
      <c r="F56" s="14" t="s">
        <v>1004</v>
      </c>
      <c r="G56" s="14" t="s">
        <v>1005</v>
      </c>
      <c r="H56" s="14" t="s">
        <v>1006</v>
      </c>
      <c r="I56" s="8" t="str">
        <f t="shared" si="3"/>
        <v>Average (%)</v>
      </c>
      <c r="J56" s="9">
        <f>IFERROR(__xludf.DUMMYFUNCTION("ROUND(AVERAGE(ARRAYFORMULA(IFERROR(VALUE(REGEXEXTRACT(J$35:J$54,""^[+-]?[0-9]*\.?[0-9]+"")),""""))),2)"),29.72)</f>
        <v>29.72</v>
      </c>
      <c r="K56" s="9">
        <f>IFERROR(__xludf.DUMMYFUNCTION("ROUND(AVERAGE(ARRAYFORMULA(IFERROR(VALUE(REGEXEXTRACT(K$35:K$54,""^[+-]?[0-9]*\.?[0-9]+"")),""""))),2)"),30.6)</f>
        <v>30.6</v>
      </c>
      <c r="L56" s="9">
        <f>IFERROR(__xludf.DUMMYFUNCTION("ROUND(AVERAGE(ARRAYFORMULA(IFERROR(VALUE(REGEXEXTRACT(L$35:L$54,""^[+-]?[0-9]*\.?[0-9]+"")),""""))),2)"),9.85)</f>
        <v>9.85</v>
      </c>
      <c r="M56" s="9">
        <f>IFERROR(__xludf.DUMMYFUNCTION("ROUND(AVERAGE(ARRAYFORMULA(IFERROR(VALUE(REGEXEXTRACT(M$35:M$54,""^[+-]?[0-9]*\.?[0-9]+"")),""""))),2)"),29.89)</f>
        <v>29.89</v>
      </c>
      <c r="N56" s="9">
        <f>IFERROR(__xludf.DUMMYFUNCTION("ROUND(AVERAGE(ARRAYFORMULA(IFERROR(VALUE(REGEXEXTRACT(N$35:N$54,""^[+-]?[0-9]*\.?[0-9]+"")),""""))),2)"),27.63)</f>
        <v>27.63</v>
      </c>
      <c r="O56" s="9">
        <f>IFERROR(__xludf.DUMMYFUNCTION("ROUND(AVERAGE(ARRAYFORMULA(IFERROR(VALUE(REGEXEXTRACT(O$35:O$54,""^[+-]?[0-9]*\.?[0-9]+"")),""""))),2)"),28.47)</f>
        <v>28.47</v>
      </c>
      <c r="P56" s="9">
        <f>IFERROR(__xludf.DUMMYFUNCTION("ROUND(AVERAGE(ARRAYFORMULA(IFERROR(VALUE(REGEXEXTRACT(P$35:P$54,""^[+-]?[0-9]*\.?[0-9]+"")),""""))),2)"),27.17)</f>
        <v>27.17</v>
      </c>
    </row>
    <row r="57">
      <c r="A57" s="4" t="s">
        <v>1013</v>
      </c>
      <c r="B57" s="2"/>
      <c r="C57" s="2"/>
      <c r="D57" s="2"/>
      <c r="E57" s="2"/>
      <c r="F57" s="2"/>
      <c r="G57" s="2"/>
      <c r="H57" s="2"/>
      <c r="I57" s="4" t="s">
        <v>1013</v>
      </c>
    </row>
    <row r="58">
      <c r="A58" s="6" t="s">
        <v>1014</v>
      </c>
      <c r="B58" s="16" t="s">
        <v>1015</v>
      </c>
      <c r="C58" s="16" t="s">
        <v>1016</v>
      </c>
      <c r="D58" s="16" t="s">
        <v>1017</v>
      </c>
      <c r="E58" s="16" t="s">
        <v>1018</v>
      </c>
      <c r="F58" s="16" t="s">
        <v>1019</v>
      </c>
      <c r="G58" s="16" t="s">
        <v>1020</v>
      </c>
      <c r="H58" s="16" t="s">
        <v>1021</v>
      </c>
      <c r="I58" s="8" t="str">
        <f t="shared" ref="I58:I81" si="4">A58</f>
        <v>EQ→JDT</v>
      </c>
      <c r="J58" s="10" t="str">
        <f>IFERROR(__xludf.DUMMYFUNCTION("TEXT(VALUE(REGEXEXTRACT(B58,""^[+-]?[0-9]*\.?[0-9]+""))*100,""0.00"")&amp;"" +/- ""&amp;TEXT(VALUE(REGEXEXTRACT(B58,""[0-9]*\.?[0-9]+$""))*100,""0.00"")"),"41.94 +/- 1.34")</f>
        <v>41.94 +/- 1.34</v>
      </c>
      <c r="K58" s="9" t="str">
        <f>IFERROR(__xludf.DUMMYFUNCTION("TEXT(VALUE(REGEXEXTRACT(C58,""^[+-]?[0-9]*\.?[0-9]+""))*100,""0.00"")&amp;"" +/- ""&amp;TEXT(VALUE(REGEXEXTRACT(C58,""[0-9]*\.?[0-9]+$""))*100,""0.00"")"),"41.18 +/- 1.71")</f>
        <v>41.18 +/- 1.71</v>
      </c>
      <c r="L58" s="9" t="str">
        <f>IFERROR(__xludf.DUMMYFUNCTION("TEXT(VALUE(REGEXEXTRACT(D58,""^[+-]?[0-9]*\.?[0-9]+""))*100,""0.00"")&amp;"" +/- ""&amp;TEXT(VALUE(REGEXEXTRACT(D58,""[0-9]*\.?[0-9]+$""))*100,""0.00"")"),"36.64 +/- 1.72")</f>
        <v>36.64 +/- 1.72</v>
      </c>
      <c r="M58" s="9" t="str">
        <f>IFERROR(__xludf.DUMMYFUNCTION("TEXT(VALUE(REGEXEXTRACT(E58,""^[+-]?[0-9]*\.?[0-9]+""))*100,""0.00"")&amp;"" +/- ""&amp;TEXT(VALUE(REGEXEXTRACT(E58,""[0-9]*\.?[0-9]+$""))*100,""0.00"")"),"36.41 +/- 2.76")</f>
        <v>36.41 +/- 2.76</v>
      </c>
      <c r="N58" s="9" t="str">
        <f>IFERROR(__xludf.DUMMYFUNCTION("TEXT(VALUE(REGEXEXTRACT(F58,""^[+-]?[0-9]*\.?[0-9]+""))*100,""0.00"")&amp;"" +/- ""&amp;TEXT(VALUE(REGEXEXTRACT(F58,""[0-9]*\.?[0-9]+$""))*100,""0.00"")"),"28.71 +/- 2.71")</f>
        <v>28.71 +/- 2.71</v>
      </c>
      <c r="O58" s="9" t="str">
        <f>IFERROR(__xludf.DUMMYFUNCTION("TEXT(VALUE(REGEXEXTRACT(G58,""^[+-]?[0-9]*\.?[0-9]+""))*100,""0.00"")&amp;"" +/- ""&amp;TEXT(VALUE(REGEXEXTRACT(G58,""[0-9]*\.?[0-9]+$""))*100,""0.00"")"),"34.01 +/- 2.02")</f>
        <v>34.01 +/- 2.02</v>
      </c>
      <c r="P58" s="9" t="str">
        <f>IFERROR(__xludf.DUMMYFUNCTION("TEXT(VALUE(REGEXEXTRACT(H58,""^[+-]?[0-9]*\.?[0-9]+""))*100,""0.00"")&amp;"" +/- ""&amp;TEXT(VALUE(REGEXEXTRACT(H58,""[0-9]*\.?[0-9]+$""))*100,""0.00"")"),"35.13 +/- 2.50")</f>
        <v>35.13 +/- 2.50</v>
      </c>
    </row>
    <row r="59">
      <c r="A59" s="6" t="s">
        <v>1026</v>
      </c>
      <c r="B59" s="16" t="s">
        <v>1027</v>
      </c>
      <c r="C59" s="16" t="s">
        <v>1028</v>
      </c>
      <c r="D59" s="16" t="s">
        <v>1029</v>
      </c>
      <c r="E59" s="16" t="s">
        <v>1030</v>
      </c>
      <c r="F59" s="16" t="s">
        <v>1031</v>
      </c>
      <c r="G59" s="16" t="s">
        <v>1032</v>
      </c>
      <c r="H59" s="16" t="s">
        <v>1033</v>
      </c>
      <c r="I59" s="8" t="str">
        <f t="shared" si="4"/>
        <v>EQ→LC</v>
      </c>
      <c r="J59" s="10" t="str">
        <f>IFERROR(__xludf.DUMMYFUNCTION("TEXT(VALUE(REGEXEXTRACT(B59,""^[+-]?[0-9]*\.?[0-9]+""))*100,""0.00"")&amp;"" +/- ""&amp;TEXT(VALUE(REGEXEXTRACT(B59,""[0-9]*\.?[0-9]+$""))*100,""0.00"")"),"29.25 +/- 1.81")</f>
        <v>29.25 +/- 1.81</v>
      </c>
      <c r="K59" s="9" t="str">
        <f>IFERROR(__xludf.DUMMYFUNCTION("TEXT(VALUE(REGEXEXTRACT(C59,""^[+-]?[0-9]*\.?[0-9]+""))*100,""0.00"")&amp;"" +/- ""&amp;TEXT(VALUE(REGEXEXTRACT(C59,""[0-9]*\.?[0-9]+$""))*100,""0.00"")"),"29.21 +/- 2.35")</f>
        <v>29.21 +/- 2.35</v>
      </c>
      <c r="L59" s="9" t="str">
        <f>IFERROR(__xludf.DUMMYFUNCTION("TEXT(VALUE(REGEXEXTRACT(D59,""^[+-]?[0-9]*\.?[0-9]+""))*100,""0.00"")&amp;"" +/- ""&amp;TEXT(VALUE(REGEXEXTRACT(D59,""[0-9]*\.?[0-9]+$""))*100,""0.00"")"),"19.48 +/- 1.46")</f>
        <v>19.48 +/- 1.46</v>
      </c>
      <c r="M59" s="9" t="str">
        <f>IFERROR(__xludf.DUMMYFUNCTION("TEXT(VALUE(REGEXEXTRACT(E59,""^[+-]?[0-9]*\.?[0-9]+""))*100,""0.00"")&amp;"" +/- ""&amp;TEXT(VALUE(REGEXEXTRACT(E59,""[0-9]*\.?[0-9]+$""))*100,""0.00"")"),"25.56 +/- 2.42")</f>
        <v>25.56 +/- 2.42</v>
      </c>
      <c r="N59" s="9" t="str">
        <f>IFERROR(__xludf.DUMMYFUNCTION("TEXT(VALUE(REGEXEXTRACT(F59,""^[+-]?[0-9]*\.?[0-9]+""))*100,""0.00"")&amp;"" +/- ""&amp;TEXT(VALUE(REGEXEXTRACT(F59,""[0-9]*\.?[0-9]+$""))*100,""0.00"")"),"16.88 +/- 2.96")</f>
        <v>16.88 +/- 2.96</v>
      </c>
      <c r="O59" s="9" t="str">
        <f>IFERROR(__xludf.DUMMYFUNCTION("TEXT(VALUE(REGEXEXTRACT(G59,""^[+-]?[0-9]*\.?[0-9]+""))*100,""0.00"")&amp;"" +/- ""&amp;TEXT(VALUE(REGEXEXTRACT(G59,""[0-9]*\.?[0-9]+$""))*100,""0.00"")"),"21.84 +/- 2.70")</f>
        <v>21.84 +/- 2.70</v>
      </c>
      <c r="P59" s="9" t="str">
        <f>IFERROR(__xludf.DUMMYFUNCTION("TEXT(VALUE(REGEXEXTRACT(H59,""^[+-]?[0-9]*\.?[0-9]+""))*100,""0.00"")&amp;"" +/- ""&amp;TEXT(VALUE(REGEXEXTRACT(H59,""[0-9]*\.?[0-9]+$""))*100,""0.00"")"),"28.71 +/- 1.74")</f>
        <v>28.71 +/- 1.74</v>
      </c>
    </row>
    <row r="60">
      <c r="A60" s="6" t="s">
        <v>1036</v>
      </c>
      <c r="B60" s="16" t="s">
        <v>1037</v>
      </c>
      <c r="C60" s="16" t="s">
        <v>1038</v>
      </c>
      <c r="D60" s="16" t="s">
        <v>1039</v>
      </c>
      <c r="E60" s="16" t="s">
        <v>1040</v>
      </c>
      <c r="F60" s="16" t="s">
        <v>1041</v>
      </c>
      <c r="G60" s="16" t="s">
        <v>1042</v>
      </c>
      <c r="H60" s="16" t="s">
        <v>1043</v>
      </c>
      <c r="I60" s="8" t="str">
        <f t="shared" si="4"/>
        <v>EQ→ML</v>
      </c>
      <c r="J60" s="9" t="str">
        <f>IFERROR(__xludf.DUMMYFUNCTION("TEXT(VALUE(REGEXEXTRACT(B60,""^[+-]?[0-9]*\.?[0-9]+""))*100,""0.00"")&amp;"" +/- ""&amp;TEXT(VALUE(REGEXEXTRACT(B60,""[0-9]*\.?[0-9]+$""))*100,""0.00"")"),"11.08 +/- 1.81")</f>
        <v>11.08 +/- 1.81</v>
      </c>
      <c r="K60" s="9" t="str">
        <f>IFERROR(__xludf.DUMMYFUNCTION("TEXT(VALUE(REGEXEXTRACT(C60,""^[+-]?[0-9]*\.?[0-9]+""))*100,""0.00"")&amp;"" +/- ""&amp;TEXT(VALUE(REGEXEXTRACT(C60,""[0-9]*\.?[0-9]+$""))*100,""0.00"")"),"13.94 +/- 1.79")</f>
        <v>13.94 +/- 1.79</v>
      </c>
      <c r="L60" s="9" t="str">
        <f>IFERROR(__xludf.DUMMYFUNCTION("TEXT(VALUE(REGEXEXTRACT(D60,""^[+-]?[0-9]*\.?[0-9]+""))*100,""0.00"")&amp;"" +/- ""&amp;TEXT(VALUE(REGEXEXTRACT(D60,""[0-9]*\.?[0-9]+$""))*100,""0.00"")"),"12.20 +/- 1.44")</f>
        <v>12.20 +/- 1.44</v>
      </c>
      <c r="M60" s="9" t="str">
        <f>IFERROR(__xludf.DUMMYFUNCTION("TEXT(VALUE(REGEXEXTRACT(E60,""^[+-]?[0-9]*\.?[0-9]+""))*100,""0.00"")&amp;"" +/- ""&amp;TEXT(VALUE(REGEXEXTRACT(E60,""[0-9]*\.?[0-9]+$""))*100,""0.00"")"),"8.04 +/- 2.47")</f>
        <v>8.04 +/- 2.47</v>
      </c>
      <c r="N60" s="9" t="str">
        <f>IFERROR(__xludf.DUMMYFUNCTION("TEXT(VALUE(REGEXEXTRACT(F60,""^[+-]?[0-9]*\.?[0-9]+""))*100,""0.00"")&amp;"" +/- ""&amp;TEXT(VALUE(REGEXEXTRACT(F60,""[0-9]*\.?[0-9]+$""))*100,""0.00"")"),"1.18 +/- 2.04")</f>
        <v>1.18 +/- 2.04</v>
      </c>
      <c r="O60" s="9" t="str">
        <f>IFERROR(__xludf.DUMMYFUNCTION("TEXT(VALUE(REGEXEXTRACT(G60,""^[+-]?[0-9]*\.?[0-9]+""))*100,""0.00"")&amp;"" +/- ""&amp;TEXT(VALUE(REGEXEXTRACT(G60,""[0-9]*\.?[0-9]+$""))*100,""0.00"")"),"4.31 +/- 2.17")</f>
        <v>4.31 +/- 2.17</v>
      </c>
      <c r="P60" s="10" t="str">
        <f>IFERROR(__xludf.DUMMYFUNCTION("TEXT(VALUE(REGEXEXTRACT(H60,""^[+-]?[0-9]*\.?[0-9]+""))*100,""0.00"")&amp;"" +/- ""&amp;TEXT(VALUE(REGEXEXTRACT(H60,""[0-9]*\.?[0-9]+$""))*100,""0.00"")"),"14.57 +/- 2.80")</f>
        <v>14.57 +/- 2.80</v>
      </c>
    </row>
    <row r="61">
      <c r="A61" s="6" t="s">
        <v>1044</v>
      </c>
      <c r="B61" s="16" t="s">
        <v>1045</v>
      </c>
      <c r="C61" s="16" t="s">
        <v>1046</v>
      </c>
      <c r="D61" s="16" t="s">
        <v>1047</v>
      </c>
      <c r="E61" s="16" t="s">
        <v>637</v>
      </c>
      <c r="F61" s="16" t="s">
        <v>1048</v>
      </c>
      <c r="G61" s="16" t="s">
        <v>1049</v>
      </c>
      <c r="H61" s="16" t="s">
        <v>1050</v>
      </c>
      <c r="I61" s="8" t="str">
        <f t="shared" si="4"/>
        <v>EQ→PDE</v>
      </c>
      <c r="J61" s="9" t="str">
        <f>IFERROR(__xludf.DUMMYFUNCTION("TEXT(VALUE(REGEXEXTRACT(B61,""^[+-]?[0-9]*\.?[0-9]+""))*100,""0.00"")&amp;"" +/- ""&amp;TEXT(VALUE(REGEXEXTRACT(B61,""[0-9]*\.?[0-9]+$""))*100,""0.00"")"),"21.58 +/- 1.28")</f>
        <v>21.58 +/- 1.28</v>
      </c>
      <c r="K61" s="10" t="str">
        <f>IFERROR(__xludf.DUMMYFUNCTION("TEXT(VALUE(REGEXEXTRACT(C61,""^[+-]?[0-9]*\.?[0-9]+""))*100,""0.00"")&amp;"" +/- ""&amp;TEXT(VALUE(REGEXEXTRACT(C61,""[0-9]*\.?[0-9]+$""))*100,""0.00"")"),"23.36 +/- 1.66")</f>
        <v>23.36 +/- 1.66</v>
      </c>
      <c r="L61" s="9" t="str">
        <f>IFERROR(__xludf.DUMMYFUNCTION("TEXT(VALUE(REGEXEXTRACT(D61,""^[+-]?[0-9]*\.?[0-9]+""))*100,""0.00"")&amp;"" +/- ""&amp;TEXT(VALUE(REGEXEXTRACT(D61,""[0-9]*\.?[0-9]+$""))*100,""0.00"")"),"22.02 +/- 0.85")</f>
        <v>22.02 +/- 0.85</v>
      </c>
      <c r="M61" s="9" t="str">
        <f>IFERROR(__xludf.DUMMYFUNCTION("TEXT(VALUE(REGEXEXTRACT(E61,""^[+-]?[0-9]*\.?[0-9]+""))*100,""0.00"")&amp;"" +/- ""&amp;TEXT(VALUE(REGEXEXTRACT(E61,""[0-9]*\.?[0-9]+$""))*100,""0.00"")"),"21.52 +/- 1.34")</f>
        <v>21.52 +/- 1.34</v>
      </c>
      <c r="N61" s="9" t="str">
        <f>IFERROR(__xludf.DUMMYFUNCTION("TEXT(VALUE(REGEXEXTRACT(F61,""^[+-]?[0-9]*\.?[0-9]+""))*100,""0.00"")&amp;"" +/- ""&amp;TEXT(VALUE(REGEXEXTRACT(F61,""[0-9]*\.?[0-9]+$""))*100,""0.00"")"),"18.41 +/- 1.23")</f>
        <v>18.41 +/- 1.23</v>
      </c>
      <c r="O61" s="9" t="str">
        <f>IFERROR(__xludf.DUMMYFUNCTION("TEXT(VALUE(REGEXEXTRACT(G61,""^[+-]?[0-9]*\.?[0-9]+""))*100,""0.00"")&amp;"" +/- ""&amp;TEXT(VALUE(REGEXEXTRACT(G61,""[0-9]*\.?[0-9]+$""))*100,""0.00"")"),"20.09 +/- 1.35")</f>
        <v>20.09 +/- 1.35</v>
      </c>
      <c r="P61" s="9" t="str">
        <f>IFERROR(__xludf.DUMMYFUNCTION("TEXT(VALUE(REGEXEXTRACT(H61,""^[+-]?[0-9]*\.?[0-9]+""))*100,""0.00"")&amp;"" +/- ""&amp;TEXT(VALUE(REGEXEXTRACT(H61,""[0-9]*\.?[0-9]+$""))*100,""0.00"")"),"17.87 +/- 2.90")</f>
        <v>17.87 +/- 2.90</v>
      </c>
    </row>
    <row r="62">
      <c r="A62" s="6" t="s">
        <v>1051</v>
      </c>
      <c r="B62" s="16" t="s">
        <v>1052</v>
      </c>
      <c r="C62" s="16" t="s">
        <v>1053</v>
      </c>
      <c r="D62" s="16" t="s">
        <v>1054</v>
      </c>
      <c r="E62" s="16" t="s">
        <v>1055</v>
      </c>
      <c r="F62" s="16" t="s">
        <v>1056</v>
      </c>
      <c r="G62" s="16" t="s">
        <v>1057</v>
      </c>
      <c r="H62" s="16" t="s">
        <v>1058</v>
      </c>
      <c r="I62" s="8" t="str">
        <f t="shared" si="4"/>
        <v>JDT→EQ</v>
      </c>
      <c r="J62" s="9" t="str">
        <f>IFERROR(__xludf.DUMMYFUNCTION("TEXT(VALUE(REGEXEXTRACT(B62,""^[+-]?[0-9]*\.?[0-9]+""))*100,""0.00"")&amp;"" +/- ""&amp;TEXT(VALUE(REGEXEXTRACT(B62,""[0-9]*\.?[0-9]+$""))*100,""0.00"")"),"33.48 +/- 2.20")</f>
        <v>33.48 +/- 2.20</v>
      </c>
      <c r="K62" s="9" t="str">
        <f>IFERROR(__xludf.DUMMYFUNCTION("TEXT(VALUE(REGEXEXTRACT(C62,""^[+-]?[0-9]*\.?[0-9]+""))*100,""0.00"")&amp;"" +/- ""&amp;TEXT(VALUE(REGEXEXTRACT(C62,""[0-9]*\.?[0-9]+$""))*100,""0.00"")"),"32.01 +/- 1.96")</f>
        <v>32.01 +/- 1.96</v>
      </c>
      <c r="L62" s="9" t="str">
        <f>IFERROR(__xludf.DUMMYFUNCTION("TEXT(VALUE(REGEXEXTRACT(D62,""^[+-]?[0-9]*\.?[0-9]+""))*100,""0.00"")&amp;"" +/- ""&amp;TEXT(VALUE(REGEXEXTRACT(D62,""[0-9]*\.?[0-9]+$""))*100,""0.00"")"),"36.56 +/- 2.11")</f>
        <v>36.56 +/- 2.11</v>
      </c>
      <c r="M62" s="9" t="str">
        <f>IFERROR(__xludf.DUMMYFUNCTION("TEXT(VALUE(REGEXEXTRACT(E62,""^[+-]?[0-9]*\.?[0-9]+""))*100,""0.00"")&amp;"" +/- ""&amp;TEXT(VALUE(REGEXEXTRACT(E62,""[0-9]*\.?[0-9]+$""))*100,""0.00"")"),"29.86 +/- 2.21")</f>
        <v>29.86 +/- 2.21</v>
      </c>
      <c r="N62" s="9" t="str">
        <f>IFERROR(__xludf.DUMMYFUNCTION("TEXT(VALUE(REGEXEXTRACT(F62,""^[+-]?[0-9]*\.?[0-9]+""))*100,""0.00"")&amp;"" +/- ""&amp;TEXT(VALUE(REGEXEXTRACT(F62,""[0-9]*\.?[0-9]+$""))*100,""0.00"")"),"30.18 +/- 3.21")</f>
        <v>30.18 +/- 3.21</v>
      </c>
      <c r="O62" s="9" t="str">
        <f>IFERROR(__xludf.DUMMYFUNCTION("TEXT(VALUE(REGEXEXTRACT(G62,""^[+-]?[0-9]*\.?[0-9]+""))*100,""0.00"")&amp;"" +/- ""&amp;TEXT(VALUE(REGEXEXTRACT(G62,""[0-9]*\.?[0-9]+$""))*100,""0.00"")"),"31.73 +/- 2.36")</f>
        <v>31.73 +/- 2.36</v>
      </c>
      <c r="P62" s="10" t="str">
        <f>IFERROR(__xludf.DUMMYFUNCTION("TEXT(VALUE(REGEXEXTRACT(H62,""^[+-]?[0-9]*\.?[0-9]+""))*100,""0.00"")&amp;"" +/- ""&amp;TEXT(VALUE(REGEXEXTRACT(H62,""[0-9]*\.?[0-9]+$""))*100,""0.00"")"),"35.29 +/- 8.42")</f>
        <v>35.29 +/- 8.42</v>
      </c>
    </row>
    <row r="63">
      <c r="A63" s="6" t="s">
        <v>1059</v>
      </c>
      <c r="B63" s="16" t="s">
        <v>1060</v>
      </c>
      <c r="C63" s="16" t="s">
        <v>1061</v>
      </c>
      <c r="D63" s="16" t="s">
        <v>1062</v>
      </c>
      <c r="E63" s="16" t="s">
        <v>1063</v>
      </c>
      <c r="F63" s="16" t="s">
        <v>1064</v>
      </c>
      <c r="G63" s="16" t="s">
        <v>1065</v>
      </c>
      <c r="H63" s="16" t="s">
        <v>1066</v>
      </c>
      <c r="I63" s="8" t="str">
        <f t="shared" si="4"/>
        <v>JDT→LC</v>
      </c>
      <c r="J63" s="9" t="str">
        <f>IFERROR(__xludf.DUMMYFUNCTION("TEXT(VALUE(REGEXEXTRACT(B63,""^[+-]?[0-9]*\.?[0-9]+""))*100,""0.00"")&amp;"" +/- ""&amp;TEXT(VALUE(REGEXEXTRACT(B63,""[0-9]*\.?[0-9]+$""))*100,""0.00"")"),"30.01 +/- 1.41")</f>
        <v>30.01 +/- 1.41</v>
      </c>
      <c r="K63" s="9" t="str">
        <f>IFERROR(__xludf.DUMMYFUNCTION("TEXT(VALUE(REGEXEXTRACT(C63,""^[+-]?[0-9]*\.?[0-9]+""))*100,""0.00"")&amp;"" +/- ""&amp;TEXT(VALUE(REGEXEXTRACT(C63,""[0-9]*\.?[0-9]+$""))*100,""0.00"")"),"37.70 +/- 1.89")</f>
        <v>37.70 +/- 1.89</v>
      </c>
      <c r="L63" s="9" t="str">
        <f>IFERROR(__xludf.DUMMYFUNCTION("TEXT(VALUE(REGEXEXTRACT(D63,""^[+-]?[0-9]*\.?[0-9]+""))*100,""0.00"")&amp;"" +/- ""&amp;TEXT(VALUE(REGEXEXTRACT(D63,""[0-9]*\.?[0-9]+$""))*100,""0.00"")"),"31.67 +/- 2.09")</f>
        <v>31.67 +/- 2.09</v>
      </c>
      <c r="M63" s="10" t="str">
        <f>IFERROR(__xludf.DUMMYFUNCTION("TEXT(VALUE(REGEXEXTRACT(E63,""^[+-]?[0-9]*\.?[0-9]+""))*100,""0.00"")&amp;"" +/- ""&amp;TEXT(VALUE(REGEXEXTRACT(E63,""[0-9]*\.?[0-9]+$""))*100,""0.00"")"),"31.66 +/- 1.74")</f>
        <v>31.66 +/- 1.74</v>
      </c>
      <c r="N63" s="9" t="str">
        <f>IFERROR(__xludf.DUMMYFUNCTION("TEXT(VALUE(REGEXEXTRACT(F63,""^[+-]?[0-9]*\.?[0-9]+""))*100,""0.00"")&amp;"" +/- ""&amp;TEXT(VALUE(REGEXEXTRACT(F63,""[0-9]*\.?[0-9]+$""))*100,""0.00"")"),"26.44 +/- 2.01")</f>
        <v>26.44 +/- 2.01</v>
      </c>
      <c r="O63" s="9" t="str">
        <f>IFERROR(__xludf.DUMMYFUNCTION("TEXT(VALUE(REGEXEXTRACT(G63,""^[+-]?[0-9]*\.?[0-9]+""))*100,""0.00"")&amp;"" +/- ""&amp;TEXT(VALUE(REGEXEXTRACT(G63,""[0-9]*\.?[0-9]+$""))*100,""0.00"")"),"26.95 +/- 1.95")</f>
        <v>26.95 +/- 1.95</v>
      </c>
      <c r="P63" s="9" t="str">
        <f>IFERROR(__xludf.DUMMYFUNCTION("TEXT(VALUE(REGEXEXTRACT(H63,""^[+-]?[0-9]*\.?[0-9]+""))*100,""0.00"")&amp;"" +/- ""&amp;TEXT(VALUE(REGEXEXTRACT(H63,""[0-9]*\.?[0-9]+$""))*100,""0.00"")"),"24.56 +/- 3.44")</f>
        <v>24.56 +/- 3.44</v>
      </c>
    </row>
    <row r="64">
      <c r="A64" s="6" t="s">
        <v>1088</v>
      </c>
      <c r="B64" s="16" t="s">
        <v>1089</v>
      </c>
      <c r="C64" s="16" t="s">
        <v>1090</v>
      </c>
      <c r="D64" s="16" t="s">
        <v>1091</v>
      </c>
      <c r="E64" s="16" t="s">
        <v>1092</v>
      </c>
      <c r="F64" s="16" t="s">
        <v>1093</v>
      </c>
      <c r="G64" s="16" t="s">
        <v>1094</v>
      </c>
      <c r="H64" s="16" t="s">
        <v>1095</v>
      </c>
      <c r="I64" s="8" t="str">
        <f t="shared" si="4"/>
        <v>JDT→ML</v>
      </c>
      <c r="J64" s="9" t="str">
        <f>IFERROR(__xludf.DUMMYFUNCTION("TEXT(VALUE(REGEXEXTRACT(B64,""^[+-]?[0-9]*\.?[0-9]+""))*100,""0.00"")&amp;"" +/- ""&amp;TEXT(VALUE(REGEXEXTRACT(B64,""[0-9]*\.?[0-9]+$""))*100,""0.00"")"),"23.66 +/- 0.69")</f>
        <v>23.66 +/- 0.69</v>
      </c>
      <c r="K64" s="10" t="str">
        <f>IFERROR(__xludf.DUMMYFUNCTION("TEXT(VALUE(REGEXEXTRACT(C64,""^[+-]?[0-9]*\.?[0-9]+""))*100,""0.00"")&amp;"" +/- ""&amp;TEXT(VALUE(REGEXEXTRACT(C64,""[0-9]*\.?[0-9]+$""))*100,""0.00"")"),"25.02 +/- 1.11")</f>
        <v>25.02 +/- 1.11</v>
      </c>
      <c r="L64" s="9" t="str">
        <f>IFERROR(__xludf.DUMMYFUNCTION("TEXT(VALUE(REGEXEXTRACT(D64,""^[+-]?[0-9]*\.?[0-9]+""))*100,""0.00"")&amp;"" +/- ""&amp;TEXT(VALUE(REGEXEXTRACT(D64,""[0-9]*\.?[0-9]+$""))*100,""0.00"")"),"22.02 +/- 1.57")</f>
        <v>22.02 +/- 1.57</v>
      </c>
      <c r="M64" s="9" t="str">
        <f>IFERROR(__xludf.DUMMYFUNCTION("TEXT(VALUE(REGEXEXTRACT(E64,""^[+-]?[0-9]*\.?[0-9]+""))*100,""0.00"")&amp;"" +/- ""&amp;TEXT(VALUE(REGEXEXTRACT(E64,""[0-9]*\.?[0-9]+$""))*100,""0.00"")"),"24.21 +/- 0.93")</f>
        <v>24.21 +/- 0.93</v>
      </c>
      <c r="N64" s="9" t="str">
        <f>IFERROR(__xludf.DUMMYFUNCTION("TEXT(VALUE(REGEXEXTRACT(F64,""^[+-]?[0-9]*\.?[0-9]+""))*100,""0.00"")&amp;"" +/- ""&amp;TEXT(VALUE(REGEXEXTRACT(F64,""[0-9]*\.?[0-9]+$""))*100,""0.00"")"),"11.35 +/- 2.31")</f>
        <v>11.35 +/- 2.31</v>
      </c>
      <c r="O64" s="9" t="str">
        <f>IFERROR(__xludf.DUMMYFUNCTION("TEXT(VALUE(REGEXEXTRACT(G64,""^[+-]?[0-9]*\.?[0-9]+""))*100,""0.00"")&amp;"" +/- ""&amp;TEXT(VALUE(REGEXEXTRACT(G64,""[0-9]*\.?[0-9]+$""))*100,""0.00"")"),"21.30 +/- 1.10")</f>
        <v>21.30 +/- 1.10</v>
      </c>
      <c r="P64" s="9" t="str">
        <f>IFERROR(__xludf.DUMMYFUNCTION("TEXT(VALUE(REGEXEXTRACT(H64,""^[+-]?[0-9]*\.?[0-9]+""))*100,""0.00"")&amp;"" +/- ""&amp;TEXT(VALUE(REGEXEXTRACT(H64,""[0-9]*\.?[0-9]+$""))*100,""0.00"")"),"10.26 +/- 2.28")</f>
        <v>10.26 +/- 2.28</v>
      </c>
    </row>
    <row r="65">
      <c r="A65" s="6" t="s">
        <v>1097</v>
      </c>
      <c r="B65" s="16" t="s">
        <v>1098</v>
      </c>
      <c r="C65" s="16" t="s">
        <v>1099</v>
      </c>
      <c r="D65" s="16" t="s">
        <v>1100</v>
      </c>
      <c r="E65" s="16" t="s">
        <v>1101</v>
      </c>
      <c r="F65" s="16" t="s">
        <v>1102</v>
      </c>
      <c r="G65" s="16" t="s">
        <v>1103</v>
      </c>
      <c r="H65" s="16" t="s">
        <v>1104</v>
      </c>
      <c r="I65" s="8" t="str">
        <f t="shared" si="4"/>
        <v>JDT→PDE</v>
      </c>
      <c r="J65" s="9" t="str">
        <f>IFERROR(__xludf.DUMMYFUNCTION("TEXT(VALUE(REGEXEXTRACT(B65,""^[+-]?[0-9]*\.?[0-9]+""))*100,""0.00"")&amp;"" +/- ""&amp;TEXT(VALUE(REGEXEXTRACT(B65,""[0-9]*\.?[0-9]+$""))*100,""0.00"")"),"27.30 +/- 0.79")</f>
        <v>27.30 +/- 0.79</v>
      </c>
      <c r="K65" s="10" t="str">
        <f>IFERROR(__xludf.DUMMYFUNCTION("TEXT(VALUE(REGEXEXTRACT(C65,""^[+-]?[0-9]*\.?[0-9]+""))*100,""0.00"")&amp;"" +/- ""&amp;TEXT(VALUE(REGEXEXTRACT(C65,""[0-9]*\.?[0-9]+$""))*100,""0.00"")"),"30.81 +/- 1.20")</f>
        <v>30.81 +/- 1.20</v>
      </c>
      <c r="L65" s="9" t="str">
        <f>IFERROR(__xludf.DUMMYFUNCTION("TEXT(VALUE(REGEXEXTRACT(D65,""^[+-]?[0-9]*\.?[0-9]+""))*100,""0.00"")&amp;"" +/- ""&amp;TEXT(VALUE(REGEXEXTRACT(D65,""[0-9]*\.?[0-9]+$""))*100,""0.00"")"),"28.24 +/- 1.60")</f>
        <v>28.24 +/- 1.60</v>
      </c>
      <c r="M65" s="9" t="str">
        <f>IFERROR(__xludf.DUMMYFUNCTION("TEXT(VALUE(REGEXEXTRACT(E65,""^[+-]?[0-9]*\.?[0-9]+""))*100,""0.00"")&amp;"" +/- ""&amp;TEXT(VALUE(REGEXEXTRACT(E65,""[0-9]*\.?[0-9]+$""))*100,""0.00"")"),"28.39 +/- 1.06")</f>
        <v>28.39 +/- 1.06</v>
      </c>
      <c r="N65" s="9" t="str">
        <f>IFERROR(__xludf.DUMMYFUNCTION("TEXT(VALUE(REGEXEXTRACT(F65,""^[+-]?[0-9]*\.?[0-9]+""))*100,""0.00"")&amp;"" +/- ""&amp;TEXT(VALUE(REGEXEXTRACT(F65,""[0-9]*\.?[0-9]+$""))*100,""0.00"")"),"25.67 +/- 0.97")</f>
        <v>25.67 +/- 0.97</v>
      </c>
      <c r="O65" s="9" t="str">
        <f>IFERROR(__xludf.DUMMYFUNCTION("TEXT(VALUE(REGEXEXTRACT(G65,""^[+-]?[0-9]*\.?[0-9]+""))*100,""0.00"")&amp;"" +/- ""&amp;TEXT(VALUE(REGEXEXTRACT(G65,""[0-9]*\.?[0-9]+$""))*100,""0.00"")"),"27.17 +/- 0.83")</f>
        <v>27.17 +/- 0.83</v>
      </c>
      <c r="P65" s="9" t="str">
        <f>IFERROR(__xludf.DUMMYFUNCTION("TEXT(VALUE(REGEXEXTRACT(H65,""^[+-]?[0-9]*\.?[0-9]+""))*100,""0.00"")&amp;"" +/- ""&amp;TEXT(VALUE(REGEXEXTRACT(H65,""[0-9]*\.?[0-9]+$""))*100,""0.00"")"),"3.70 +/- 1.43")</f>
        <v>3.70 +/- 1.43</v>
      </c>
    </row>
    <row r="66">
      <c r="A66" s="6" t="s">
        <v>1105</v>
      </c>
      <c r="B66" s="16" t="s">
        <v>1106</v>
      </c>
      <c r="C66" s="16" t="s">
        <v>1107</v>
      </c>
      <c r="D66" s="16" t="s">
        <v>1108</v>
      </c>
      <c r="E66" s="16" t="s">
        <v>1109</v>
      </c>
      <c r="F66" s="16" t="s">
        <v>1110</v>
      </c>
      <c r="G66" s="16" t="s">
        <v>1111</v>
      </c>
      <c r="H66" s="16" t="s">
        <v>1112</v>
      </c>
      <c r="I66" s="8" t="str">
        <f t="shared" si="4"/>
        <v>LC→EQ</v>
      </c>
      <c r="J66" s="9" t="str">
        <f>IFERROR(__xludf.DUMMYFUNCTION("TEXT(VALUE(REGEXEXTRACT(B66,""^[+-]?[0-9]*\.?[0-9]+""))*100,""0.00"")&amp;"" +/- ""&amp;TEXT(VALUE(REGEXEXTRACT(B66,""[0-9]*\.?[0-9]+$""))*100,""0.00"")"),"33.32 +/- 1.83")</f>
        <v>33.32 +/- 1.83</v>
      </c>
      <c r="K66" s="9" t="str">
        <f>IFERROR(__xludf.DUMMYFUNCTION("TEXT(VALUE(REGEXEXTRACT(C66,""^[+-]?[0-9]*\.?[0-9]+""))*100,""0.00"")&amp;"" +/- ""&amp;TEXT(VALUE(REGEXEXTRACT(C66,""[0-9]*\.?[0-9]+$""))*100,""0.00"")"),"28.22 +/- 1.05")</f>
        <v>28.22 +/- 1.05</v>
      </c>
      <c r="L66" s="9" t="str">
        <f>IFERROR(__xludf.DUMMYFUNCTION("TEXT(VALUE(REGEXEXTRACT(D66,""^[+-]?[0-9]*\.?[0-9]+""))*100,""0.00"")&amp;"" +/- ""&amp;TEXT(VALUE(REGEXEXTRACT(D66,""[0-9]*\.?[0-9]+$""))*100,""0.00"")"),"26.46 +/- 1.33")</f>
        <v>26.46 +/- 1.33</v>
      </c>
      <c r="M66" s="9" t="str">
        <f>IFERROR(__xludf.DUMMYFUNCTION("TEXT(VALUE(REGEXEXTRACT(E66,""^[+-]?[0-9]*\.?[0-9]+""))*100,""0.00"")&amp;"" +/- ""&amp;TEXT(VALUE(REGEXEXTRACT(E66,""[0-9]*\.?[0-9]+$""))*100,""0.00"")"),"29.22 +/- 1.04")</f>
        <v>29.22 +/- 1.04</v>
      </c>
      <c r="N66" s="9" t="str">
        <f>IFERROR(__xludf.DUMMYFUNCTION("TEXT(VALUE(REGEXEXTRACT(F66,""^[+-]?[0-9]*\.?[0-9]+""))*100,""0.00"")&amp;"" +/- ""&amp;TEXT(VALUE(REGEXEXTRACT(F66,""[0-9]*\.?[0-9]+$""))*100,""0.00"")"),"41.09 +/- 2.45")</f>
        <v>41.09 +/- 2.45</v>
      </c>
      <c r="O66" s="10" t="str">
        <f>IFERROR(__xludf.DUMMYFUNCTION("TEXT(VALUE(REGEXEXTRACT(G66,""^[+-]?[0-9]*\.?[0-9]+""))*100,""0.00"")&amp;"" +/- ""&amp;TEXT(VALUE(REGEXEXTRACT(G66,""[0-9]*\.?[0-9]+$""))*100,""0.00"")"),"35.40 +/- 2.16")</f>
        <v>35.40 +/- 2.16</v>
      </c>
      <c r="P66" s="9" t="str">
        <f>IFERROR(__xludf.DUMMYFUNCTION("TEXT(VALUE(REGEXEXTRACT(H66,""^[+-]?[0-9]*\.?[0-9]+""))*100,""0.00"")&amp;"" +/- ""&amp;TEXT(VALUE(REGEXEXTRACT(H66,""[0-9]*\.?[0-9]+$""))*100,""0.00"")"),"-14.18 +/- 2.61")</f>
        <v>-14.18 +/- 2.61</v>
      </c>
    </row>
    <row r="67">
      <c r="A67" s="6" t="s">
        <v>1115</v>
      </c>
      <c r="B67" s="16" t="s">
        <v>1117</v>
      </c>
      <c r="C67" s="16" t="s">
        <v>1119</v>
      </c>
      <c r="D67" s="16" t="s">
        <v>1120</v>
      </c>
      <c r="E67" s="16" t="s">
        <v>1121</v>
      </c>
      <c r="F67" s="16" t="s">
        <v>1122</v>
      </c>
      <c r="G67" s="16" t="s">
        <v>1123</v>
      </c>
      <c r="H67" s="16" t="s">
        <v>1124</v>
      </c>
      <c r="I67" s="8" t="str">
        <f t="shared" si="4"/>
        <v>LC→JDT</v>
      </c>
      <c r="J67" s="10" t="str">
        <f>IFERROR(__xludf.DUMMYFUNCTION("TEXT(VALUE(REGEXEXTRACT(B67,""^[+-]?[0-9]*\.?[0-9]+""))*100,""0.00"")&amp;"" +/- ""&amp;TEXT(VALUE(REGEXEXTRACT(B67,""[0-9]*\.?[0-9]+$""))*100,""0.00"")"),"46.88 +/- 1.62")</f>
        <v>46.88 +/- 1.62</v>
      </c>
      <c r="K67" s="9" t="str">
        <f>IFERROR(__xludf.DUMMYFUNCTION("TEXT(VALUE(REGEXEXTRACT(C67,""^[+-]?[0-9]*\.?[0-9]+""))*100,""0.00"")&amp;"" +/- ""&amp;TEXT(VALUE(REGEXEXTRACT(C67,""[0-9]*\.?[0-9]+$""))*100,""0.00"")"),"33.03 +/- 1.52")</f>
        <v>33.03 +/- 1.52</v>
      </c>
      <c r="L67" s="9" t="str">
        <f>IFERROR(__xludf.DUMMYFUNCTION("TEXT(VALUE(REGEXEXTRACT(D67,""^[+-]?[0-9]*\.?[0-9]+""))*100,""0.00"")&amp;"" +/- ""&amp;TEXT(VALUE(REGEXEXTRACT(D67,""[0-9]*\.?[0-9]+$""))*100,""0.00"")"),"30.64 +/- 1.84")</f>
        <v>30.64 +/- 1.84</v>
      </c>
      <c r="M67" s="9" t="str">
        <f>IFERROR(__xludf.DUMMYFUNCTION("TEXT(VALUE(REGEXEXTRACT(E67,""^[+-]?[0-9]*\.?[0-9]+""))*100,""0.00"")&amp;"" +/- ""&amp;TEXT(VALUE(REGEXEXTRACT(E67,""[0-9]*\.?[0-9]+$""))*100,""0.00"")"),"42.12 +/- 1.21")</f>
        <v>42.12 +/- 1.21</v>
      </c>
      <c r="N67" s="9" t="str">
        <f>IFERROR(__xludf.DUMMYFUNCTION("TEXT(VALUE(REGEXEXTRACT(F67,""^[+-]?[0-9]*\.?[0-9]+""))*100,""0.00"")&amp;"" +/- ""&amp;TEXT(VALUE(REGEXEXTRACT(F67,""[0-9]*\.?[0-9]+$""))*100,""0.00"")"),"43.03 +/- 1.76")</f>
        <v>43.03 +/- 1.76</v>
      </c>
      <c r="O67" s="9" t="str">
        <f>IFERROR(__xludf.DUMMYFUNCTION("TEXT(VALUE(REGEXEXTRACT(G67,""^[+-]?[0-9]*\.?[0-9]+""))*100,""0.00"")&amp;"" +/- ""&amp;TEXT(VALUE(REGEXEXTRACT(G67,""[0-9]*\.?[0-9]+$""))*100,""0.00"")"),"44.74 +/- 1.63")</f>
        <v>44.74 +/- 1.63</v>
      </c>
      <c r="P67" s="9" t="str">
        <f>IFERROR(__xludf.DUMMYFUNCTION("TEXT(VALUE(REGEXEXTRACT(H67,""^[+-]?[0-9]*\.?[0-9]+""))*100,""0.00"")&amp;"" +/- ""&amp;TEXT(VALUE(REGEXEXTRACT(H67,""[0-9]*\.?[0-9]+$""))*100,""0.00"")"),"-2.85 +/- 2.41")</f>
        <v>-2.85 +/- 2.41</v>
      </c>
    </row>
    <row r="68">
      <c r="A68" s="6" t="s">
        <v>1125</v>
      </c>
      <c r="B68" s="16" t="s">
        <v>1126</v>
      </c>
      <c r="C68" s="16" t="s">
        <v>1127</v>
      </c>
      <c r="D68" s="16" t="s">
        <v>1128</v>
      </c>
      <c r="E68" s="16" t="s">
        <v>1129</v>
      </c>
      <c r="F68" s="16" t="s">
        <v>1130</v>
      </c>
      <c r="G68" s="16" t="s">
        <v>1131</v>
      </c>
      <c r="H68" s="16" t="s">
        <v>1132</v>
      </c>
      <c r="I68" s="8" t="str">
        <f t="shared" si="4"/>
        <v>LC→ML</v>
      </c>
      <c r="J68" s="10" t="str">
        <f>IFERROR(__xludf.DUMMYFUNCTION("TEXT(VALUE(REGEXEXTRACT(B68,""^[+-]?[0-9]*\.?[0-9]+""))*100,""0.00"")&amp;"" +/- ""&amp;TEXT(VALUE(REGEXEXTRACT(B68,""[0-9]*\.?[0-9]+$""))*100,""0.00"")"),"25.19 +/- 0.98")</f>
        <v>25.19 +/- 0.98</v>
      </c>
      <c r="K68" s="9" t="str">
        <f>IFERROR(__xludf.DUMMYFUNCTION("TEXT(VALUE(REGEXEXTRACT(C68,""^[+-]?[0-9]*\.?[0-9]+""))*100,""0.00"")&amp;"" +/- ""&amp;TEXT(VALUE(REGEXEXTRACT(C68,""[0-9]*\.?[0-9]+$""))*100,""0.00"")"),"21.52 +/- 0.65")</f>
        <v>21.52 +/- 0.65</v>
      </c>
      <c r="L68" s="9" t="str">
        <f>IFERROR(__xludf.DUMMYFUNCTION("TEXT(VALUE(REGEXEXTRACT(D68,""^[+-]?[0-9]*\.?[0-9]+""))*100,""0.00"")&amp;"" +/- ""&amp;TEXT(VALUE(REGEXEXTRACT(D68,""[0-9]*\.?[0-9]+$""))*100,""0.00"")"),"17.22 +/- 1.70")</f>
        <v>17.22 +/- 1.70</v>
      </c>
      <c r="M68" s="9" t="str">
        <f>IFERROR(__xludf.DUMMYFUNCTION("TEXT(VALUE(REGEXEXTRACT(E68,""^[+-]?[0-9]*\.?[0-9]+""))*100,""0.00"")&amp;"" +/- ""&amp;TEXT(VALUE(REGEXEXTRACT(E68,""[0-9]*\.?[0-9]+$""))*100,""0.00"")"),"23.92 +/- 1.14")</f>
        <v>23.92 +/- 1.14</v>
      </c>
      <c r="N68" s="9" t="str">
        <f>IFERROR(__xludf.DUMMYFUNCTION("TEXT(VALUE(REGEXEXTRACT(F68,""^[+-]?[0-9]*\.?[0-9]+""))*100,""0.00"")&amp;"" +/- ""&amp;TEXT(VALUE(REGEXEXTRACT(F68,""[0-9]*\.?[0-9]+$""))*100,""0.00"")"),"19.44 +/- 1.85")</f>
        <v>19.44 +/- 1.85</v>
      </c>
      <c r="O68" s="9" t="str">
        <f>IFERROR(__xludf.DUMMYFUNCTION("TEXT(VALUE(REGEXEXTRACT(G68,""^[+-]?[0-9]*\.?[0-9]+""))*100,""0.00"")&amp;"" +/- ""&amp;TEXT(VALUE(REGEXEXTRACT(G68,""[0-9]*\.?[0-9]+$""))*100,""0.00"")"),"24.34 +/- 1.12")</f>
        <v>24.34 +/- 1.12</v>
      </c>
      <c r="P68" s="9" t="str">
        <f>IFERROR(__xludf.DUMMYFUNCTION("TEXT(VALUE(REGEXEXTRACT(H68,""^[+-]?[0-9]*\.?[0-9]+""))*100,""0.00"")&amp;"" +/- ""&amp;TEXT(VALUE(REGEXEXTRACT(H68,""[0-9]*\.?[0-9]+$""))*100,""0.00"")"),"17.33 +/- 4.07")</f>
        <v>17.33 +/- 4.07</v>
      </c>
    </row>
    <row r="69">
      <c r="A69" s="6" t="s">
        <v>1136</v>
      </c>
      <c r="B69" s="16" t="s">
        <v>1137</v>
      </c>
      <c r="C69" s="16" t="s">
        <v>1138</v>
      </c>
      <c r="D69" s="16" t="s">
        <v>1139</v>
      </c>
      <c r="E69" s="16" t="s">
        <v>1140</v>
      </c>
      <c r="F69" s="16" t="s">
        <v>1141</v>
      </c>
      <c r="G69" s="16" t="s">
        <v>1142</v>
      </c>
      <c r="H69" s="16" t="s">
        <v>1143</v>
      </c>
      <c r="I69" s="8" t="str">
        <f t="shared" si="4"/>
        <v>LC→PDE</v>
      </c>
      <c r="J69" s="9" t="str">
        <f>IFERROR(__xludf.DUMMYFUNCTION("TEXT(VALUE(REGEXEXTRACT(B69,""^[+-]?[0-9]*\.?[0-9]+""))*100,""0.00"")&amp;"" +/- ""&amp;TEXT(VALUE(REGEXEXTRACT(B69,""[0-9]*\.?[0-9]+$""))*100,""0.00"")"),"24.16 +/- 1.51")</f>
        <v>24.16 +/- 1.51</v>
      </c>
      <c r="K69" s="9" t="str">
        <f>IFERROR(__xludf.DUMMYFUNCTION("TEXT(VALUE(REGEXEXTRACT(C69,""^[+-]?[0-9]*\.?[0-9]+""))*100,""0.00"")&amp;"" +/- ""&amp;TEXT(VALUE(REGEXEXTRACT(C69,""[0-9]*\.?[0-9]+$""))*100,""0.00"")"),"24.06 +/- 0.88")</f>
        <v>24.06 +/- 0.88</v>
      </c>
      <c r="L69" s="9" t="str">
        <f>IFERROR(__xludf.DUMMYFUNCTION("TEXT(VALUE(REGEXEXTRACT(D69,""^[+-]?[0-9]*\.?[0-9]+""))*100,""0.00"")&amp;"" +/- ""&amp;TEXT(VALUE(REGEXEXTRACT(D69,""[0-9]*\.?[0-9]+$""))*100,""0.00"")"),"24.98 +/- 1.68")</f>
        <v>24.98 +/- 1.68</v>
      </c>
      <c r="M69" s="10" t="str">
        <f>IFERROR(__xludf.DUMMYFUNCTION("TEXT(VALUE(REGEXEXTRACT(E69,""^[+-]?[0-9]*\.?[0-9]+""))*100,""0.00"")&amp;"" +/- ""&amp;TEXT(VALUE(REGEXEXTRACT(E69,""[0-9]*\.?[0-9]+$""))*100,""0.00"")"),"28.87 +/- 1.80")</f>
        <v>28.87 +/- 1.80</v>
      </c>
      <c r="N69" s="9" t="str">
        <f>IFERROR(__xludf.DUMMYFUNCTION("TEXT(VALUE(REGEXEXTRACT(F69,""^[+-]?[0-9]*\.?[0-9]+""))*100,""0.00"")&amp;"" +/- ""&amp;TEXT(VALUE(REGEXEXTRACT(F69,""[0-9]*\.?[0-9]+$""))*100,""0.00"")"),"24.96 +/- 1.12")</f>
        <v>24.96 +/- 1.12</v>
      </c>
      <c r="O69" s="9" t="str">
        <f>IFERROR(__xludf.DUMMYFUNCTION("TEXT(VALUE(REGEXEXTRACT(G69,""^[+-]?[0-9]*\.?[0-9]+""))*100,""0.00"")&amp;"" +/- ""&amp;TEXT(VALUE(REGEXEXTRACT(G69,""[0-9]*\.?[0-9]+$""))*100,""0.00"")"),"26.01 +/- 1.30")</f>
        <v>26.01 +/- 1.30</v>
      </c>
      <c r="P69" s="9" t="str">
        <f>IFERROR(__xludf.DUMMYFUNCTION("TEXT(VALUE(REGEXEXTRACT(H69,""^[+-]?[0-9]*\.?[0-9]+""))*100,""0.00"")&amp;"" +/- ""&amp;TEXT(VALUE(REGEXEXTRACT(H69,""[0-9]*\.?[0-9]+$""))*100,""0.00"")"),"1.40 +/- 1.25")</f>
        <v>1.40 +/- 1.25</v>
      </c>
    </row>
    <row r="70">
      <c r="A70" s="6" t="s">
        <v>1235</v>
      </c>
      <c r="B70" s="16" t="s">
        <v>1247</v>
      </c>
      <c r="C70" s="16" t="s">
        <v>1250</v>
      </c>
      <c r="D70" s="16" t="s">
        <v>1252</v>
      </c>
      <c r="E70" s="16" t="s">
        <v>1254</v>
      </c>
      <c r="F70" s="16" t="s">
        <v>1255</v>
      </c>
      <c r="G70" s="16" t="s">
        <v>1256</v>
      </c>
      <c r="H70" s="16" t="s">
        <v>1257</v>
      </c>
      <c r="I70" s="8" t="str">
        <f t="shared" si="4"/>
        <v>ML→EQ</v>
      </c>
      <c r="J70" s="10" t="str">
        <f>IFERROR(__xludf.DUMMYFUNCTION("TEXT(VALUE(REGEXEXTRACT(B70,""^[+-]?[0-9]*\.?[0-9]+""))*100,""0.00"")&amp;"" +/- ""&amp;TEXT(VALUE(REGEXEXTRACT(B70,""[0-9]*\.?[0-9]+$""))*100,""0.00"")"),"29.55 +/- 1.81")</f>
        <v>29.55 +/- 1.81</v>
      </c>
      <c r="K70" s="9" t="str">
        <f>IFERROR(__xludf.DUMMYFUNCTION("TEXT(VALUE(REGEXEXTRACT(C70,""^[+-]?[0-9]*\.?[0-9]+""))*100,""0.00"")&amp;"" +/- ""&amp;TEXT(VALUE(REGEXEXTRACT(C70,""[0-9]*\.?[0-9]+$""))*100,""0.00"")"),"17.31 +/- 1.45")</f>
        <v>17.31 +/- 1.45</v>
      </c>
      <c r="L70" s="9" t="str">
        <f>IFERROR(__xludf.DUMMYFUNCTION("TEXT(VALUE(REGEXEXTRACT(D70,""^[+-]?[0-9]*\.?[0-9]+""))*100,""0.00"")&amp;"" +/- ""&amp;TEXT(VALUE(REGEXEXTRACT(D70,""[0-9]*\.?[0-9]+$""))*100,""0.00"")"),"12.19 +/- 4.02")</f>
        <v>12.19 +/- 4.02</v>
      </c>
      <c r="M70" s="9" t="str">
        <f>IFERROR(__xludf.DUMMYFUNCTION("TEXT(VALUE(REGEXEXTRACT(E70,""^[+-]?[0-9]*\.?[0-9]+""))*100,""0.00"")&amp;"" +/- ""&amp;TEXT(VALUE(REGEXEXTRACT(E70,""[0-9]*\.?[0-9]+$""))*100,""0.00"")"),"26.45 +/- 1.11")</f>
        <v>26.45 +/- 1.11</v>
      </c>
      <c r="N70" s="9" t="str">
        <f>IFERROR(__xludf.DUMMYFUNCTION("TEXT(VALUE(REGEXEXTRACT(F70,""^[+-]?[0-9]*\.?[0-9]+""))*100,""0.00"")&amp;"" +/- ""&amp;TEXT(VALUE(REGEXEXTRACT(F70,""[0-9]*\.?[0-9]+$""))*100,""0.00"")"),"28.26 +/- 2.08")</f>
        <v>28.26 +/- 2.08</v>
      </c>
      <c r="O70" s="9" t="str">
        <f>IFERROR(__xludf.DUMMYFUNCTION("TEXT(VALUE(REGEXEXTRACT(G70,""^[+-]?[0-9]*\.?[0-9]+""))*100,""0.00"")&amp;"" +/- ""&amp;TEXT(VALUE(REGEXEXTRACT(G70,""[0-9]*\.?[0-9]+$""))*100,""0.00"")"),"28.52 +/- 2.88")</f>
        <v>28.52 +/- 2.88</v>
      </c>
      <c r="P70" s="9" t="str">
        <f>IFERROR(__xludf.DUMMYFUNCTION("TEXT(VALUE(REGEXEXTRACT(H70,""^[+-]?[0-9]*\.?[0-9]+""))*100,""0.00"")&amp;"" +/- ""&amp;TEXT(VALUE(REGEXEXTRACT(H70,""[0-9]*\.?[0-9]+$""))*100,""0.00"")"),"-14.69 +/- 3.02")</f>
        <v>-14.69 +/- 3.02</v>
      </c>
    </row>
    <row r="71">
      <c r="A71" s="6" t="s">
        <v>1243</v>
      </c>
      <c r="B71" s="16" t="s">
        <v>1266</v>
      </c>
      <c r="C71" s="16" t="s">
        <v>1267</v>
      </c>
      <c r="D71" s="16" t="s">
        <v>1268</v>
      </c>
      <c r="E71" s="16" t="s">
        <v>1269</v>
      </c>
      <c r="F71" s="16" t="s">
        <v>1270</v>
      </c>
      <c r="G71" s="16" t="s">
        <v>1271</v>
      </c>
      <c r="H71" s="16" t="s">
        <v>1272</v>
      </c>
      <c r="I71" s="8" t="str">
        <f t="shared" si="4"/>
        <v>ML→JDT</v>
      </c>
      <c r="J71" s="9" t="str">
        <f>IFERROR(__xludf.DUMMYFUNCTION("TEXT(VALUE(REGEXEXTRACT(B71,""^[+-]?[0-9]*\.?[0-9]+""))*100,""0.00"")&amp;"" +/- ""&amp;TEXT(VALUE(REGEXEXTRACT(B71,""[0-9]*\.?[0-9]+$""))*100,""0.00"")"),"40.51 +/- 2.51")</f>
        <v>40.51 +/- 2.51</v>
      </c>
      <c r="K71" s="9" t="str">
        <f>IFERROR(__xludf.DUMMYFUNCTION("TEXT(VALUE(REGEXEXTRACT(C71,""^[+-]?[0-9]*\.?[0-9]+""))*100,""0.00"")&amp;"" +/- ""&amp;TEXT(VALUE(REGEXEXTRACT(C71,""[0-9]*\.?[0-9]+$""))*100,""0.00"")"),"22.69 +/- 1.63")</f>
        <v>22.69 +/- 1.63</v>
      </c>
      <c r="L71" s="9" t="str">
        <f>IFERROR(__xludf.DUMMYFUNCTION("TEXT(VALUE(REGEXEXTRACT(D71,""^[+-]?[0-9]*\.?[0-9]+""))*100,""0.00"")&amp;"" +/- ""&amp;TEXT(VALUE(REGEXEXTRACT(D71,""[0-9]*\.?[0-9]+$""))*100,""0.00"")"),"16.70 +/- 3.17")</f>
        <v>16.70 +/- 3.17</v>
      </c>
      <c r="M71" s="9" t="str">
        <f>IFERROR(__xludf.DUMMYFUNCTION("TEXT(VALUE(REGEXEXTRACT(E71,""^[+-]?[0-9]*\.?[0-9]+""))*100,""0.00"")&amp;"" +/- ""&amp;TEXT(VALUE(REGEXEXTRACT(E71,""[0-9]*\.?[0-9]+$""))*100,""0.00"")"),"29.66 +/- 1.91")</f>
        <v>29.66 +/- 1.91</v>
      </c>
      <c r="N71" s="9" t="str">
        <f>IFERROR(__xludf.DUMMYFUNCTION("TEXT(VALUE(REGEXEXTRACT(F71,""^[+-]?[0-9]*\.?[0-9]+""))*100,""0.00"")&amp;"" +/- ""&amp;TEXT(VALUE(REGEXEXTRACT(F71,""[0-9]*\.?[0-9]+$""))*100,""0.00"")"),"39.96 +/- 2.77")</f>
        <v>39.96 +/- 2.77</v>
      </c>
      <c r="O71" s="10" t="str">
        <f>IFERROR(__xludf.DUMMYFUNCTION("TEXT(VALUE(REGEXEXTRACT(G71,""^[+-]?[0-9]*\.?[0-9]+""))*100,""0.00"")&amp;"" +/- ""&amp;TEXT(VALUE(REGEXEXTRACT(G71,""[0-9]*\.?[0-9]+$""))*100,""0.00"")"),"40.96 +/- 2.68")</f>
        <v>40.96 +/- 2.68</v>
      </c>
      <c r="P71" s="9" t="str">
        <f>IFERROR(__xludf.DUMMYFUNCTION("TEXT(VALUE(REGEXEXTRACT(H71,""^[+-]?[0-9]*\.?[0-9]+""))*100,""0.00"")&amp;"" +/- ""&amp;TEXT(VALUE(REGEXEXTRACT(H71,""[0-9]*\.?[0-9]+$""))*100,""0.00"")"),"-3.73 +/- 2.47")</f>
        <v>-3.73 +/- 2.47</v>
      </c>
    </row>
    <row r="72">
      <c r="A72" s="6" t="s">
        <v>1258</v>
      </c>
      <c r="B72" s="16" t="s">
        <v>1281</v>
      </c>
      <c r="C72" s="16" t="s">
        <v>1282</v>
      </c>
      <c r="D72" s="16" t="s">
        <v>1283</v>
      </c>
      <c r="E72" s="16" t="s">
        <v>1284</v>
      </c>
      <c r="F72" s="16" t="s">
        <v>1285</v>
      </c>
      <c r="G72" s="16" t="s">
        <v>1286</v>
      </c>
      <c r="H72" s="16" t="s">
        <v>1287</v>
      </c>
      <c r="I72" s="8" t="str">
        <f t="shared" si="4"/>
        <v>ML→LC</v>
      </c>
      <c r="J72" s="10" t="str">
        <f>IFERROR(__xludf.DUMMYFUNCTION("TEXT(VALUE(REGEXEXTRACT(B72,""^[+-]?[0-9]*\.?[0-9]+""))*100,""0.00"")&amp;"" +/- ""&amp;TEXT(VALUE(REGEXEXTRACT(B72,""[0-9]*\.?[0-9]+$""))*100,""0.00"")"),"31.36 +/- 1.92")</f>
        <v>31.36 +/- 1.92</v>
      </c>
      <c r="K72" s="9" t="str">
        <f>IFERROR(__xludf.DUMMYFUNCTION("TEXT(VALUE(REGEXEXTRACT(C72,""^[+-]?[0-9]*\.?[0-9]+""))*100,""0.00"")&amp;"" +/- ""&amp;TEXT(VALUE(REGEXEXTRACT(C72,""[0-9]*\.?[0-9]+$""))*100,""0.00"")"),"37.89 +/- 2.69")</f>
        <v>37.89 +/- 2.69</v>
      </c>
      <c r="L72" s="9" t="str">
        <f>IFERROR(__xludf.DUMMYFUNCTION("TEXT(VALUE(REGEXEXTRACT(D72,""^[+-]?[0-9]*\.?[0-9]+""))*100,""0.00"")&amp;"" +/- ""&amp;TEXT(VALUE(REGEXEXTRACT(D72,""[0-9]*\.?[0-9]+$""))*100,""0.00"")"),"19.89 +/- 5.26")</f>
        <v>19.89 +/- 5.26</v>
      </c>
      <c r="M72" s="9" t="str">
        <f>IFERROR(__xludf.DUMMYFUNCTION("TEXT(VALUE(REGEXEXTRACT(E72,""^[+-]?[0-9]*\.?[0-9]+""))*100,""0.00"")&amp;"" +/- ""&amp;TEXT(VALUE(REGEXEXTRACT(E72,""[0-9]*\.?[0-9]+$""))*100,""0.00"")"),"27.49 +/- 3.01")</f>
        <v>27.49 +/- 3.01</v>
      </c>
      <c r="N72" s="9" t="str">
        <f>IFERROR(__xludf.DUMMYFUNCTION("TEXT(VALUE(REGEXEXTRACT(F72,""^[+-]?[0-9]*\.?[0-9]+""))*100,""0.00"")&amp;"" +/- ""&amp;TEXT(VALUE(REGEXEXTRACT(F72,""[0-9]*\.?[0-9]+$""))*100,""0.00"")"),"26.84 +/- 2.46")</f>
        <v>26.84 +/- 2.46</v>
      </c>
      <c r="O72" s="9" t="str">
        <f>IFERROR(__xludf.DUMMYFUNCTION("TEXT(VALUE(REGEXEXTRACT(G72,""^[+-]?[0-9]*\.?[0-9]+""))*100,""0.00"")&amp;"" +/- ""&amp;TEXT(VALUE(REGEXEXTRACT(G72,""[0-9]*\.?[0-9]+$""))*100,""0.00"")"),"27.42 +/- 2.51")</f>
        <v>27.42 +/- 2.51</v>
      </c>
      <c r="P72" s="9" t="str">
        <f>IFERROR(__xludf.DUMMYFUNCTION("TEXT(VALUE(REGEXEXTRACT(H72,""^[+-]?[0-9]*\.?[0-9]+""))*100,""0.00"")&amp;"" +/- ""&amp;TEXT(VALUE(REGEXEXTRACT(H72,""[0-9]*\.?[0-9]+$""))*100,""0.00"")"),"-0.71 +/- 2.34")</f>
        <v>-0.71 +/- 2.34</v>
      </c>
    </row>
    <row r="73">
      <c r="A73" s="6" t="s">
        <v>1273</v>
      </c>
      <c r="B73" s="16" t="s">
        <v>1296</v>
      </c>
      <c r="C73" s="16" t="s">
        <v>1297</v>
      </c>
      <c r="D73" s="16" t="s">
        <v>1298</v>
      </c>
      <c r="E73" s="16" t="s">
        <v>1299</v>
      </c>
      <c r="F73" s="16" t="s">
        <v>1300</v>
      </c>
      <c r="G73" s="16" t="s">
        <v>1301</v>
      </c>
      <c r="H73" s="16" t="s">
        <v>1302</v>
      </c>
      <c r="I73" s="8" t="str">
        <f t="shared" si="4"/>
        <v>ML→PDE</v>
      </c>
      <c r="J73" s="9" t="str">
        <f>IFERROR(__xludf.DUMMYFUNCTION("TEXT(VALUE(REGEXEXTRACT(B73,""^[+-]?[0-9]*\.?[0-9]+""))*100,""0.00"")&amp;"" +/- ""&amp;TEXT(VALUE(REGEXEXTRACT(B73,""[0-9]*\.?[0-9]+$""))*100,""0.00"")"),"23.92 +/- 0.84")</f>
        <v>23.92 +/- 0.84</v>
      </c>
      <c r="K73" s="9" t="str">
        <f>IFERROR(__xludf.DUMMYFUNCTION("TEXT(VALUE(REGEXEXTRACT(C73,""^[+-]?[0-9]*\.?[0-9]+""))*100,""0.00"")&amp;"" +/- ""&amp;TEXT(VALUE(REGEXEXTRACT(C73,""[0-9]*\.?[0-9]+$""))*100,""0.00"")"),"17.19 +/- 1.76")</f>
        <v>17.19 +/- 1.76</v>
      </c>
      <c r="L73" s="9" t="str">
        <f>IFERROR(__xludf.DUMMYFUNCTION("TEXT(VALUE(REGEXEXTRACT(D73,""^[+-]?[0-9]*\.?[0-9]+""))*100,""0.00"")&amp;"" +/- ""&amp;TEXT(VALUE(REGEXEXTRACT(D73,""[0-9]*\.?[0-9]+$""))*100,""0.00"")"),"13.88 +/- 3.08")</f>
        <v>13.88 +/- 3.08</v>
      </c>
      <c r="M73" s="10" t="str">
        <f>IFERROR(__xludf.DUMMYFUNCTION("TEXT(VALUE(REGEXEXTRACT(E73,""^[+-]?[0-9]*\.?[0-9]+""))*100,""0.00"")&amp;"" +/- ""&amp;TEXT(VALUE(REGEXEXTRACT(E73,""[0-9]*\.?[0-9]+$""))*100,""0.00"")"),"25.48 +/- 1.11")</f>
        <v>25.48 +/- 1.11</v>
      </c>
      <c r="N73" s="9" t="str">
        <f>IFERROR(__xludf.DUMMYFUNCTION("TEXT(VALUE(REGEXEXTRACT(F73,""^[+-]?[0-9]*\.?[0-9]+""))*100,""0.00"")&amp;"" +/- ""&amp;TEXT(VALUE(REGEXEXTRACT(F73,""[0-9]*\.?[0-9]+$""))*100,""0.00"")"),"27.23 +/- 1.12")</f>
        <v>27.23 +/- 1.12</v>
      </c>
      <c r="O73" s="9" t="str">
        <f>IFERROR(__xludf.DUMMYFUNCTION("TEXT(VALUE(REGEXEXTRACT(G73,""^[+-]?[0-9]*\.?[0-9]+""))*100,""0.00"")&amp;"" +/- ""&amp;TEXT(VALUE(REGEXEXTRACT(G73,""[0-9]*\.?[0-9]+$""))*100,""0.00"")"),"27.36 +/- 1.24")</f>
        <v>27.36 +/- 1.24</v>
      </c>
      <c r="P73" s="9" t="str">
        <f>IFERROR(__xludf.DUMMYFUNCTION("TEXT(VALUE(REGEXEXTRACT(H73,""^[+-]?[0-9]*\.?[0-9]+""))*100,""0.00"")&amp;"" +/- ""&amp;TEXT(VALUE(REGEXEXTRACT(H73,""[0-9]*\.?[0-9]+$""))*100,""0.00"")"),"1.26 +/- 1.39")</f>
        <v>1.26 +/- 1.39</v>
      </c>
    </row>
    <row r="74">
      <c r="A74" s="6" t="s">
        <v>1288</v>
      </c>
      <c r="B74" s="16" t="s">
        <v>1341</v>
      </c>
      <c r="C74" s="16" t="s">
        <v>1342</v>
      </c>
      <c r="D74" s="16" t="s">
        <v>1343</v>
      </c>
      <c r="E74" s="16" t="s">
        <v>1344</v>
      </c>
      <c r="F74" s="16" t="s">
        <v>1345</v>
      </c>
      <c r="G74" s="16" t="s">
        <v>1346</v>
      </c>
      <c r="H74" s="16" t="s">
        <v>1347</v>
      </c>
      <c r="I74" s="8" t="str">
        <f t="shared" si="4"/>
        <v>PDE→EQ</v>
      </c>
      <c r="J74" s="9" t="str">
        <f>IFERROR(__xludf.DUMMYFUNCTION("TEXT(VALUE(REGEXEXTRACT(B74,""^[+-]?[0-9]*\.?[0-9]+""))*100,""0.00"")&amp;"" +/- ""&amp;TEXT(VALUE(REGEXEXTRACT(B74,""[0-9]*\.?[0-9]+$""))*100,""0.00"")"),"26.85 +/- 2.46")</f>
        <v>26.85 +/- 2.46</v>
      </c>
      <c r="K74" s="9" t="str">
        <f>IFERROR(__xludf.DUMMYFUNCTION("TEXT(VALUE(REGEXEXTRACT(C74,""^[+-]?[0-9]*\.?[0-9]+""))*100,""0.00"")&amp;"" +/- ""&amp;TEXT(VALUE(REGEXEXTRACT(C74,""[0-9]*\.?[0-9]+$""))*100,""0.00"")"),"24.24 +/- 1.82")</f>
        <v>24.24 +/- 1.82</v>
      </c>
      <c r="L74" s="9" t="str">
        <f>IFERROR(__xludf.DUMMYFUNCTION("TEXT(VALUE(REGEXEXTRACT(D74,""^[+-]?[0-9]*\.?[0-9]+""))*100,""0.00"")&amp;"" +/- ""&amp;TEXT(VALUE(REGEXEXTRACT(D74,""[0-9]*\.?[0-9]+$""))*100,""0.00"")"),"21.75 +/- 3.01")</f>
        <v>21.75 +/- 3.01</v>
      </c>
      <c r="M74" s="9" t="str">
        <f>IFERROR(__xludf.DUMMYFUNCTION("TEXT(VALUE(REGEXEXTRACT(E74,""^[+-]?[0-9]*\.?[0-9]+""))*100,""0.00"")&amp;"" +/- ""&amp;TEXT(VALUE(REGEXEXTRACT(E74,""[0-9]*\.?[0-9]+$""))*100,""0.00"")"),"25.35 +/- 1.63")</f>
        <v>25.35 +/- 1.63</v>
      </c>
      <c r="N74" s="9" t="str">
        <f>IFERROR(__xludf.DUMMYFUNCTION("TEXT(VALUE(REGEXEXTRACT(F74,""^[+-]?[0-9]*\.?[0-9]+""))*100,""0.00"")&amp;"" +/- ""&amp;TEXT(VALUE(REGEXEXTRACT(F74,""[0-9]*\.?[0-9]+$""))*100,""0.00"")"),"27.19 +/- 5.28")</f>
        <v>27.19 +/- 5.28</v>
      </c>
      <c r="O74" s="10" t="str">
        <f>IFERROR(__xludf.DUMMYFUNCTION("TEXT(VALUE(REGEXEXTRACT(G74,""^[+-]?[0-9]*\.?[0-9]+""))*100,""0.00"")&amp;"" +/- ""&amp;TEXT(VALUE(REGEXEXTRACT(G74,""[0-9]*\.?[0-9]+$""))*100,""0.00"")"),"27.27 +/- 2.74")</f>
        <v>27.27 +/- 2.74</v>
      </c>
      <c r="P74" s="9" t="str">
        <f>IFERROR(__xludf.DUMMYFUNCTION("TEXT(VALUE(REGEXEXTRACT(H74,""^[+-]?[0-9]*\.?[0-9]+""))*100,""0.00"")&amp;"" +/- ""&amp;TEXT(VALUE(REGEXEXTRACT(H74,""[0-9]*\.?[0-9]+$""))*100,""0.00"")"),"-20.21 +/- 5.39")</f>
        <v>-20.21 +/- 5.39</v>
      </c>
    </row>
    <row r="75">
      <c r="A75" s="6" t="s">
        <v>1303</v>
      </c>
      <c r="B75" s="16" t="s">
        <v>1349</v>
      </c>
      <c r="C75" s="16" t="s">
        <v>1350</v>
      </c>
      <c r="D75" s="16" t="s">
        <v>1351</v>
      </c>
      <c r="E75" s="16" t="s">
        <v>1352</v>
      </c>
      <c r="F75" s="16" t="s">
        <v>1353</v>
      </c>
      <c r="G75" s="16" t="s">
        <v>1354</v>
      </c>
      <c r="H75" s="16" t="s">
        <v>1355</v>
      </c>
      <c r="I75" s="8" t="str">
        <f t="shared" si="4"/>
        <v>PDE→JDT</v>
      </c>
      <c r="J75" s="10" t="str">
        <f>IFERROR(__xludf.DUMMYFUNCTION("TEXT(VALUE(REGEXEXTRACT(B75,""^[+-]?[0-9]*\.?[0-9]+""))*100,""0.00"")&amp;"" +/- ""&amp;TEXT(VALUE(REGEXEXTRACT(B75,""[0-9]*\.?[0-9]+$""))*100,""0.00"")"),"48.18 +/- 1.58")</f>
        <v>48.18 +/- 1.58</v>
      </c>
      <c r="K75" s="9" t="str">
        <f>IFERROR(__xludf.DUMMYFUNCTION("TEXT(VALUE(REGEXEXTRACT(C75,""^[+-]?[0-9]*\.?[0-9]+""))*100,""0.00"")&amp;"" +/- ""&amp;TEXT(VALUE(REGEXEXTRACT(C75,""[0-9]*\.?[0-9]+$""))*100,""0.00"")"),"32.52 +/- 2.04")</f>
        <v>32.52 +/- 2.04</v>
      </c>
      <c r="L75" s="9" t="str">
        <f>IFERROR(__xludf.DUMMYFUNCTION("TEXT(VALUE(REGEXEXTRACT(D75,""^[+-]?[0-9]*\.?[0-9]+""))*100,""0.00"")&amp;"" +/- ""&amp;TEXT(VALUE(REGEXEXTRACT(D75,""[0-9]*\.?[0-9]+$""))*100,""0.00"")"),"31.42 +/- 1.65")</f>
        <v>31.42 +/- 1.65</v>
      </c>
      <c r="M75" s="9" t="str">
        <f>IFERROR(__xludf.DUMMYFUNCTION("TEXT(VALUE(REGEXEXTRACT(E75,""^[+-]?[0-9]*\.?[0-9]+""))*100,""0.00"")&amp;"" +/- ""&amp;TEXT(VALUE(REGEXEXTRACT(E75,""[0-9]*\.?[0-9]+$""))*100,""0.00"")"),"40.00 +/- 1.53")</f>
        <v>40.00 +/- 1.53</v>
      </c>
      <c r="N75" s="9" t="str">
        <f>IFERROR(__xludf.DUMMYFUNCTION("TEXT(VALUE(REGEXEXTRACT(F75,""^[+-]?[0-9]*\.?[0-9]+""))*100,""0.00"")&amp;"" +/- ""&amp;TEXT(VALUE(REGEXEXTRACT(F75,""[0-9]*\.?[0-9]+$""))*100,""0.00"")"),"42.13 +/- 1.63")</f>
        <v>42.13 +/- 1.63</v>
      </c>
      <c r="O75" s="9" t="str">
        <f>IFERROR(__xludf.DUMMYFUNCTION("TEXT(VALUE(REGEXEXTRACT(G75,""^[+-]?[0-9]*\.?[0-9]+""))*100,""0.00"")&amp;"" +/- ""&amp;TEXT(VALUE(REGEXEXTRACT(G75,""[0-9]*\.?[0-9]+$""))*100,""0.00"")"),"44.36 +/- 1.38")</f>
        <v>44.36 +/- 1.38</v>
      </c>
      <c r="P75" s="9" t="str">
        <f>IFERROR(__xludf.DUMMYFUNCTION("TEXT(VALUE(REGEXEXTRACT(H75,""^[+-]?[0-9]*\.?[0-9]+""))*100,""0.00"")&amp;"" +/- ""&amp;TEXT(VALUE(REGEXEXTRACT(H75,""[0-9]*\.?[0-9]+$""))*100,""0.00"")"),"10.49 +/- 3.25")</f>
        <v>10.49 +/- 3.25</v>
      </c>
    </row>
    <row r="76">
      <c r="A76" s="6" t="s">
        <v>1311</v>
      </c>
      <c r="B76" s="16" t="s">
        <v>1356</v>
      </c>
      <c r="C76" s="16" t="s">
        <v>1357</v>
      </c>
      <c r="D76" s="16" t="s">
        <v>1358</v>
      </c>
      <c r="E76" s="16" t="s">
        <v>1359</v>
      </c>
      <c r="F76" s="16" t="s">
        <v>1360</v>
      </c>
      <c r="G76" s="16" t="s">
        <v>1361</v>
      </c>
      <c r="H76" s="16" t="s">
        <v>1362</v>
      </c>
      <c r="I76" s="8" t="str">
        <f t="shared" si="4"/>
        <v>PDE→LC</v>
      </c>
      <c r="J76" s="9" t="str">
        <f>IFERROR(__xludf.DUMMYFUNCTION("TEXT(VALUE(REGEXEXTRACT(B76,""^[+-]?[0-9]*\.?[0-9]+""))*100,""0.00"")&amp;"" +/- ""&amp;TEXT(VALUE(REGEXEXTRACT(B76,""[0-9]*\.?[0-9]+$""))*100,""0.00"")"),"31.21 +/- 2.29")</f>
        <v>31.21 +/- 2.29</v>
      </c>
      <c r="K76" s="10" t="str">
        <f>IFERROR(__xludf.DUMMYFUNCTION("TEXT(VALUE(REGEXEXTRACT(C76,""^[+-]?[0-9]*\.?[0-9]+""))*100,""0.00"")&amp;"" +/- ""&amp;TEXT(VALUE(REGEXEXTRACT(C76,""[0-9]*\.?[0-9]+$""))*100,""0.00"")"),"38.63 +/- 2.67")</f>
        <v>38.63 +/- 2.67</v>
      </c>
      <c r="L76" s="9" t="str">
        <f>IFERROR(__xludf.DUMMYFUNCTION("TEXT(VALUE(REGEXEXTRACT(D76,""^[+-]?[0-9]*\.?[0-9]+""))*100,""0.00"")&amp;"" +/- ""&amp;TEXT(VALUE(REGEXEXTRACT(D76,""[0-9]*\.?[0-9]+$""))*100,""0.00"")"),"29.13 +/- 4.23")</f>
        <v>29.13 +/- 4.23</v>
      </c>
      <c r="M76" s="9" t="str">
        <f>IFERROR(__xludf.DUMMYFUNCTION("TEXT(VALUE(REGEXEXTRACT(E76,""^[+-]?[0-9]*\.?[0-9]+""))*100,""0.00"")&amp;"" +/- ""&amp;TEXT(VALUE(REGEXEXTRACT(E76,""[0-9]*\.?[0-9]+$""))*100,""0.00"")"),"29.24 +/- 3.70")</f>
        <v>29.24 +/- 3.70</v>
      </c>
      <c r="N76" s="9" t="str">
        <f>IFERROR(__xludf.DUMMYFUNCTION("TEXT(VALUE(REGEXEXTRACT(F76,""^[+-]?[0-9]*\.?[0-9]+""))*100,""0.00"")&amp;"" +/- ""&amp;TEXT(VALUE(REGEXEXTRACT(F76,""[0-9]*\.?[0-9]+$""))*100,""0.00"")"),"23.54 +/- 3.20")</f>
        <v>23.54 +/- 3.20</v>
      </c>
      <c r="O76" s="9" t="str">
        <f>IFERROR(__xludf.DUMMYFUNCTION("TEXT(VALUE(REGEXEXTRACT(G76,""^[+-]?[0-9]*\.?[0-9]+""))*100,""0.00"")&amp;"" +/- ""&amp;TEXT(VALUE(REGEXEXTRACT(G76,""[0-9]*\.?[0-9]+$""))*100,""0.00"")"),"24.48 +/- 2.32")</f>
        <v>24.48 +/- 2.32</v>
      </c>
      <c r="P76" s="9" t="str">
        <f>IFERROR(__xludf.DUMMYFUNCTION("TEXT(VALUE(REGEXEXTRACT(H76,""^[+-]?[0-9]*\.?[0-9]+""))*100,""0.00"")&amp;"" +/- ""&amp;TEXT(VALUE(REGEXEXTRACT(H76,""[0-9]*\.?[0-9]+$""))*100,""0.00"")"),"35.90 +/- 3.29")</f>
        <v>35.90 +/- 3.29</v>
      </c>
    </row>
    <row r="77">
      <c r="A77" s="6" t="s">
        <v>1319</v>
      </c>
      <c r="B77" s="16" t="s">
        <v>1363</v>
      </c>
      <c r="C77" s="16" t="s">
        <v>1364</v>
      </c>
      <c r="D77" s="16" t="s">
        <v>1365</v>
      </c>
      <c r="E77" s="16" t="s">
        <v>1366</v>
      </c>
      <c r="F77" s="16" t="s">
        <v>1367</v>
      </c>
      <c r="G77" s="16" t="s">
        <v>1368</v>
      </c>
      <c r="H77" s="16" t="s">
        <v>1369</v>
      </c>
      <c r="I77" s="8" t="str">
        <f t="shared" si="4"/>
        <v>PDE→ML</v>
      </c>
      <c r="J77" s="9" t="str">
        <f>IFERROR(__xludf.DUMMYFUNCTION("TEXT(VALUE(REGEXEXTRACT(B77,""^[+-]?[0-9]*\.?[0-9]+""))*100,""0.00"")&amp;"" +/- ""&amp;TEXT(VALUE(REGEXEXTRACT(B77,""[0-9]*\.?[0-9]+$""))*100,""0.00"")"),"23.02 +/- 1.09")</f>
        <v>23.02 +/- 1.09</v>
      </c>
      <c r="K77" s="10" t="str">
        <f>IFERROR(__xludf.DUMMYFUNCTION("TEXT(VALUE(REGEXEXTRACT(C77,""^[+-]?[0-9]*\.?[0-9]+""))*100,""0.00"")&amp;"" +/- ""&amp;TEXT(VALUE(REGEXEXTRACT(C77,""[0-9]*\.?[0-9]+$""))*100,""0.00"")"),"18.49 +/- 1.42")</f>
        <v>18.49 +/- 1.42</v>
      </c>
      <c r="L77" s="9" t="str">
        <f>IFERROR(__xludf.DUMMYFUNCTION("TEXT(VALUE(REGEXEXTRACT(D77,""^[+-]?[0-9]*\.?[0-9]+""))*100,""0.00"")&amp;"" +/- ""&amp;TEXT(VALUE(REGEXEXTRACT(D77,""[0-9]*\.?[0-9]+$""))*100,""0.00"")"),"15.57 +/- 2.00")</f>
        <v>15.57 +/- 2.00</v>
      </c>
      <c r="M77" s="9" t="str">
        <f>IFERROR(__xludf.DUMMYFUNCTION("TEXT(VALUE(REGEXEXTRACT(E77,""^[+-]?[0-9]*\.?[0-9]+""))*100,""0.00"")&amp;"" +/- ""&amp;TEXT(VALUE(REGEXEXTRACT(E77,""[0-9]*\.?[0-9]+$""))*100,""0.00"")"),"21.79 +/- 1.45")</f>
        <v>21.79 +/- 1.45</v>
      </c>
      <c r="N77" s="9" t="str">
        <f>IFERROR(__xludf.DUMMYFUNCTION("TEXT(VALUE(REGEXEXTRACT(F77,""^[+-]?[0-9]*\.?[0-9]+""))*100,""0.00"")&amp;"" +/- ""&amp;TEXT(VALUE(REGEXEXTRACT(F77,""[0-9]*\.?[0-9]+$""))*100,""0.00"")"),"15.39 +/- 1.55")</f>
        <v>15.39 +/- 1.55</v>
      </c>
      <c r="O77" s="9" t="str">
        <f>IFERROR(__xludf.DUMMYFUNCTION("TEXT(VALUE(REGEXEXTRACT(G77,""^[+-]?[0-9]*\.?[0-9]+""))*100,""0.00"")&amp;"" +/- ""&amp;TEXT(VALUE(REGEXEXTRACT(G77,""[0-9]*\.?[0-9]+$""))*100,""0.00"")"),"16.81 +/- 1.45")</f>
        <v>16.81 +/- 1.45</v>
      </c>
      <c r="P77" s="9" t="str">
        <f>IFERROR(__xludf.DUMMYFUNCTION("TEXT(VALUE(REGEXEXTRACT(H77,""^[+-]?[0-9]*\.?[0-9]+""))*100,""0.00"")&amp;"" +/- ""&amp;TEXT(VALUE(REGEXEXTRACT(H77,""[0-9]*\.?[0-9]+$""))*100,""0.00"")"),"13.71 +/- 3.60")</f>
        <v>13.71 +/- 3.60</v>
      </c>
    </row>
    <row r="78">
      <c r="A78" s="6" t="s">
        <v>371</v>
      </c>
      <c r="B78" s="14"/>
      <c r="C78" s="21" t="s">
        <v>488</v>
      </c>
      <c r="D78" s="21" t="s">
        <v>392</v>
      </c>
      <c r="E78" s="21" t="s">
        <v>1096</v>
      </c>
      <c r="F78" s="21" t="s">
        <v>388</v>
      </c>
      <c r="G78" s="21" t="s">
        <v>1096</v>
      </c>
      <c r="H78" s="21" t="s">
        <v>990</v>
      </c>
      <c r="I78" s="8" t="str">
        <f t="shared" si="4"/>
        <v>W/T/L</v>
      </c>
      <c r="K78" s="20" t="str">
        <f>IFERROR(__xludf.DUMMYFUNCTION("SUM(ARRAYFORMULA(IFERROR(
  (VALUE(REGEXEXTRACT($J$58:$J$77,""^[+-]?[0-9]*\.?[0-9]+""))&gt;
   VALUE(REGEXEXTRACT(K$58:K$77,""^[+-]?[0-9]*\.?[0-9]+"")))*1,0)))
&amp;""/""&amp;
SUM(ARRAYFORMULA(IFERROR(
  (VALUE(REGEXEXTRACT($J$58:$J$77,""^[+-]?[0-9]*\.?[0-9]+""))=
 "&amp;"  VALUE(REGEXEXTRACT(K$58:K$77,""^[+-]?[0-9]*\.?[0-9]+"")))*1,0)))
&amp;""/""&amp;
SUM(ARRAYFORMULA(IFERROR(
  (VALUE(REGEXEXTRACT($J$58:$J$77,""^[+-]?[0-9]*\.?[0-9]+""))&lt;
   VALUE(REGEXEXTRACT(K$58:K$77,""^[+-]?[0-9]*\.?[0-9]+"")))*1,0)))"),"13/0/7")</f>
        <v>13/0/7</v>
      </c>
      <c r="L78" s="20" t="str">
        <f>IFERROR(__xludf.DUMMYFUNCTION("SUM(ARRAYFORMULA(IFERROR(
  (VALUE(REGEXEXTRACT($J$58:$J$77,""^[+-]?[0-9]*\.?[0-9]+""))&gt;
   VALUE(REGEXEXTRACT(L$58:L$77,""^[+-]?[0-9]*\.?[0-9]+"")))*1,0)))
&amp;""/""&amp;
SUM(ARRAYFORMULA(IFERROR(
  (VALUE(REGEXEXTRACT($J$58:$J$77,""^[+-]?[0-9]*\.?[0-9]+""))=
 "&amp;"  VALUE(REGEXEXTRACT(L$58:L$77,""^[+-]?[0-9]*\.?[0-9]+"")))*1,0)))
&amp;""/""&amp;
SUM(ARRAYFORMULA(IFERROR(
  (VALUE(REGEXEXTRACT($J$58:$J$77,""^[+-]?[0-9]*\.?[0-9]+""))&lt;
   VALUE(REGEXEXTRACT(L$58:L$77,""^[+-]?[0-9]*\.?[0-9]+"")))*1,0)))"),"14/0/6")</f>
        <v>14/0/6</v>
      </c>
      <c r="M78" s="20" t="str">
        <f>IFERROR(__xludf.DUMMYFUNCTION("SUM(ARRAYFORMULA(IFERROR(
  (VALUE(REGEXEXTRACT($J$58:$J$77,""^[+-]?[0-9]*\.?[0-9]+""))&gt;
   VALUE(REGEXEXTRACT(M$58:M$77,""^[+-]?[0-9]*\.?[0-9]+"")))*1,0)))
&amp;""/""&amp;
SUM(ARRAYFORMULA(IFERROR(
  (VALUE(REGEXEXTRACT($J$58:$J$77,""^[+-]?[0-9]*\.?[0-9]+""))=
 "&amp;"  VALUE(REGEXEXTRACT(M$58:M$77,""^[+-]?[0-9]*\.?[0-9]+"")))*1,0)))
&amp;""/""&amp;
SUM(ARRAYFORMULA(IFERROR(
  (VALUE(REGEXEXTRACT($J$58:$J$77,""^[+-]?[0-9]*\.?[0-9]+""))&lt;
   VALUE(REGEXEXTRACT(M$58:M$77,""^[+-]?[0-9]*\.?[0-9]+"")))*1,0)))"),"15/0/5")</f>
        <v>15/0/5</v>
      </c>
      <c r="N78" s="20" t="str">
        <f>IFERROR(__xludf.DUMMYFUNCTION("SUM(ARRAYFORMULA(IFERROR(
  (VALUE(REGEXEXTRACT($J$58:$J$77,""^[+-]?[0-9]*\.?[0-9]+""))&gt;
   VALUE(REGEXEXTRACT(N$58:N$77,""^[+-]?[0-9]*\.?[0-9]+"")))*1,0)))
&amp;""/""&amp;
SUM(ARRAYFORMULA(IFERROR(
  (VALUE(REGEXEXTRACT($J$58:$J$77,""^[+-]?[0-9]*\.?[0-9]+""))=
 "&amp;"  VALUE(REGEXEXTRACT(N$58:N$77,""^[+-]?[0-9]*\.?[0-9]+"")))*1,0)))
&amp;""/""&amp;
SUM(ARRAYFORMULA(IFERROR(
  (VALUE(REGEXEXTRACT($J$58:$J$77,""^[+-]?[0-9]*\.?[0-9]+""))&lt;
   VALUE(REGEXEXTRACT(N$58:N$77,""^[+-]?[0-9]*\.?[0-9]+"")))*1,0)))"),"16/0/4")</f>
        <v>16/0/4</v>
      </c>
      <c r="O78" s="20" t="str">
        <f>IFERROR(__xludf.DUMMYFUNCTION("SUM(ARRAYFORMULA(IFERROR(
  (VALUE(REGEXEXTRACT($J$58:$J$77,""^[+-]?[0-9]*\.?[0-9]+""))&gt;
   VALUE(REGEXEXTRACT(O$58:O$77,""^[+-]?[0-9]*\.?[0-9]+"")))*1,0)))
&amp;""/""&amp;
SUM(ARRAYFORMULA(IFERROR(
  (VALUE(REGEXEXTRACT($J$58:$J$77,""^[+-]?[0-9]*\.?[0-9]+""))=
 "&amp;"  VALUE(REGEXEXTRACT(O$58:O$77,""^[+-]?[0-9]*\.?[0-9]+"")))*1,0)))
&amp;""/""&amp;
SUM(ARRAYFORMULA(IFERROR(
  (VALUE(REGEXEXTRACT($J$58:$J$77,""^[+-]?[0-9]*\.?[0-9]+""))&lt;
   VALUE(REGEXEXTRACT(O$58:O$77,""^[+-]?[0-9]*\.?[0-9]+"")))*1,0)))"),"15/0/5")</f>
        <v>15/0/5</v>
      </c>
      <c r="P78" s="20" t="str">
        <f>IFERROR(__xludf.DUMMYFUNCTION("SUM(ARRAYFORMULA(IFERROR(
  (VALUE(REGEXEXTRACT($J$58:$J$77,""^[+-]?[0-9]*\.?[0-9]+""))&gt;
   VALUE(REGEXEXTRACT(P$58:P$77,""^[+-]?[0-9]*\.?[0-9]+"")))*1,0)))
&amp;""/""&amp;
SUM(ARRAYFORMULA(IFERROR(
  (VALUE(REGEXEXTRACT($J$58:$J$77,""^[+-]?[0-9]*\.?[0-9]+""))=
 "&amp;"  VALUE(REGEXEXTRACT(P$58:P$77,""^[+-]?[0-9]*\.?[0-9]+"")))*1,0)))
&amp;""/""&amp;
SUM(ARRAYFORMULA(IFERROR(
  (VALUE(REGEXEXTRACT($J$58:$J$77,""^[+-]?[0-9]*\.?[0-9]+""))&lt;
   VALUE(REGEXEXTRACT(P$58:P$77,""^[+-]?[0-9]*\.?[0-9]+"")))*1,0)))"),"17/0/3")</f>
        <v>17/0/3</v>
      </c>
    </row>
    <row r="79">
      <c r="A79" s="6" t="s">
        <v>489</v>
      </c>
      <c r="B79" s="14" t="s">
        <v>1379</v>
      </c>
      <c r="C79" s="14" t="s">
        <v>1380</v>
      </c>
      <c r="D79" s="14" t="s">
        <v>1381</v>
      </c>
      <c r="E79" s="14" t="s">
        <v>1382</v>
      </c>
      <c r="F79" s="14" t="s">
        <v>1383</v>
      </c>
      <c r="G79" s="14" t="s">
        <v>1384</v>
      </c>
      <c r="H79" s="14" t="s">
        <v>1385</v>
      </c>
      <c r="I79" s="8" t="str">
        <f t="shared" si="4"/>
        <v>Average (%)</v>
      </c>
      <c r="J79" s="14">
        <f>IFERROR(__xludf.DUMMYFUNCTION("ROUND(AVERAGE(ARRAYFORMULA(IFERROR(VALUE(REGEXEXTRACT(J$58:J$77,""^[+-]?[0-9]*\.?[0-9]+"")),""""))),2)"),30.12)</f>
        <v>30.12</v>
      </c>
      <c r="K79" s="14">
        <f>IFERROR(__xludf.DUMMYFUNCTION("ROUND(AVERAGE(ARRAYFORMULA(IFERROR(VALUE(REGEXEXTRACT(K$58:K$77,""^[+-]?[0-9]*\.?[0-9]+"")),""""))),2)"),27.45)</f>
        <v>27.45</v>
      </c>
      <c r="L79" s="14">
        <f>IFERROR(__xludf.DUMMYFUNCTION("ROUND(AVERAGE(ARRAYFORMULA(IFERROR(VALUE(REGEXEXTRACT(L$58:L$77,""^[+-]?[0-9]*\.?[0-9]+"")),""""))),2)"),23.43)</f>
        <v>23.43</v>
      </c>
      <c r="M79" s="14">
        <f>IFERROR(__xludf.DUMMYFUNCTION("ROUND(AVERAGE(ARRAYFORMULA(IFERROR(VALUE(REGEXEXTRACT(M$58:M$77,""^[+-]?[0-9]*\.?[0-9]+"")),""""))),2)"),27.76)</f>
        <v>27.76</v>
      </c>
      <c r="N79" s="14">
        <f>IFERROR(__xludf.DUMMYFUNCTION("ROUND(AVERAGE(ARRAYFORMULA(IFERROR(VALUE(REGEXEXTRACT(N$58:N$77,""^[+-]?[0-9]*\.?[0-9]+"")),""""))),2)"),25.89)</f>
        <v>25.89</v>
      </c>
      <c r="O79" s="14">
        <f>IFERROR(__xludf.DUMMYFUNCTION("ROUND(AVERAGE(ARRAYFORMULA(IFERROR(VALUE(REGEXEXTRACT(O$58:O$77,""^[+-]?[0-9]*\.?[0-9]+"")),""""))),2)"),27.75)</f>
        <v>27.75</v>
      </c>
      <c r="P79" s="14">
        <f>IFERROR(__xludf.DUMMYFUNCTION("ROUND(AVERAGE(ARRAYFORMULA(IFERROR(VALUE(REGEXEXTRACT(P$58:P$77,""^[+-]?[0-9]*\.?[0-9]+"")),""""))),2)"),9.69)</f>
        <v>9.69</v>
      </c>
    </row>
    <row r="80">
      <c r="A80" s="6" t="s">
        <v>1334</v>
      </c>
      <c r="B80" s="14"/>
      <c r="C80" s="34" t="s">
        <v>1454</v>
      </c>
      <c r="D80" s="34" t="s">
        <v>1456</v>
      </c>
      <c r="E80" s="34" t="s">
        <v>1457</v>
      </c>
      <c r="F80" s="34" t="s">
        <v>1454</v>
      </c>
      <c r="G80" s="34" t="s">
        <v>1454</v>
      </c>
      <c r="H80" s="34" t="s">
        <v>1458</v>
      </c>
      <c r="I80" s="8" t="str">
        <f t="shared" si="4"/>
        <v>Overall W/T/L</v>
      </c>
      <c r="K80" s="34" t="str">
        <f>IFERROR(__xludf.DUMMYFUNCTION("SUM(ARRAYFORMULA(IFERROR(REGEXMATCH($A$3:$A$77,""→"")*(VALUE(REGEXEXTRACT($J$3:$J$77,""^[+-]?[0-9]*\.?[0-9]+""))&gt;VALUE(REGEXEXTRACT(K$3:K$77,""^[+-]?[0-9]*\.?[0-9]+""))),0)))
&amp;""/""&amp;
SUM(ARRAYFORMULA(IFERROR(REGEXMATCH($A$3:$A$77,""→"")*(VALUE(REGEXEXTRAC"&amp;"T($J$3:$J$77,""^[+-]?[0-9]*\.?[0-9]+""))=VALUE(REGEXEXTRACT(K$3:K$77,""^[+-]?[0-9]*\.?[0-9]+""))),0)))
&amp;""/""&amp;
SUM(ARRAYFORMULA(IFERROR(REGEXMATCH($A$3:$A$77,""→"")*(VALUE(REGEXEXTRACT($J$3:$J$77,""^[+-]?[0-9]*\.?[0-9]+""))&lt;VALUE(REGEXEXTRACT(K$3:K$77,""^"&amp;"[+-]?[0-9]*\.?[0-9]+""))),0)))"),"40/2/24")</f>
        <v>40/2/24</v>
      </c>
      <c r="L80" s="34" t="str">
        <f>IFERROR(__xludf.DUMMYFUNCTION("SUM(ARRAYFORMULA(IFERROR(REGEXMATCH($A$3:$A$77,""→"")*(VALUE(REGEXEXTRACT($J$3:$J$77,""^[+-]?[0-9]*\.?[0-9]+""))&gt;VALUE(REGEXEXTRACT(L$3:L$77,""^[+-]?[0-9]*\.?[0-9]+""))),0)))
&amp;""/""&amp;
SUM(ARRAYFORMULA(IFERROR(REGEXMATCH($A$3:$A$77,""→"")*(VALUE(REGEXEXTRAC"&amp;"T($J$3:$J$77,""^[+-]?[0-9]*\.?[0-9]+""))=VALUE(REGEXEXTRACT(L$3:L$77,""^[+-]?[0-9]*\.?[0-9]+""))),0)))
&amp;""/""&amp;
SUM(ARRAYFORMULA(IFERROR(REGEXMATCH($A$3:$A$77,""→"")*(VALUE(REGEXEXTRACT($J$3:$J$77,""^[+-]?[0-9]*\.?[0-9]+""))&lt;VALUE(REGEXEXTRACT(L$3:L$77,""^"&amp;"[+-]?[0-9]*\.?[0-9]+""))),0)))"),"56/0/10")</f>
        <v>56/0/10</v>
      </c>
      <c r="M80" s="34" t="str">
        <f>IFERROR(__xludf.DUMMYFUNCTION("SUM(ARRAYFORMULA(IFERROR(REGEXMATCH($A$3:$A$77,""→"")*(VALUE(REGEXEXTRACT($J$3:$J$77,""^[+-]?[0-9]*\.?[0-9]+""))&gt;VALUE(REGEXEXTRACT(M$3:M$77,""^[+-]?[0-9]*\.?[0-9]+""))),0)))
&amp;""/""&amp;
SUM(ARRAYFORMULA(IFERROR(REGEXMATCH($A$3:$A$77,""→"")*(VALUE(REGEXEXTRAC"&amp;"T($J$3:$J$77,""^[+-]?[0-9]*\.?[0-9]+""))=VALUE(REGEXEXTRACT(M$3:M$77,""^[+-]?[0-9]*\.?[0-9]+""))),0)))
&amp;""/""&amp;
SUM(ARRAYFORMULA(IFERROR(REGEXMATCH($A$3:$A$77,""→"")*(VALUE(REGEXEXTRACT($J$3:$J$77,""^[+-]?[0-9]*\.?[0-9]+""))&lt;VALUE(REGEXEXTRACT(M$3:M$77,""^"&amp;"[+-]?[0-9]*\.?[0-9]+""))),0)))"),"43/3/20")</f>
        <v>43/3/20</v>
      </c>
      <c r="N80" s="34" t="str">
        <f>IFERROR(__xludf.DUMMYFUNCTION("SUM(ARRAYFORMULA(IFERROR(REGEXMATCH($A$3:$A$77,""→"")*(VALUE(REGEXEXTRACT($J$3:$J$77,""^[+-]?[0-9]*\.?[0-9]+""))&gt;VALUE(REGEXEXTRACT(N$3:N$77,""^[+-]?[0-9]*\.?[0-9]+""))),0)))
&amp;""/""&amp;
SUM(ARRAYFORMULA(IFERROR(REGEXMATCH($A$3:$A$77,""→"")*(VALUE(REGEXEXTRAC"&amp;"T($J$3:$J$77,""^[+-]?[0-9]*\.?[0-9]+""))=VALUE(REGEXEXTRACT(N$3:N$77,""^[+-]?[0-9]*\.?[0-9]+""))),0)))
&amp;""/""&amp;
SUM(ARRAYFORMULA(IFERROR(REGEXMATCH($A$3:$A$77,""→"")*(VALUE(REGEXEXTRACT($J$3:$J$77,""^[+-]?[0-9]*\.?[0-9]+""))&lt;VALUE(REGEXEXTRACT(N$3:N$77,""^"&amp;"[+-]?[0-9]*\.?[0-9]+""))),0)))"),"40/2/24")</f>
        <v>40/2/24</v>
      </c>
      <c r="O80" s="34" t="str">
        <f>IFERROR(__xludf.DUMMYFUNCTION("SUM(ARRAYFORMULA(IFERROR(REGEXMATCH($A$3:$A$77,""→"")*(VALUE(REGEXEXTRACT($J$3:$J$77,""^[+-]?[0-9]*\.?[0-9]+""))&gt;VALUE(REGEXEXTRACT(O$3:O$77,""^[+-]?[0-9]*\.?[0-9]+""))),0)))
&amp;""/""&amp;
SUM(ARRAYFORMULA(IFERROR(REGEXMATCH($A$3:$A$77,""→"")*(VALUE(REGEXEXTRAC"&amp;"T($J$3:$J$77,""^[+-]?[0-9]*\.?[0-9]+""))=VALUE(REGEXEXTRACT(O$3:O$77,""^[+-]?[0-9]*\.?[0-9]+""))),0)))
&amp;""/""&amp;
SUM(ARRAYFORMULA(IFERROR(REGEXMATCH($A$3:$A$77,""→"")*(VALUE(REGEXEXTRACT($J$3:$J$77,""^[+-]?[0-9]*\.?[0-9]+""))&lt;VALUE(REGEXEXTRACT(O$3:O$77,""^"&amp;"[+-]?[0-9]*\.?[0-9]+""))),0)))"),"40/2/24")</f>
        <v>40/2/24</v>
      </c>
      <c r="P80" s="34" t="str">
        <f>IFERROR(__xludf.DUMMYFUNCTION("SUM(ARRAYFORMULA(IFERROR(REGEXMATCH($A$3:$A$77,""→"")*(VALUE(REGEXEXTRACT($J$3:$J$77,""^[+-]?[0-9]*\.?[0-9]+""))&gt;VALUE(REGEXEXTRACT(P$3:P$77,""^[+-]?[0-9]*\.?[0-9]+""))),0)))
&amp;""/""&amp;
SUM(ARRAYFORMULA(IFERROR(REGEXMATCH($A$3:$A$77,""→"")*(VALUE(REGEXEXTRAC"&amp;"T($J$3:$J$77,""^[+-]?[0-9]*\.?[0-9]+""))=VALUE(REGEXEXTRACT(P$3:P$77,""^[+-]?[0-9]*\.?[0-9]+""))),0)))
&amp;""/""&amp;
SUM(ARRAYFORMULA(IFERROR(REGEXMATCH($A$3:$A$77,""→"")*(VALUE(REGEXEXTRACT($J$3:$J$77,""^[+-]?[0-9]*\.?[0-9]+""))&lt;VALUE(REGEXEXTRACT(P$3:P$77,""^"&amp;"[+-]?[0-9]*\.?[0-9]+""))),0)))"),"45/2/19")</f>
        <v>45/2/19</v>
      </c>
    </row>
    <row r="81">
      <c r="A81" s="6" t="s">
        <v>1348</v>
      </c>
      <c r="B81" s="35">
        <v>27.32</v>
      </c>
      <c r="C81" s="35">
        <v>21.85</v>
      </c>
      <c r="D81" s="35">
        <v>12.96</v>
      </c>
      <c r="E81" s="35">
        <v>24.87</v>
      </c>
      <c r="F81" s="35">
        <v>24.82</v>
      </c>
      <c r="G81" s="35">
        <v>25.66</v>
      </c>
      <c r="H81" s="35">
        <v>16.07</v>
      </c>
      <c r="I81" s="8" t="str">
        <f t="shared" si="4"/>
        <v>Overall Average (%)</v>
      </c>
      <c r="J81" s="9">
        <f>IFERROR(__xludf.DUMMYFUNCTION("ROUND(AVERAGE(ARRAYFORMULA(IFERROR(VALUE(REGEXEXTRACT(FILTER(J$3:J$77,REGEXMATCH($A$3:$A$77,""→"")),""^[+-]?[0-9]*\.?[0-9]+"")),""""))),2)"),27.32)</f>
        <v>27.32</v>
      </c>
      <c r="K81" s="9">
        <f>IFERROR(__xludf.DUMMYFUNCTION("ROUND(AVERAGE(ARRAYFORMULA(IFERROR(VALUE(REGEXEXTRACT(FILTER(K$3:K$77,REGEXMATCH($A$3:$A$77,""→"")),""^[+-]?[0-9]*\.?[0-9]+"")),""""))),2)"),21.85)</f>
        <v>21.85</v>
      </c>
      <c r="L81" s="9">
        <f>IFERROR(__xludf.DUMMYFUNCTION("ROUND(AVERAGE(ARRAYFORMULA(IFERROR(VALUE(REGEXEXTRACT(FILTER(L$3:L$77,REGEXMATCH($A$3:$A$77,""→"")),""^[+-]?[0-9]*\.?[0-9]+"")),""""))),2)"),12.96)</f>
        <v>12.96</v>
      </c>
      <c r="M81" s="9">
        <f>IFERROR(__xludf.DUMMYFUNCTION("ROUND(AVERAGE(ARRAYFORMULA(IFERROR(VALUE(REGEXEXTRACT(FILTER(M$3:M$77,REGEXMATCH($A$3:$A$77,""→"")),""^[+-]?[0-9]*\.?[0-9]+"")),""""))),2)"),24.87)</f>
        <v>24.87</v>
      </c>
      <c r="N81" s="9">
        <f>IFERROR(__xludf.DUMMYFUNCTION("ROUND(AVERAGE(ARRAYFORMULA(IFERROR(VALUE(REGEXEXTRACT(FILTER(N$3:N$77,REGEXMATCH($A$3:$A$77,""→"")),""^[+-]?[0-9]*\.?[0-9]+"")),""""))),2)"),24.82)</f>
        <v>24.82</v>
      </c>
      <c r="O81" s="9">
        <f>IFERROR(__xludf.DUMMYFUNCTION("ROUND(AVERAGE(ARRAYFORMULA(IFERROR(VALUE(REGEXEXTRACT(FILTER(O$3:O$77,REGEXMATCH($A$3:$A$77,""→"")),""^[+-]?[0-9]*\.?[0-9]+"")),""""))),2)"),25.66)</f>
        <v>25.66</v>
      </c>
      <c r="P81" s="9">
        <f>IFERROR(__xludf.DUMMYFUNCTION("ROUND(AVERAGE(ARRAYFORMULA(IFERROR(VALUE(REGEXEXTRACT(FILTER(P$3:P$77,REGEXMATCH($A$3:$A$77,""→"")),""^[+-]?[0-9]*\.?[0-9]+"")),""""))),2)"),16.07)</f>
        <v>16.07</v>
      </c>
    </row>
    <row r="82">
      <c r="A82" s="31"/>
      <c r="B82" s="36"/>
      <c r="C82" s="37"/>
      <c r="D82" s="37"/>
      <c r="E82" s="37"/>
      <c r="F82" s="37"/>
      <c r="G82" s="37"/>
      <c r="H82" s="37"/>
      <c r="I82" s="38"/>
    </row>
    <row r="83">
      <c r="A83" s="10"/>
      <c r="I83" s="38"/>
    </row>
    <row r="84">
      <c r="A84" s="10"/>
      <c r="I84" s="10"/>
    </row>
    <row r="85">
      <c r="A85" s="10"/>
      <c r="I85" s="10"/>
    </row>
    <row r="86">
      <c r="A86" s="10"/>
      <c r="I86" s="10"/>
    </row>
    <row r="87">
      <c r="A87" s="10"/>
      <c r="I87" s="10"/>
    </row>
    <row r="88">
      <c r="A88" s="10"/>
      <c r="I88" s="10"/>
    </row>
    <row r="89">
      <c r="A89" s="10"/>
      <c r="I89" s="10"/>
    </row>
    <row r="90">
      <c r="A90" s="10"/>
      <c r="I90" s="10"/>
    </row>
    <row r="91">
      <c r="A91" s="10"/>
      <c r="I91" s="10"/>
    </row>
    <row r="92">
      <c r="A92" s="10"/>
      <c r="I92" s="10"/>
    </row>
    <row r="93">
      <c r="A93" s="10"/>
      <c r="I93" s="10"/>
    </row>
    <row r="94">
      <c r="A94" s="10"/>
      <c r="I94" s="10"/>
    </row>
    <row r="95">
      <c r="A95" s="10"/>
      <c r="I95" s="10"/>
    </row>
    <row r="96">
      <c r="A96" s="10"/>
      <c r="I96" s="10"/>
    </row>
    <row r="97">
      <c r="A97" s="10"/>
      <c r="I97" s="10"/>
    </row>
    <row r="98">
      <c r="A98" s="10"/>
      <c r="I98" s="10"/>
    </row>
    <row r="99">
      <c r="A99" s="10"/>
      <c r="I99" s="10"/>
    </row>
    <row r="100">
      <c r="A100" s="10"/>
      <c r="I100" s="10"/>
    </row>
    <row r="101">
      <c r="A101" s="10"/>
      <c r="I101" s="10"/>
    </row>
    <row r="102">
      <c r="A102" s="10"/>
      <c r="I102" s="10"/>
    </row>
    <row r="103">
      <c r="A103" s="10"/>
      <c r="I103" s="10"/>
    </row>
    <row r="104">
      <c r="A104" s="10"/>
      <c r="I104" s="10"/>
    </row>
    <row r="105">
      <c r="A105" s="10"/>
      <c r="I105" s="10"/>
    </row>
    <row r="106">
      <c r="A106" s="10"/>
      <c r="I106" s="10"/>
    </row>
    <row r="107">
      <c r="A107" s="10"/>
      <c r="I107" s="10"/>
    </row>
    <row r="108">
      <c r="A108" s="10"/>
      <c r="I108" s="10"/>
    </row>
    <row r="109">
      <c r="A109" s="10"/>
      <c r="I109" s="10"/>
    </row>
    <row r="110">
      <c r="A110" s="10"/>
      <c r="I110" s="10"/>
    </row>
    <row r="111">
      <c r="A111" s="10"/>
      <c r="I111" s="10"/>
    </row>
    <row r="112">
      <c r="A112" s="10"/>
      <c r="I112" s="10"/>
    </row>
    <row r="113">
      <c r="A113" s="10"/>
      <c r="I113" s="10"/>
    </row>
    <row r="114">
      <c r="A114" s="10"/>
      <c r="I114" s="10"/>
    </row>
    <row r="115">
      <c r="A115" s="10"/>
      <c r="I115" s="10"/>
    </row>
    <row r="116">
      <c r="A116" s="10"/>
      <c r="I116" s="10"/>
    </row>
    <row r="117">
      <c r="A117" s="10"/>
      <c r="I117" s="10"/>
    </row>
    <row r="118">
      <c r="A118" s="10"/>
      <c r="I118" s="10"/>
    </row>
    <row r="119">
      <c r="A119" s="10"/>
      <c r="I119" s="10"/>
    </row>
    <row r="120">
      <c r="A120" s="10"/>
      <c r="I120" s="10"/>
    </row>
    <row r="121">
      <c r="A121" s="10"/>
      <c r="I121" s="10"/>
    </row>
    <row r="122">
      <c r="A122" s="10"/>
      <c r="I122" s="10"/>
    </row>
    <row r="123">
      <c r="A123" s="10"/>
      <c r="I123" s="10"/>
    </row>
    <row r="124">
      <c r="A124" s="10"/>
      <c r="I124" s="10"/>
    </row>
    <row r="125">
      <c r="A125" s="10"/>
      <c r="I125" s="10"/>
    </row>
    <row r="126">
      <c r="A126" s="10"/>
      <c r="I126" s="10"/>
    </row>
    <row r="127">
      <c r="A127" s="10"/>
      <c r="I127" s="10"/>
    </row>
    <row r="128">
      <c r="A128" s="10"/>
      <c r="I128" s="10"/>
    </row>
    <row r="129">
      <c r="A129" s="10"/>
      <c r="I129" s="10"/>
    </row>
    <row r="130">
      <c r="A130" s="10"/>
      <c r="I130" s="10"/>
    </row>
    <row r="131">
      <c r="A131" s="10"/>
      <c r="I131" s="10"/>
    </row>
    <row r="132">
      <c r="A132" s="10"/>
      <c r="I132" s="10"/>
    </row>
    <row r="133">
      <c r="A133" s="10"/>
      <c r="I133" s="10"/>
    </row>
    <row r="134">
      <c r="A134" s="10"/>
      <c r="I134" s="10"/>
    </row>
    <row r="135">
      <c r="A135" s="10"/>
      <c r="I135" s="10"/>
    </row>
    <row r="136">
      <c r="A136" s="10"/>
      <c r="I136" s="10"/>
    </row>
    <row r="137">
      <c r="A137" s="10"/>
      <c r="I137" s="10"/>
    </row>
    <row r="138">
      <c r="A138" s="10"/>
      <c r="I138" s="10"/>
    </row>
    <row r="139">
      <c r="A139" s="10"/>
      <c r="I139" s="10"/>
    </row>
    <row r="140">
      <c r="A140" s="10"/>
      <c r="I140" s="10"/>
    </row>
    <row r="141">
      <c r="A141" s="10"/>
      <c r="I141" s="10"/>
    </row>
    <row r="142">
      <c r="A142" s="10"/>
      <c r="I142" s="10"/>
    </row>
    <row r="143">
      <c r="A143" s="10"/>
      <c r="I143" s="10"/>
    </row>
    <row r="144">
      <c r="A144" s="10"/>
      <c r="I144" s="10"/>
    </row>
    <row r="145">
      <c r="A145" s="10"/>
      <c r="I145" s="10"/>
    </row>
    <row r="146">
      <c r="A146" s="10"/>
      <c r="I146" s="10"/>
    </row>
    <row r="147">
      <c r="A147" s="10"/>
      <c r="I147" s="10"/>
    </row>
    <row r="148">
      <c r="A148" s="10"/>
      <c r="I148" s="10"/>
    </row>
    <row r="149">
      <c r="A149" s="10"/>
      <c r="I149" s="10"/>
    </row>
    <row r="150">
      <c r="A150" s="10"/>
      <c r="I150" s="10"/>
    </row>
    <row r="151">
      <c r="A151" s="10"/>
      <c r="I151" s="10"/>
    </row>
    <row r="152">
      <c r="A152" s="10"/>
      <c r="I152" s="10"/>
    </row>
    <row r="153">
      <c r="A153" s="10"/>
      <c r="I153" s="10"/>
    </row>
    <row r="154">
      <c r="A154" s="10"/>
      <c r="I154" s="10"/>
    </row>
    <row r="155">
      <c r="A155" s="10"/>
      <c r="I155" s="10"/>
    </row>
    <row r="156">
      <c r="A156" s="10"/>
      <c r="I156" s="10"/>
    </row>
    <row r="157">
      <c r="A157" s="10"/>
      <c r="I157" s="10"/>
    </row>
    <row r="158">
      <c r="A158" s="10"/>
      <c r="I158" s="10"/>
    </row>
    <row r="159">
      <c r="A159" s="10"/>
      <c r="I159" s="10"/>
    </row>
    <row r="160">
      <c r="A160" s="10"/>
      <c r="I160" s="10"/>
    </row>
    <row r="161">
      <c r="A161" s="10"/>
      <c r="I161" s="10"/>
    </row>
    <row r="162">
      <c r="A162" s="10"/>
      <c r="I162" s="10"/>
    </row>
    <row r="163">
      <c r="A163" s="10"/>
      <c r="I163" s="10"/>
    </row>
    <row r="164">
      <c r="A164" s="10"/>
      <c r="I164" s="10"/>
    </row>
    <row r="165">
      <c r="A165" s="10"/>
      <c r="I165" s="10"/>
    </row>
    <row r="166">
      <c r="A166" s="10"/>
      <c r="I166" s="10"/>
    </row>
    <row r="167">
      <c r="A167" s="10"/>
      <c r="I167" s="10"/>
    </row>
    <row r="168">
      <c r="A168" s="10"/>
      <c r="I168" s="10"/>
    </row>
    <row r="169">
      <c r="A169" s="10"/>
      <c r="I169" s="10"/>
    </row>
    <row r="170">
      <c r="A170" s="10"/>
      <c r="I170" s="10"/>
    </row>
    <row r="171">
      <c r="A171" s="10"/>
      <c r="I171" s="10"/>
    </row>
    <row r="172">
      <c r="A172" s="10"/>
      <c r="I172" s="10"/>
    </row>
    <row r="173">
      <c r="A173" s="10"/>
      <c r="I173" s="10"/>
    </row>
    <row r="174">
      <c r="A174" s="10"/>
      <c r="I174" s="10"/>
    </row>
    <row r="175">
      <c r="A175" s="10"/>
      <c r="I175" s="10"/>
    </row>
    <row r="176">
      <c r="A176" s="10"/>
      <c r="I176" s="10"/>
    </row>
    <row r="177">
      <c r="A177" s="10"/>
      <c r="I177" s="10"/>
    </row>
    <row r="178">
      <c r="A178" s="10"/>
      <c r="I178" s="10"/>
    </row>
    <row r="179">
      <c r="A179" s="10"/>
      <c r="I179" s="10"/>
    </row>
    <row r="180">
      <c r="A180" s="10"/>
      <c r="I180" s="10"/>
    </row>
    <row r="181">
      <c r="A181" s="10"/>
      <c r="I181" s="10"/>
    </row>
    <row r="182">
      <c r="A182" s="10"/>
      <c r="I182" s="10"/>
    </row>
    <row r="183">
      <c r="A183" s="10"/>
      <c r="I183" s="10"/>
    </row>
    <row r="184">
      <c r="A184" s="10"/>
      <c r="I184" s="10"/>
    </row>
    <row r="185">
      <c r="A185" s="10"/>
      <c r="I185" s="10"/>
    </row>
    <row r="186">
      <c r="A186" s="10"/>
      <c r="I186" s="10"/>
    </row>
    <row r="187">
      <c r="A187" s="10"/>
      <c r="I187" s="10"/>
    </row>
    <row r="188">
      <c r="A188" s="10"/>
      <c r="I188" s="10"/>
    </row>
    <row r="189">
      <c r="A189" s="10"/>
      <c r="I189" s="10"/>
    </row>
    <row r="190">
      <c r="A190" s="10"/>
      <c r="I190" s="10"/>
    </row>
    <row r="191">
      <c r="A191" s="10"/>
      <c r="I191" s="10"/>
    </row>
    <row r="192">
      <c r="A192" s="10"/>
      <c r="I192" s="10"/>
    </row>
    <row r="193">
      <c r="A193" s="10"/>
      <c r="I193" s="10"/>
    </row>
    <row r="194">
      <c r="A194" s="10"/>
      <c r="I194" s="10"/>
    </row>
    <row r="195">
      <c r="A195" s="10"/>
      <c r="I195" s="10"/>
    </row>
    <row r="196">
      <c r="A196" s="10"/>
      <c r="I196" s="10"/>
    </row>
    <row r="197">
      <c r="A197" s="10"/>
      <c r="I197" s="10"/>
    </row>
    <row r="198">
      <c r="A198" s="10"/>
      <c r="I198" s="10"/>
    </row>
    <row r="199">
      <c r="A199" s="10"/>
      <c r="I199" s="10"/>
    </row>
    <row r="200">
      <c r="A200" s="10"/>
      <c r="I200" s="10"/>
    </row>
    <row r="201">
      <c r="A201" s="10"/>
      <c r="I201" s="10"/>
    </row>
    <row r="202">
      <c r="A202" s="10"/>
      <c r="I202" s="10"/>
    </row>
    <row r="203">
      <c r="A203" s="10"/>
      <c r="I203" s="10"/>
    </row>
    <row r="204">
      <c r="A204" s="10"/>
      <c r="I204" s="10"/>
    </row>
    <row r="205">
      <c r="A205" s="10"/>
      <c r="I205" s="10"/>
    </row>
    <row r="206">
      <c r="A206" s="10"/>
      <c r="I206" s="10"/>
    </row>
    <row r="207">
      <c r="A207" s="10"/>
      <c r="I207" s="10"/>
    </row>
    <row r="208">
      <c r="A208" s="10"/>
      <c r="I208" s="10"/>
    </row>
    <row r="209">
      <c r="A209" s="10"/>
      <c r="I209" s="10"/>
    </row>
    <row r="210">
      <c r="A210" s="10"/>
      <c r="I210" s="10"/>
    </row>
    <row r="211">
      <c r="A211" s="10"/>
      <c r="I211" s="10"/>
    </row>
    <row r="212">
      <c r="A212" s="10"/>
      <c r="I212" s="10"/>
    </row>
    <row r="213">
      <c r="A213" s="10"/>
      <c r="I213" s="10"/>
    </row>
    <row r="214">
      <c r="A214" s="10"/>
      <c r="I214" s="10"/>
    </row>
    <row r="215">
      <c r="A215" s="10"/>
      <c r="I215" s="10"/>
    </row>
    <row r="216">
      <c r="A216" s="10"/>
      <c r="I216" s="10"/>
    </row>
    <row r="217">
      <c r="A217" s="10"/>
      <c r="I217" s="10"/>
    </row>
    <row r="218">
      <c r="A218" s="10"/>
      <c r="I218" s="10"/>
    </row>
    <row r="219">
      <c r="A219" s="10"/>
      <c r="I219" s="10"/>
    </row>
    <row r="220">
      <c r="A220" s="10"/>
      <c r="I220" s="10"/>
    </row>
    <row r="221">
      <c r="A221" s="10"/>
      <c r="I221" s="10"/>
    </row>
    <row r="222">
      <c r="A222" s="10"/>
      <c r="I222" s="10"/>
    </row>
    <row r="223">
      <c r="A223" s="10"/>
      <c r="I223" s="10"/>
    </row>
    <row r="224">
      <c r="A224" s="10"/>
      <c r="I224" s="10"/>
    </row>
    <row r="225">
      <c r="A225" s="10"/>
      <c r="I225" s="10"/>
    </row>
    <row r="226">
      <c r="A226" s="10"/>
      <c r="I226" s="10"/>
    </row>
    <row r="227">
      <c r="A227" s="10"/>
      <c r="I227" s="10"/>
    </row>
    <row r="228">
      <c r="A228" s="10"/>
      <c r="I228" s="10"/>
    </row>
    <row r="229">
      <c r="A229" s="10"/>
      <c r="I229" s="10"/>
    </row>
    <row r="230">
      <c r="A230" s="10"/>
      <c r="I230" s="10"/>
    </row>
    <row r="231">
      <c r="A231" s="10"/>
      <c r="I231" s="10"/>
    </row>
    <row r="232">
      <c r="A232" s="10"/>
      <c r="I232" s="10"/>
    </row>
    <row r="233">
      <c r="A233" s="10"/>
      <c r="I233" s="10"/>
    </row>
    <row r="234">
      <c r="A234" s="10"/>
      <c r="I234" s="10"/>
    </row>
    <row r="235">
      <c r="A235" s="10"/>
      <c r="I235" s="10"/>
    </row>
    <row r="236">
      <c r="A236" s="10"/>
      <c r="I236" s="10"/>
    </row>
    <row r="237">
      <c r="A237" s="10"/>
      <c r="I237" s="10"/>
    </row>
    <row r="238">
      <c r="A238" s="10"/>
      <c r="I238" s="10"/>
    </row>
    <row r="239">
      <c r="A239" s="10"/>
      <c r="I239" s="10"/>
    </row>
    <row r="240">
      <c r="A240" s="10"/>
      <c r="I240" s="10"/>
    </row>
    <row r="241">
      <c r="A241" s="10"/>
      <c r="I241" s="10"/>
    </row>
    <row r="242">
      <c r="A242" s="10"/>
      <c r="I242" s="10"/>
    </row>
    <row r="243">
      <c r="A243" s="10"/>
      <c r="I243" s="10"/>
    </row>
    <row r="244">
      <c r="A244" s="10"/>
      <c r="I244" s="10"/>
    </row>
    <row r="245">
      <c r="A245" s="10"/>
      <c r="I245" s="10"/>
    </row>
    <row r="246">
      <c r="A246" s="10"/>
      <c r="I246" s="10"/>
    </row>
    <row r="247">
      <c r="A247" s="10"/>
      <c r="I247" s="10"/>
    </row>
    <row r="248">
      <c r="A248" s="10"/>
      <c r="I248" s="10"/>
    </row>
    <row r="249">
      <c r="A249" s="10"/>
      <c r="I249" s="10"/>
    </row>
    <row r="250">
      <c r="A250" s="10"/>
      <c r="I250" s="10"/>
    </row>
    <row r="251">
      <c r="A251" s="10"/>
      <c r="I251" s="10"/>
    </row>
    <row r="252">
      <c r="A252" s="10"/>
      <c r="I252" s="10"/>
    </row>
    <row r="253">
      <c r="A253" s="10"/>
      <c r="I253" s="10"/>
    </row>
    <row r="254">
      <c r="A254" s="10"/>
      <c r="I254" s="10"/>
    </row>
    <row r="255">
      <c r="A255" s="10"/>
      <c r="I255" s="10"/>
    </row>
    <row r="256">
      <c r="A256" s="10"/>
      <c r="I256" s="10"/>
    </row>
    <row r="257">
      <c r="A257" s="10"/>
      <c r="I257" s="10"/>
    </row>
    <row r="258">
      <c r="A258" s="10"/>
      <c r="I258" s="10"/>
    </row>
    <row r="259">
      <c r="A259" s="10"/>
      <c r="I259" s="10"/>
    </row>
    <row r="260">
      <c r="A260" s="10"/>
      <c r="I260" s="10"/>
    </row>
    <row r="261">
      <c r="A261" s="10"/>
      <c r="I261" s="10"/>
    </row>
    <row r="262">
      <c r="A262" s="10"/>
      <c r="I262" s="10"/>
    </row>
    <row r="263">
      <c r="A263" s="10"/>
      <c r="I263" s="10"/>
    </row>
    <row r="264">
      <c r="A264" s="10"/>
      <c r="I264" s="10"/>
    </row>
    <row r="265">
      <c r="A265" s="10"/>
      <c r="I265" s="10"/>
    </row>
    <row r="266">
      <c r="A266" s="10"/>
      <c r="I266" s="10"/>
    </row>
    <row r="267">
      <c r="A267" s="10"/>
      <c r="I267" s="10"/>
    </row>
    <row r="268">
      <c r="A268" s="10"/>
      <c r="I268" s="10"/>
    </row>
    <row r="269">
      <c r="A269" s="10"/>
      <c r="I269" s="10"/>
    </row>
    <row r="270">
      <c r="A270" s="10"/>
      <c r="I270" s="10"/>
    </row>
    <row r="271">
      <c r="A271" s="10"/>
      <c r="I271" s="10"/>
    </row>
    <row r="272">
      <c r="A272" s="10"/>
      <c r="I272" s="10"/>
    </row>
    <row r="273">
      <c r="A273" s="10"/>
      <c r="I273" s="10"/>
    </row>
    <row r="274">
      <c r="A274" s="10"/>
      <c r="I274" s="10"/>
    </row>
    <row r="275">
      <c r="A275" s="10"/>
      <c r="I275" s="10"/>
    </row>
    <row r="276">
      <c r="A276" s="10"/>
      <c r="I276" s="10"/>
    </row>
    <row r="277">
      <c r="A277" s="10"/>
      <c r="I277" s="10"/>
    </row>
    <row r="278">
      <c r="A278" s="10"/>
      <c r="I278" s="10"/>
    </row>
    <row r="279">
      <c r="A279" s="10"/>
      <c r="I279" s="10"/>
    </row>
    <row r="280">
      <c r="A280" s="10"/>
      <c r="I280" s="10"/>
    </row>
    <row r="281">
      <c r="A281" s="10"/>
      <c r="I281" s="10"/>
    </row>
    <row r="282">
      <c r="A282" s="10"/>
      <c r="I282" s="10"/>
    </row>
    <row r="283">
      <c r="A283" s="10"/>
      <c r="I283" s="10"/>
    </row>
    <row r="284">
      <c r="A284" s="10"/>
      <c r="I284" s="10"/>
    </row>
    <row r="285">
      <c r="A285" s="10"/>
      <c r="I285" s="10"/>
    </row>
    <row r="286">
      <c r="A286" s="10"/>
      <c r="I286" s="10"/>
    </row>
    <row r="287">
      <c r="A287" s="10"/>
      <c r="I287" s="10"/>
    </row>
    <row r="288">
      <c r="A288" s="10"/>
      <c r="I288" s="10"/>
    </row>
    <row r="289">
      <c r="A289" s="10"/>
      <c r="I289" s="10"/>
    </row>
    <row r="290">
      <c r="A290" s="10"/>
      <c r="I290" s="10"/>
    </row>
    <row r="291">
      <c r="A291" s="10"/>
      <c r="I291" s="10"/>
    </row>
    <row r="292">
      <c r="A292" s="10"/>
      <c r="I292" s="10"/>
    </row>
    <row r="293">
      <c r="A293" s="10"/>
      <c r="I293" s="10"/>
    </row>
    <row r="294">
      <c r="A294" s="10"/>
      <c r="I294" s="10"/>
    </row>
    <row r="295">
      <c r="A295" s="10"/>
      <c r="I295" s="10"/>
    </row>
    <row r="296">
      <c r="A296" s="10"/>
      <c r="I296" s="10"/>
    </row>
    <row r="297">
      <c r="A297" s="10"/>
      <c r="I297" s="10"/>
    </row>
    <row r="298">
      <c r="A298" s="10"/>
      <c r="I298" s="10"/>
    </row>
    <row r="299">
      <c r="A299" s="10"/>
      <c r="I299" s="10"/>
    </row>
    <row r="300">
      <c r="A300" s="10"/>
      <c r="I300" s="10"/>
    </row>
    <row r="301">
      <c r="A301" s="10"/>
      <c r="I301" s="10"/>
    </row>
    <row r="302">
      <c r="A302" s="10"/>
      <c r="I302" s="10"/>
    </row>
    <row r="303">
      <c r="A303" s="10"/>
      <c r="I303" s="10"/>
    </row>
    <row r="304">
      <c r="A304" s="10"/>
      <c r="I304" s="10"/>
    </row>
    <row r="305">
      <c r="A305" s="10"/>
      <c r="I305" s="10"/>
    </row>
    <row r="306">
      <c r="A306" s="10"/>
      <c r="I306" s="10"/>
    </row>
    <row r="307">
      <c r="A307" s="10"/>
      <c r="I307" s="10"/>
    </row>
    <row r="308">
      <c r="A308" s="10"/>
      <c r="I308" s="10"/>
    </row>
    <row r="309">
      <c r="A309" s="10"/>
      <c r="I309" s="10"/>
    </row>
    <row r="310">
      <c r="A310" s="10"/>
      <c r="I310" s="10"/>
    </row>
    <row r="311">
      <c r="A311" s="10"/>
      <c r="I311" s="10"/>
    </row>
    <row r="312">
      <c r="A312" s="10"/>
      <c r="I312" s="10"/>
    </row>
    <row r="313">
      <c r="A313" s="10"/>
      <c r="I313" s="10"/>
    </row>
    <row r="314">
      <c r="A314" s="10"/>
      <c r="I314" s="10"/>
    </row>
    <row r="315">
      <c r="A315" s="10"/>
      <c r="I315" s="10"/>
    </row>
    <row r="316">
      <c r="A316" s="10"/>
      <c r="I316" s="10"/>
    </row>
    <row r="317">
      <c r="A317" s="10"/>
      <c r="I317" s="10"/>
    </row>
    <row r="318">
      <c r="A318" s="10"/>
      <c r="I318" s="10"/>
    </row>
    <row r="319">
      <c r="A319" s="10"/>
      <c r="I319" s="10"/>
    </row>
    <row r="320">
      <c r="A320" s="10"/>
      <c r="I320" s="10"/>
    </row>
    <row r="321">
      <c r="A321" s="10"/>
      <c r="I321" s="10"/>
    </row>
    <row r="322">
      <c r="A322" s="10"/>
      <c r="I322" s="10"/>
    </row>
    <row r="323">
      <c r="A323" s="10"/>
      <c r="I323" s="10"/>
    </row>
    <row r="324">
      <c r="A324" s="10"/>
      <c r="I324" s="10"/>
    </row>
    <row r="325">
      <c r="A325" s="10"/>
      <c r="I325" s="10"/>
    </row>
    <row r="326">
      <c r="A326" s="10"/>
      <c r="I326" s="10"/>
    </row>
    <row r="327">
      <c r="A327" s="10"/>
      <c r="I327" s="10"/>
    </row>
    <row r="328">
      <c r="A328" s="10"/>
      <c r="I328" s="10"/>
    </row>
    <row r="329">
      <c r="A329" s="10"/>
      <c r="I329" s="10"/>
    </row>
    <row r="330">
      <c r="A330" s="10"/>
      <c r="I330" s="10"/>
    </row>
    <row r="331">
      <c r="A331" s="10"/>
      <c r="I331" s="10"/>
    </row>
    <row r="332">
      <c r="A332" s="10"/>
      <c r="I332" s="10"/>
    </row>
    <row r="333">
      <c r="A333" s="10"/>
      <c r="I333" s="10"/>
    </row>
    <row r="334">
      <c r="A334" s="10"/>
      <c r="I334" s="10"/>
    </row>
    <row r="335">
      <c r="A335" s="10"/>
      <c r="I335" s="10"/>
    </row>
    <row r="336">
      <c r="A336" s="10"/>
      <c r="I336" s="10"/>
    </row>
    <row r="337">
      <c r="A337" s="10"/>
      <c r="I337" s="10"/>
    </row>
    <row r="338">
      <c r="A338" s="10"/>
      <c r="I338" s="10"/>
    </row>
    <row r="339">
      <c r="A339" s="10"/>
      <c r="I339" s="10"/>
    </row>
    <row r="340">
      <c r="A340" s="10"/>
      <c r="I340" s="10"/>
    </row>
    <row r="341">
      <c r="A341" s="10"/>
      <c r="I341" s="10"/>
    </row>
    <row r="342">
      <c r="A342" s="10"/>
      <c r="I342" s="10"/>
    </row>
    <row r="343">
      <c r="A343" s="10"/>
      <c r="I343" s="10"/>
    </row>
    <row r="344">
      <c r="A344" s="10"/>
      <c r="I344" s="10"/>
    </row>
    <row r="345">
      <c r="A345" s="10"/>
      <c r="I345" s="10"/>
    </row>
    <row r="346">
      <c r="A346" s="10"/>
      <c r="I346" s="10"/>
    </row>
    <row r="347">
      <c r="A347" s="10"/>
      <c r="I347" s="10"/>
    </row>
    <row r="348">
      <c r="A348" s="10"/>
      <c r="I348" s="10"/>
    </row>
    <row r="349">
      <c r="A349" s="10"/>
      <c r="I349" s="10"/>
    </row>
    <row r="350">
      <c r="A350" s="10"/>
      <c r="I350" s="10"/>
    </row>
    <row r="351">
      <c r="A351" s="10"/>
      <c r="I351" s="10"/>
    </row>
    <row r="352">
      <c r="A352" s="10"/>
      <c r="I352" s="10"/>
    </row>
    <row r="353">
      <c r="A353" s="10"/>
      <c r="I353" s="10"/>
    </row>
    <row r="354">
      <c r="A354" s="10"/>
      <c r="I354" s="10"/>
    </row>
    <row r="355">
      <c r="A355" s="10"/>
      <c r="I355" s="10"/>
    </row>
    <row r="356">
      <c r="A356" s="10"/>
      <c r="I356" s="10"/>
    </row>
    <row r="357">
      <c r="A357" s="10"/>
      <c r="I357" s="10"/>
    </row>
    <row r="358">
      <c r="A358" s="10"/>
      <c r="I358" s="10"/>
    </row>
    <row r="359">
      <c r="A359" s="10"/>
      <c r="I359" s="10"/>
    </row>
    <row r="360">
      <c r="A360" s="10"/>
      <c r="I360" s="10"/>
    </row>
    <row r="361">
      <c r="A361" s="10"/>
      <c r="I361" s="10"/>
    </row>
    <row r="362">
      <c r="A362" s="10"/>
      <c r="I362" s="10"/>
    </row>
    <row r="363">
      <c r="A363" s="10"/>
      <c r="I363" s="10"/>
    </row>
    <row r="364">
      <c r="A364" s="10"/>
      <c r="I364" s="10"/>
    </row>
    <row r="365">
      <c r="A365" s="10"/>
      <c r="I365" s="10"/>
    </row>
    <row r="366">
      <c r="A366" s="10"/>
      <c r="I366" s="10"/>
    </row>
    <row r="367">
      <c r="A367" s="10"/>
      <c r="I367" s="10"/>
    </row>
    <row r="368">
      <c r="A368" s="10"/>
      <c r="I368" s="10"/>
    </row>
    <row r="369">
      <c r="A369" s="10"/>
      <c r="I369" s="10"/>
    </row>
    <row r="370">
      <c r="A370" s="10"/>
      <c r="I370" s="10"/>
    </row>
    <row r="371">
      <c r="A371" s="10"/>
      <c r="I371" s="10"/>
    </row>
    <row r="372">
      <c r="A372" s="10"/>
      <c r="I372" s="10"/>
    </row>
    <row r="373">
      <c r="A373" s="10"/>
      <c r="I373" s="10"/>
    </row>
    <row r="374">
      <c r="A374" s="10"/>
      <c r="I374" s="10"/>
    </row>
    <row r="375">
      <c r="A375" s="10"/>
      <c r="I375" s="10"/>
    </row>
    <row r="376">
      <c r="A376" s="10"/>
      <c r="I376" s="10"/>
    </row>
    <row r="377">
      <c r="A377" s="10"/>
      <c r="I377" s="10"/>
    </row>
    <row r="378">
      <c r="A378" s="10"/>
      <c r="I378" s="10"/>
    </row>
    <row r="379">
      <c r="A379" s="10"/>
      <c r="I379" s="10"/>
    </row>
    <row r="380">
      <c r="A380" s="10"/>
      <c r="I380" s="10"/>
    </row>
    <row r="381">
      <c r="A381" s="10"/>
      <c r="I381" s="10"/>
    </row>
    <row r="382">
      <c r="A382" s="10"/>
      <c r="I382" s="10"/>
    </row>
    <row r="383">
      <c r="A383" s="10"/>
      <c r="I383" s="10"/>
    </row>
    <row r="384">
      <c r="A384" s="10"/>
      <c r="I384" s="10"/>
    </row>
    <row r="385">
      <c r="A385" s="10"/>
      <c r="I385" s="10"/>
    </row>
    <row r="386">
      <c r="A386" s="10"/>
      <c r="I386" s="10"/>
    </row>
    <row r="387">
      <c r="A387" s="10"/>
      <c r="I387" s="10"/>
    </row>
    <row r="388">
      <c r="A388" s="10"/>
      <c r="I388" s="10"/>
    </row>
    <row r="389">
      <c r="A389" s="10"/>
      <c r="I389" s="10"/>
    </row>
    <row r="390">
      <c r="A390" s="10"/>
      <c r="I390" s="10"/>
    </row>
    <row r="391">
      <c r="A391" s="10"/>
      <c r="I391" s="10"/>
    </row>
    <row r="392">
      <c r="A392" s="10"/>
      <c r="I392" s="10"/>
    </row>
    <row r="393">
      <c r="A393" s="10"/>
      <c r="I393" s="10"/>
    </row>
    <row r="394">
      <c r="A394" s="10"/>
      <c r="I394" s="10"/>
    </row>
    <row r="395">
      <c r="A395" s="10"/>
      <c r="I395" s="10"/>
    </row>
    <row r="396">
      <c r="A396" s="10"/>
      <c r="I396" s="10"/>
    </row>
    <row r="397">
      <c r="A397" s="10"/>
      <c r="I397" s="10"/>
    </row>
    <row r="398">
      <c r="A398" s="10"/>
      <c r="I398" s="10"/>
    </row>
    <row r="399">
      <c r="A399" s="10"/>
      <c r="I399" s="10"/>
    </row>
    <row r="400">
      <c r="A400" s="10"/>
      <c r="I400" s="10"/>
    </row>
    <row r="401">
      <c r="A401" s="10"/>
      <c r="I401" s="10"/>
    </row>
    <row r="402">
      <c r="A402" s="10"/>
      <c r="I402" s="10"/>
    </row>
    <row r="403">
      <c r="A403" s="10"/>
      <c r="I403" s="10"/>
    </row>
    <row r="404">
      <c r="A404" s="10"/>
      <c r="I404" s="10"/>
    </row>
    <row r="405">
      <c r="A405" s="10"/>
      <c r="I405" s="10"/>
    </row>
    <row r="406">
      <c r="A406" s="10"/>
      <c r="I406" s="10"/>
    </row>
    <row r="407">
      <c r="A407" s="10"/>
      <c r="I407" s="10"/>
    </row>
    <row r="408">
      <c r="A408" s="10"/>
      <c r="I408" s="10"/>
    </row>
    <row r="409">
      <c r="A409" s="10"/>
      <c r="I409" s="10"/>
    </row>
    <row r="410">
      <c r="A410" s="10"/>
      <c r="I410" s="10"/>
    </row>
    <row r="411">
      <c r="A411" s="10"/>
      <c r="I411" s="10"/>
    </row>
    <row r="412">
      <c r="A412" s="10"/>
      <c r="I412" s="10"/>
    </row>
    <row r="413">
      <c r="A413" s="10"/>
      <c r="I413" s="10"/>
    </row>
    <row r="414">
      <c r="A414" s="10"/>
      <c r="I414" s="10"/>
    </row>
    <row r="415">
      <c r="A415" s="10"/>
      <c r="I415" s="10"/>
    </row>
    <row r="416">
      <c r="A416" s="10"/>
      <c r="I416" s="10"/>
    </row>
    <row r="417">
      <c r="A417" s="10"/>
      <c r="I417" s="10"/>
    </row>
    <row r="418">
      <c r="A418" s="10"/>
      <c r="I418" s="10"/>
    </row>
    <row r="419">
      <c r="A419" s="10"/>
      <c r="I419" s="10"/>
    </row>
    <row r="420">
      <c r="A420" s="10"/>
      <c r="I420" s="10"/>
    </row>
    <row r="421">
      <c r="A421" s="10"/>
      <c r="I421" s="10"/>
    </row>
    <row r="422">
      <c r="A422" s="10"/>
      <c r="I422" s="10"/>
    </row>
    <row r="423">
      <c r="A423" s="10"/>
      <c r="I423" s="10"/>
    </row>
    <row r="424">
      <c r="A424" s="10"/>
      <c r="I424" s="10"/>
    </row>
    <row r="425">
      <c r="A425" s="10"/>
      <c r="I425" s="10"/>
    </row>
    <row r="426">
      <c r="A426" s="10"/>
      <c r="I426" s="10"/>
    </row>
    <row r="427">
      <c r="A427" s="10"/>
      <c r="I427" s="10"/>
    </row>
    <row r="428">
      <c r="A428" s="10"/>
      <c r="I428" s="10"/>
    </row>
    <row r="429">
      <c r="A429" s="10"/>
      <c r="I429" s="10"/>
    </row>
    <row r="430">
      <c r="A430" s="10"/>
      <c r="I430" s="10"/>
    </row>
    <row r="431">
      <c r="A431" s="10"/>
      <c r="I431" s="10"/>
    </row>
    <row r="432">
      <c r="A432" s="10"/>
      <c r="I432" s="10"/>
    </row>
    <row r="433">
      <c r="A433" s="10"/>
      <c r="I433" s="10"/>
    </row>
    <row r="434">
      <c r="A434" s="10"/>
      <c r="I434" s="10"/>
    </row>
    <row r="435">
      <c r="A435" s="10"/>
      <c r="I435" s="10"/>
    </row>
    <row r="436">
      <c r="A436" s="10"/>
      <c r="I436" s="10"/>
    </row>
    <row r="437">
      <c r="A437" s="10"/>
      <c r="I437" s="10"/>
    </row>
    <row r="438">
      <c r="A438" s="10"/>
      <c r="I438" s="10"/>
    </row>
    <row r="439">
      <c r="A439" s="10"/>
      <c r="I439" s="10"/>
    </row>
    <row r="440">
      <c r="A440" s="10"/>
      <c r="I440" s="10"/>
    </row>
    <row r="441">
      <c r="A441" s="10"/>
      <c r="I441" s="10"/>
    </row>
    <row r="442">
      <c r="A442" s="10"/>
      <c r="I442" s="10"/>
    </row>
    <row r="443">
      <c r="A443" s="10"/>
      <c r="I443" s="10"/>
    </row>
    <row r="444">
      <c r="A444" s="10"/>
      <c r="I444" s="10"/>
    </row>
    <row r="445">
      <c r="A445" s="10"/>
      <c r="I445" s="10"/>
    </row>
    <row r="446">
      <c r="A446" s="10"/>
      <c r="I446" s="10"/>
    </row>
    <row r="447">
      <c r="A447" s="10"/>
      <c r="I447" s="10"/>
    </row>
    <row r="448">
      <c r="A448" s="10"/>
      <c r="I448" s="10"/>
    </row>
    <row r="449">
      <c r="A449" s="10"/>
      <c r="I449" s="10"/>
    </row>
    <row r="450">
      <c r="A450" s="10"/>
      <c r="I450" s="10"/>
    </row>
    <row r="451">
      <c r="A451" s="10"/>
      <c r="I451" s="10"/>
    </row>
    <row r="452">
      <c r="A452" s="10"/>
      <c r="I452" s="10"/>
    </row>
    <row r="453">
      <c r="A453" s="10"/>
      <c r="I453" s="10"/>
    </row>
    <row r="454">
      <c r="A454" s="10"/>
      <c r="I454" s="10"/>
    </row>
    <row r="455">
      <c r="A455" s="10"/>
      <c r="I455" s="10"/>
    </row>
    <row r="456">
      <c r="A456" s="10"/>
      <c r="I456" s="10"/>
    </row>
    <row r="457">
      <c r="A457" s="10"/>
      <c r="I457" s="10"/>
    </row>
    <row r="458">
      <c r="A458" s="10"/>
      <c r="I458" s="10"/>
    </row>
    <row r="459">
      <c r="A459" s="10"/>
      <c r="I459" s="10"/>
    </row>
    <row r="460">
      <c r="A460" s="10"/>
      <c r="I460" s="10"/>
    </row>
    <row r="461">
      <c r="A461" s="10"/>
      <c r="I461" s="10"/>
    </row>
    <row r="462">
      <c r="A462" s="10"/>
      <c r="I462" s="10"/>
    </row>
    <row r="463">
      <c r="A463" s="10"/>
      <c r="I463" s="10"/>
    </row>
    <row r="464">
      <c r="A464" s="10"/>
      <c r="I464" s="10"/>
    </row>
    <row r="465">
      <c r="A465" s="10"/>
      <c r="I465" s="10"/>
    </row>
    <row r="466">
      <c r="A466" s="10"/>
      <c r="I466" s="10"/>
    </row>
    <row r="467">
      <c r="A467" s="10"/>
      <c r="I467" s="10"/>
    </row>
    <row r="468">
      <c r="A468" s="10"/>
      <c r="I468" s="10"/>
    </row>
    <row r="469">
      <c r="A469" s="10"/>
      <c r="I469" s="10"/>
    </row>
    <row r="470">
      <c r="A470" s="10"/>
      <c r="I470" s="10"/>
    </row>
    <row r="471">
      <c r="A471" s="10"/>
      <c r="I471" s="10"/>
    </row>
    <row r="472">
      <c r="A472" s="10"/>
      <c r="I472" s="10"/>
    </row>
    <row r="473">
      <c r="A473" s="10"/>
      <c r="I473" s="10"/>
    </row>
    <row r="474">
      <c r="A474" s="10"/>
      <c r="I474" s="10"/>
    </row>
    <row r="475">
      <c r="A475" s="10"/>
      <c r="I475" s="10"/>
    </row>
    <row r="476">
      <c r="A476" s="10"/>
      <c r="I476" s="10"/>
    </row>
    <row r="477">
      <c r="A477" s="10"/>
      <c r="I477" s="10"/>
    </row>
    <row r="478">
      <c r="A478" s="10"/>
      <c r="I478" s="10"/>
    </row>
    <row r="479">
      <c r="A479" s="10"/>
      <c r="I479" s="10"/>
    </row>
    <row r="480">
      <c r="A480" s="10"/>
      <c r="I480" s="10"/>
    </row>
    <row r="481">
      <c r="A481" s="10"/>
      <c r="I481" s="10"/>
    </row>
    <row r="482">
      <c r="A482" s="10"/>
      <c r="I482" s="10"/>
    </row>
    <row r="483">
      <c r="A483" s="10"/>
      <c r="I483" s="10"/>
    </row>
    <row r="484">
      <c r="A484" s="10"/>
      <c r="I484" s="10"/>
    </row>
    <row r="485">
      <c r="A485" s="10"/>
      <c r="I485" s="10"/>
    </row>
    <row r="486">
      <c r="A486" s="10"/>
      <c r="I486" s="10"/>
    </row>
    <row r="487">
      <c r="A487" s="10"/>
      <c r="I487" s="10"/>
    </row>
    <row r="488">
      <c r="A488" s="10"/>
      <c r="I488" s="10"/>
    </row>
    <row r="489">
      <c r="A489" s="10"/>
      <c r="I489" s="10"/>
    </row>
    <row r="490">
      <c r="A490" s="10"/>
      <c r="I490" s="10"/>
    </row>
    <row r="491">
      <c r="A491" s="10"/>
      <c r="I491" s="10"/>
    </row>
    <row r="492">
      <c r="A492" s="10"/>
      <c r="I492" s="10"/>
    </row>
    <row r="493">
      <c r="A493" s="10"/>
      <c r="I493" s="10"/>
    </row>
    <row r="494">
      <c r="A494" s="10"/>
      <c r="I494" s="10"/>
    </row>
    <row r="495">
      <c r="A495" s="10"/>
      <c r="I495" s="10"/>
    </row>
    <row r="496">
      <c r="A496" s="10"/>
      <c r="I496" s="10"/>
    </row>
    <row r="497">
      <c r="A497" s="10"/>
      <c r="I497" s="10"/>
    </row>
    <row r="498">
      <c r="A498" s="10"/>
      <c r="I498" s="10"/>
    </row>
    <row r="499">
      <c r="A499" s="10"/>
      <c r="I499" s="10"/>
    </row>
    <row r="500">
      <c r="A500" s="10"/>
      <c r="I500" s="10"/>
    </row>
    <row r="501">
      <c r="A501" s="10"/>
      <c r="I501" s="10"/>
    </row>
    <row r="502">
      <c r="A502" s="10"/>
      <c r="I502" s="10"/>
    </row>
    <row r="503">
      <c r="A503" s="10"/>
      <c r="I503" s="10"/>
    </row>
    <row r="504">
      <c r="A504" s="10"/>
      <c r="I504" s="10"/>
    </row>
    <row r="505">
      <c r="A505" s="10"/>
      <c r="I505" s="10"/>
    </row>
    <row r="506">
      <c r="A506" s="10"/>
      <c r="I506" s="10"/>
    </row>
    <row r="507">
      <c r="A507" s="10"/>
      <c r="I507" s="10"/>
    </row>
    <row r="508">
      <c r="A508" s="10"/>
      <c r="I508" s="10"/>
    </row>
    <row r="509">
      <c r="A509" s="10"/>
      <c r="I509" s="10"/>
    </row>
    <row r="510">
      <c r="A510" s="10"/>
      <c r="I510" s="10"/>
    </row>
    <row r="511">
      <c r="A511" s="10"/>
      <c r="I511" s="10"/>
    </row>
    <row r="512">
      <c r="A512" s="10"/>
      <c r="I512" s="10"/>
    </row>
    <row r="513">
      <c r="A513" s="10"/>
      <c r="I513" s="10"/>
    </row>
    <row r="514">
      <c r="A514" s="10"/>
      <c r="I514" s="10"/>
    </row>
    <row r="515">
      <c r="A515" s="10"/>
      <c r="I515" s="10"/>
    </row>
    <row r="516">
      <c r="A516" s="10"/>
      <c r="I516" s="10"/>
    </row>
    <row r="517">
      <c r="A517" s="10"/>
      <c r="I517" s="10"/>
    </row>
    <row r="518">
      <c r="A518" s="10"/>
      <c r="I518" s="10"/>
    </row>
    <row r="519">
      <c r="A519" s="10"/>
      <c r="I519" s="10"/>
    </row>
    <row r="520">
      <c r="A520" s="10"/>
      <c r="I520" s="10"/>
    </row>
    <row r="521">
      <c r="A521" s="10"/>
      <c r="I521" s="10"/>
    </row>
    <row r="522">
      <c r="A522" s="10"/>
      <c r="I522" s="10"/>
    </row>
    <row r="523">
      <c r="A523" s="10"/>
      <c r="I523" s="10"/>
    </row>
    <row r="524">
      <c r="A524" s="10"/>
      <c r="I524" s="10"/>
    </row>
    <row r="525">
      <c r="A525" s="10"/>
      <c r="I525" s="10"/>
    </row>
    <row r="526">
      <c r="A526" s="10"/>
      <c r="I526" s="10"/>
    </row>
    <row r="527">
      <c r="A527" s="10"/>
      <c r="I527" s="10"/>
    </row>
    <row r="528">
      <c r="A528" s="10"/>
      <c r="I528" s="10"/>
    </row>
    <row r="529">
      <c r="A529" s="10"/>
      <c r="I529" s="10"/>
    </row>
    <row r="530">
      <c r="A530" s="10"/>
      <c r="I530" s="10"/>
    </row>
    <row r="531">
      <c r="A531" s="10"/>
      <c r="I531" s="10"/>
    </row>
    <row r="532">
      <c r="A532" s="10"/>
      <c r="I532" s="10"/>
    </row>
    <row r="533">
      <c r="A533" s="10"/>
      <c r="I533" s="10"/>
    </row>
    <row r="534">
      <c r="A534" s="10"/>
      <c r="I534" s="10"/>
    </row>
    <row r="535">
      <c r="A535" s="10"/>
      <c r="I535" s="10"/>
    </row>
    <row r="536">
      <c r="A536" s="10"/>
      <c r="I536" s="10"/>
    </row>
    <row r="537">
      <c r="A537" s="10"/>
      <c r="I537" s="10"/>
    </row>
    <row r="538">
      <c r="A538" s="10"/>
      <c r="I538" s="10"/>
    </row>
    <row r="539">
      <c r="A539" s="10"/>
      <c r="I539" s="10"/>
    </row>
    <row r="540">
      <c r="A540" s="10"/>
      <c r="I540" s="10"/>
    </row>
    <row r="541">
      <c r="A541" s="10"/>
      <c r="I541" s="10"/>
    </row>
    <row r="542">
      <c r="A542" s="10"/>
      <c r="I542" s="10"/>
    </row>
    <row r="543">
      <c r="A543" s="10"/>
      <c r="I543" s="10"/>
    </row>
    <row r="544">
      <c r="A544" s="10"/>
      <c r="I544" s="10"/>
    </row>
    <row r="545">
      <c r="A545" s="10"/>
      <c r="I545" s="10"/>
    </row>
    <row r="546">
      <c r="A546" s="10"/>
      <c r="I546" s="10"/>
    </row>
    <row r="547">
      <c r="A547" s="10"/>
      <c r="I547" s="10"/>
    </row>
    <row r="548">
      <c r="A548" s="10"/>
      <c r="I548" s="10"/>
    </row>
    <row r="549">
      <c r="A549" s="10"/>
      <c r="I549" s="10"/>
    </row>
    <row r="550">
      <c r="A550" s="10"/>
      <c r="I550" s="10"/>
    </row>
    <row r="551">
      <c r="A551" s="10"/>
      <c r="I551" s="10"/>
    </row>
    <row r="552">
      <c r="A552" s="10"/>
      <c r="I552" s="10"/>
    </row>
    <row r="553">
      <c r="A553" s="10"/>
      <c r="I553" s="10"/>
    </row>
    <row r="554">
      <c r="A554" s="10"/>
      <c r="I554" s="10"/>
    </row>
    <row r="555">
      <c r="A555" s="10"/>
      <c r="I555" s="10"/>
    </row>
    <row r="556">
      <c r="A556" s="10"/>
      <c r="I556" s="10"/>
    </row>
    <row r="557">
      <c r="A557" s="10"/>
      <c r="I557" s="10"/>
    </row>
    <row r="558">
      <c r="A558" s="10"/>
      <c r="I558" s="10"/>
    </row>
    <row r="559">
      <c r="A559" s="10"/>
      <c r="I559" s="10"/>
    </row>
    <row r="560">
      <c r="A560" s="10"/>
      <c r="I560" s="10"/>
    </row>
    <row r="561">
      <c r="A561" s="10"/>
      <c r="I561" s="10"/>
    </row>
    <row r="562">
      <c r="A562" s="10"/>
      <c r="I562" s="10"/>
    </row>
    <row r="563">
      <c r="A563" s="10"/>
      <c r="I563" s="10"/>
    </row>
    <row r="564">
      <c r="A564" s="10"/>
      <c r="I564" s="10"/>
    </row>
    <row r="565">
      <c r="A565" s="10"/>
      <c r="I565" s="10"/>
    </row>
    <row r="566">
      <c r="A566" s="10"/>
      <c r="I566" s="10"/>
    </row>
    <row r="567">
      <c r="A567" s="10"/>
      <c r="I567" s="10"/>
    </row>
    <row r="568">
      <c r="A568" s="10"/>
      <c r="I568" s="10"/>
    </row>
    <row r="569">
      <c r="A569" s="10"/>
      <c r="I569" s="10"/>
    </row>
    <row r="570">
      <c r="A570" s="10"/>
      <c r="I570" s="10"/>
    </row>
    <row r="571">
      <c r="A571" s="10"/>
      <c r="I571" s="10"/>
    </row>
    <row r="572">
      <c r="A572" s="10"/>
      <c r="I572" s="10"/>
    </row>
    <row r="573">
      <c r="A573" s="10"/>
      <c r="I573" s="10"/>
    </row>
    <row r="574">
      <c r="A574" s="10"/>
      <c r="I574" s="10"/>
    </row>
    <row r="575">
      <c r="A575" s="10"/>
      <c r="I575" s="10"/>
    </row>
    <row r="576">
      <c r="A576" s="10"/>
      <c r="I576" s="10"/>
    </row>
    <row r="577">
      <c r="A577" s="10"/>
      <c r="I577" s="10"/>
    </row>
    <row r="578">
      <c r="A578" s="10"/>
      <c r="I578" s="10"/>
    </row>
    <row r="579">
      <c r="A579" s="10"/>
      <c r="I579" s="10"/>
    </row>
    <row r="580">
      <c r="A580" s="10"/>
      <c r="I580" s="10"/>
    </row>
    <row r="581">
      <c r="A581" s="10"/>
      <c r="I581" s="10"/>
    </row>
    <row r="582">
      <c r="A582" s="10"/>
      <c r="I582" s="10"/>
    </row>
    <row r="583">
      <c r="A583" s="10"/>
      <c r="I583" s="10"/>
    </row>
    <row r="584">
      <c r="A584" s="10"/>
      <c r="I584" s="10"/>
    </row>
    <row r="585">
      <c r="A585" s="10"/>
      <c r="I585" s="10"/>
    </row>
    <row r="586">
      <c r="A586" s="10"/>
      <c r="I586" s="10"/>
    </row>
    <row r="587">
      <c r="A587" s="10"/>
      <c r="I587" s="10"/>
    </row>
    <row r="588">
      <c r="A588" s="10"/>
      <c r="I588" s="10"/>
    </row>
    <row r="589">
      <c r="A589" s="10"/>
      <c r="I589" s="10"/>
    </row>
    <row r="590">
      <c r="A590" s="10"/>
      <c r="I590" s="10"/>
    </row>
    <row r="591">
      <c r="A591" s="10"/>
      <c r="I591" s="10"/>
    </row>
    <row r="592">
      <c r="A592" s="10"/>
      <c r="I592" s="10"/>
    </row>
    <row r="593">
      <c r="A593" s="10"/>
      <c r="I593" s="10"/>
    </row>
    <row r="594">
      <c r="A594" s="10"/>
      <c r="I594" s="10"/>
    </row>
    <row r="595">
      <c r="A595" s="10"/>
      <c r="I595" s="10"/>
    </row>
    <row r="596">
      <c r="A596" s="10"/>
      <c r="I596" s="10"/>
    </row>
    <row r="597">
      <c r="A597" s="10"/>
      <c r="I597" s="10"/>
    </row>
    <row r="598">
      <c r="A598" s="10"/>
      <c r="I598" s="10"/>
    </row>
    <row r="599">
      <c r="A599" s="10"/>
      <c r="I599" s="10"/>
    </row>
    <row r="600">
      <c r="A600" s="10"/>
      <c r="I600" s="10"/>
    </row>
    <row r="601">
      <c r="A601" s="10"/>
      <c r="I601" s="10"/>
    </row>
    <row r="602">
      <c r="A602" s="10"/>
      <c r="I602" s="10"/>
    </row>
    <row r="603">
      <c r="A603" s="10"/>
      <c r="I603" s="10"/>
    </row>
    <row r="604">
      <c r="A604" s="10"/>
      <c r="I604" s="10"/>
    </row>
    <row r="605">
      <c r="A605" s="10"/>
      <c r="I605" s="10"/>
    </row>
    <row r="606">
      <c r="A606" s="10"/>
      <c r="I606" s="10"/>
    </row>
    <row r="607">
      <c r="A607" s="10"/>
      <c r="I607" s="10"/>
    </row>
    <row r="608">
      <c r="A608" s="10"/>
      <c r="I608" s="10"/>
    </row>
    <row r="609">
      <c r="A609" s="10"/>
      <c r="I609" s="10"/>
    </row>
    <row r="610">
      <c r="A610" s="10"/>
      <c r="I610" s="10"/>
    </row>
    <row r="611">
      <c r="A611" s="10"/>
      <c r="I611" s="10"/>
    </row>
    <row r="612">
      <c r="A612" s="10"/>
      <c r="I612" s="10"/>
    </row>
    <row r="613">
      <c r="A613" s="10"/>
      <c r="I613" s="10"/>
    </row>
    <row r="614">
      <c r="A614" s="10"/>
      <c r="I614" s="10"/>
    </row>
    <row r="615">
      <c r="A615" s="10"/>
      <c r="I615" s="10"/>
    </row>
    <row r="616">
      <c r="A616" s="10"/>
      <c r="I616" s="10"/>
    </row>
    <row r="617">
      <c r="A617" s="10"/>
      <c r="I617" s="10"/>
    </row>
    <row r="618">
      <c r="A618" s="10"/>
      <c r="I618" s="10"/>
    </row>
    <row r="619">
      <c r="A619" s="10"/>
      <c r="I619" s="10"/>
    </row>
    <row r="620">
      <c r="A620" s="10"/>
      <c r="I620" s="10"/>
    </row>
    <row r="621">
      <c r="A621" s="10"/>
      <c r="I621" s="10"/>
    </row>
    <row r="622">
      <c r="A622" s="10"/>
      <c r="I622" s="10"/>
    </row>
    <row r="623">
      <c r="A623" s="10"/>
      <c r="I623" s="10"/>
    </row>
    <row r="624">
      <c r="A624" s="10"/>
      <c r="I624" s="10"/>
    </row>
    <row r="625">
      <c r="A625" s="10"/>
      <c r="I625" s="10"/>
    </row>
    <row r="626">
      <c r="A626" s="10"/>
      <c r="I626" s="10"/>
    </row>
    <row r="627">
      <c r="A627" s="10"/>
      <c r="I627" s="10"/>
    </row>
    <row r="628">
      <c r="A628" s="10"/>
      <c r="I628" s="10"/>
    </row>
    <row r="629">
      <c r="A629" s="10"/>
      <c r="I629" s="10"/>
    </row>
    <row r="630">
      <c r="A630" s="10"/>
      <c r="I630" s="10"/>
    </row>
    <row r="631">
      <c r="A631" s="10"/>
      <c r="I631" s="10"/>
    </row>
    <row r="632">
      <c r="A632" s="10"/>
      <c r="I632" s="10"/>
    </row>
    <row r="633">
      <c r="A633" s="10"/>
      <c r="I633" s="10"/>
    </row>
    <row r="634">
      <c r="A634" s="10"/>
      <c r="I634" s="10"/>
    </row>
    <row r="635">
      <c r="A635" s="10"/>
      <c r="I635" s="10"/>
    </row>
    <row r="636">
      <c r="A636" s="10"/>
      <c r="I636" s="10"/>
    </row>
    <row r="637">
      <c r="A637" s="10"/>
      <c r="I637" s="10"/>
    </row>
    <row r="638">
      <c r="A638" s="10"/>
      <c r="I638" s="10"/>
    </row>
    <row r="639">
      <c r="A639" s="10"/>
      <c r="I639" s="10"/>
    </row>
    <row r="640">
      <c r="A640" s="10"/>
      <c r="I640" s="10"/>
    </row>
    <row r="641">
      <c r="A641" s="10"/>
      <c r="I641" s="10"/>
    </row>
    <row r="642">
      <c r="A642" s="10"/>
      <c r="I642" s="10"/>
    </row>
    <row r="643">
      <c r="A643" s="10"/>
      <c r="I643" s="10"/>
    </row>
    <row r="644">
      <c r="A644" s="10"/>
      <c r="I644" s="10"/>
    </row>
    <row r="645">
      <c r="A645" s="10"/>
      <c r="I645" s="10"/>
    </row>
    <row r="646">
      <c r="A646" s="10"/>
      <c r="I646" s="10"/>
    </row>
    <row r="647">
      <c r="A647" s="10"/>
      <c r="I647" s="10"/>
    </row>
    <row r="648">
      <c r="A648" s="10"/>
      <c r="I648" s="10"/>
    </row>
    <row r="649">
      <c r="A649" s="10"/>
      <c r="I649" s="10"/>
    </row>
    <row r="650">
      <c r="A650" s="10"/>
      <c r="I650" s="10"/>
    </row>
    <row r="651">
      <c r="A651" s="10"/>
      <c r="I651" s="10"/>
    </row>
    <row r="652">
      <c r="A652" s="10"/>
      <c r="I652" s="10"/>
    </row>
    <row r="653">
      <c r="A653" s="10"/>
      <c r="I653" s="10"/>
    </row>
    <row r="654">
      <c r="A654" s="10"/>
      <c r="I654" s="10"/>
    </row>
    <row r="655">
      <c r="A655" s="10"/>
      <c r="I655" s="10"/>
    </row>
    <row r="656">
      <c r="A656" s="10"/>
      <c r="I656" s="10"/>
    </row>
    <row r="657">
      <c r="A657" s="10"/>
      <c r="I657" s="10"/>
    </row>
    <row r="658">
      <c r="A658" s="10"/>
      <c r="I658" s="10"/>
    </row>
    <row r="659">
      <c r="A659" s="10"/>
      <c r="I659" s="10"/>
    </row>
    <row r="660">
      <c r="A660" s="10"/>
      <c r="I660" s="10"/>
    </row>
    <row r="661">
      <c r="A661" s="10"/>
      <c r="I661" s="10"/>
    </row>
    <row r="662">
      <c r="A662" s="10"/>
      <c r="I662" s="10"/>
    </row>
    <row r="663">
      <c r="A663" s="10"/>
      <c r="I663" s="10"/>
    </row>
    <row r="664">
      <c r="A664" s="10"/>
      <c r="I664" s="10"/>
    </row>
    <row r="665">
      <c r="A665" s="10"/>
      <c r="I665" s="10"/>
    </row>
    <row r="666">
      <c r="A666" s="10"/>
      <c r="I666" s="10"/>
    </row>
    <row r="667">
      <c r="A667" s="10"/>
      <c r="I667" s="10"/>
    </row>
    <row r="668">
      <c r="A668" s="10"/>
      <c r="I668" s="10"/>
    </row>
    <row r="669">
      <c r="A669" s="10"/>
      <c r="I669" s="10"/>
    </row>
    <row r="670">
      <c r="A670" s="10"/>
      <c r="I670" s="10"/>
    </row>
    <row r="671">
      <c r="A671" s="10"/>
      <c r="I671" s="10"/>
    </row>
    <row r="672">
      <c r="A672" s="10"/>
      <c r="I672" s="10"/>
    </row>
    <row r="673">
      <c r="A673" s="10"/>
      <c r="I673" s="10"/>
    </row>
    <row r="674">
      <c r="A674" s="10"/>
      <c r="I674" s="10"/>
    </row>
    <row r="675">
      <c r="A675" s="10"/>
      <c r="I675" s="10"/>
    </row>
    <row r="676">
      <c r="A676" s="10"/>
      <c r="I676" s="10"/>
    </row>
    <row r="677">
      <c r="A677" s="10"/>
      <c r="I677" s="10"/>
    </row>
    <row r="678">
      <c r="A678" s="10"/>
      <c r="I678" s="10"/>
    </row>
    <row r="679">
      <c r="A679" s="10"/>
      <c r="I679" s="10"/>
    </row>
    <row r="680">
      <c r="A680" s="10"/>
      <c r="I680" s="10"/>
    </row>
    <row r="681">
      <c r="A681" s="10"/>
      <c r="I681" s="10"/>
    </row>
    <row r="682">
      <c r="A682" s="10"/>
      <c r="I682" s="10"/>
    </row>
    <row r="683">
      <c r="A683" s="10"/>
      <c r="I683" s="10"/>
    </row>
    <row r="684">
      <c r="A684" s="10"/>
      <c r="I684" s="10"/>
    </row>
    <row r="685">
      <c r="A685" s="10"/>
      <c r="I685" s="10"/>
    </row>
    <row r="686">
      <c r="A686" s="10"/>
      <c r="I686" s="10"/>
    </row>
    <row r="687">
      <c r="A687" s="10"/>
      <c r="I687" s="10"/>
    </row>
    <row r="688">
      <c r="A688" s="10"/>
      <c r="I688" s="10"/>
    </row>
    <row r="689">
      <c r="A689" s="10"/>
      <c r="I689" s="10"/>
    </row>
    <row r="690">
      <c r="A690" s="10"/>
      <c r="I690" s="10"/>
    </row>
    <row r="691">
      <c r="A691" s="10"/>
      <c r="I691" s="10"/>
    </row>
    <row r="692">
      <c r="A692" s="10"/>
      <c r="I692" s="10"/>
    </row>
    <row r="693">
      <c r="A693" s="10"/>
      <c r="I693" s="10"/>
    </row>
    <row r="694">
      <c r="A694" s="10"/>
      <c r="I694" s="10"/>
    </row>
    <row r="695">
      <c r="A695" s="10"/>
      <c r="I695" s="10"/>
    </row>
    <row r="696">
      <c r="A696" s="10"/>
      <c r="I696" s="10"/>
    </row>
    <row r="697">
      <c r="A697" s="10"/>
      <c r="I697" s="10"/>
    </row>
    <row r="698">
      <c r="A698" s="10"/>
      <c r="I698" s="10"/>
    </row>
    <row r="699">
      <c r="A699" s="10"/>
      <c r="I699" s="10"/>
    </row>
    <row r="700">
      <c r="A700" s="10"/>
      <c r="I700" s="10"/>
    </row>
    <row r="701">
      <c r="A701" s="10"/>
      <c r="I701" s="10"/>
    </row>
    <row r="702">
      <c r="A702" s="10"/>
      <c r="I702" s="10"/>
    </row>
    <row r="703">
      <c r="A703" s="10"/>
      <c r="I703" s="10"/>
    </row>
    <row r="704">
      <c r="A704" s="10"/>
      <c r="I704" s="10"/>
    </row>
    <row r="705">
      <c r="A705" s="10"/>
      <c r="I705" s="10"/>
    </row>
    <row r="706">
      <c r="A706" s="10"/>
      <c r="I706" s="10"/>
    </row>
    <row r="707">
      <c r="A707" s="10"/>
      <c r="I707" s="10"/>
    </row>
    <row r="708">
      <c r="A708" s="10"/>
      <c r="I708" s="10"/>
    </row>
    <row r="709">
      <c r="A709" s="10"/>
      <c r="I709" s="10"/>
    </row>
    <row r="710">
      <c r="A710" s="10"/>
      <c r="I710" s="10"/>
    </row>
    <row r="711">
      <c r="A711" s="10"/>
      <c r="I711" s="10"/>
    </row>
    <row r="712">
      <c r="A712" s="10"/>
      <c r="I712" s="10"/>
    </row>
    <row r="713">
      <c r="A713" s="10"/>
      <c r="I713" s="10"/>
    </row>
    <row r="714">
      <c r="A714" s="10"/>
      <c r="I714" s="10"/>
    </row>
    <row r="715">
      <c r="A715" s="10"/>
      <c r="I715" s="10"/>
    </row>
    <row r="716">
      <c r="A716" s="10"/>
      <c r="I716" s="10"/>
    </row>
    <row r="717">
      <c r="A717" s="10"/>
      <c r="I717" s="10"/>
    </row>
    <row r="718">
      <c r="A718" s="10"/>
      <c r="I718" s="10"/>
    </row>
    <row r="719">
      <c r="A719" s="10"/>
      <c r="I719" s="10"/>
    </row>
    <row r="720">
      <c r="A720" s="10"/>
      <c r="I720" s="10"/>
    </row>
    <row r="721">
      <c r="A721" s="10"/>
      <c r="I721" s="10"/>
    </row>
    <row r="722">
      <c r="A722" s="10"/>
      <c r="I722" s="10"/>
    </row>
    <row r="723">
      <c r="A723" s="10"/>
      <c r="I723" s="10"/>
    </row>
    <row r="724">
      <c r="A724" s="10"/>
      <c r="I724" s="10"/>
    </row>
    <row r="725">
      <c r="A725" s="10"/>
      <c r="I725" s="10"/>
    </row>
    <row r="726">
      <c r="A726" s="10"/>
      <c r="I726" s="10"/>
    </row>
    <row r="727">
      <c r="A727" s="10"/>
      <c r="I727" s="10"/>
    </row>
    <row r="728">
      <c r="A728" s="10"/>
      <c r="I728" s="10"/>
    </row>
    <row r="729">
      <c r="A729" s="10"/>
      <c r="I729" s="10"/>
    </row>
    <row r="730">
      <c r="A730" s="10"/>
      <c r="I730" s="10"/>
    </row>
    <row r="731">
      <c r="A731" s="10"/>
      <c r="I731" s="10"/>
    </row>
    <row r="732">
      <c r="A732" s="10"/>
      <c r="I732" s="10"/>
    </row>
    <row r="733">
      <c r="A733" s="10"/>
      <c r="I733" s="10"/>
    </row>
    <row r="734">
      <c r="A734" s="10"/>
      <c r="I734" s="10"/>
    </row>
    <row r="735">
      <c r="A735" s="10"/>
      <c r="I735" s="10"/>
    </row>
    <row r="736">
      <c r="A736" s="10"/>
      <c r="I736" s="10"/>
    </row>
    <row r="737">
      <c r="A737" s="10"/>
      <c r="I737" s="10"/>
    </row>
    <row r="738">
      <c r="A738" s="10"/>
      <c r="I738" s="10"/>
    </row>
    <row r="739">
      <c r="A739" s="10"/>
      <c r="I739" s="10"/>
    </row>
    <row r="740">
      <c r="A740" s="10"/>
      <c r="I740" s="10"/>
    </row>
    <row r="741">
      <c r="A741" s="10"/>
      <c r="I741" s="10"/>
    </row>
    <row r="742">
      <c r="A742" s="10"/>
      <c r="I742" s="10"/>
    </row>
    <row r="743">
      <c r="A743" s="10"/>
      <c r="I743" s="10"/>
    </row>
    <row r="744">
      <c r="A744" s="10"/>
      <c r="I744" s="10"/>
    </row>
    <row r="745">
      <c r="A745" s="10"/>
      <c r="I745" s="10"/>
    </row>
    <row r="746">
      <c r="A746" s="10"/>
      <c r="I746" s="10"/>
    </row>
    <row r="747">
      <c r="A747" s="10"/>
      <c r="I747" s="10"/>
    </row>
    <row r="748">
      <c r="A748" s="10"/>
      <c r="I748" s="10"/>
    </row>
    <row r="749">
      <c r="A749" s="10"/>
      <c r="I749" s="10"/>
    </row>
    <row r="750">
      <c r="A750" s="10"/>
      <c r="I750" s="10"/>
    </row>
    <row r="751">
      <c r="A751" s="10"/>
      <c r="I751" s="10"/>
    </row>
    <row r="752">
      <c r="A752" s="10"/>
      <c r="I752" s="10"/>
    </row>
    <row r="753">
      <c r="A753" s="10"/>
      <c r="I753" s="10"/>
    </row>
    <row r="754">
      <c r="A754" s="10"/>
      <c r="I754" s="10"/>
    </row>
    <row r="755">
      <c r="A755" s="10"/>
      <c r="I755" s="10"/>
    </row>
    <row r="756">
      <c r="A756" s="10"/>
      <c r="I756" s="10"/>
    </row>
    <row r="757">
      <c r="A757" s="10"/>
      <c r="I757" s="10"/>
    </row>
    <row r="758">
      <c r="A758" s="10"/>
      <c r="I758" s="10"/>
    </row>
    <row r="759">
      <c r="A759" s="10"/>
      <c r="I759" s="10"/>
    </row>
    <row r="760">
      <c r="A760" s="10"/>
      <c r="I760" s="10"/>
    </row>
    <row r="761">
      <c r="A761" s="10"/>
      <c r="I761" s="10"/>
    </row>
    <row r="762">
      <c r="A762" s="10"/>
      <c r="I762" s="10"/>
    </row>
    <row r="763">
      <c r="A763" s="10"/>
      <c r="I763" s="10"/>
    </row>
    <row r="764">
      <c r="A764" s="10"/>
      <c r="I764" s="10"/>
    </row>
    <row r="765">
      <c r="A765" s="10"/>
      <c r="I765" s="10"/>
    </row>
    <row r="766">
      <c r="A766" s="10"/>
      <c r="I766" s="10"/>
    </row>
    <row r="767">
      <c r="A767" s="10"/>
      <c r="I767" s="10"/>
    </row>
    <row r="768">
      <c r="A768" s="10"/>
      <c r="I768" s="10"/>
    </row>
    <row r="769">
      <c r="A769" s="10"/>
      <c r="I769" s="10"/>
    </row>
    <row r="770">
      <c r="A770" s="10"/>
      <c r="I770" s="10"/>
    </row>
    <row r="771">
      <c r="A771" s="10"/>
      <c r="I771" s="10"/>
    </row>
    <row r="772">
      <c r="A772" s="10"/>
      <c r="I772" s="10"/>
    </row>
    <row r="773">
      <c r="A773" s="10"/>
      <c r="I773" s="10"/>
    </row>
    <row r="774">
      <c r="A774" s="10"/>
      <c r="I774" s="10"/>
    </row>
    <row r="775">
      <c r="A775" s="10"/>
      <c r="I775" s="10"/>
    </row>
    <row r="776">
      <c r="A776" s="10"/>
      <c r="I776" s="10"/>
    </row>
    <row r="777">
      <c r="A777" s="10"/>
      <c r="I777" s="10"/>
    </row>
    <row r="778">
      <c r="A778" s="10"/>
      <c r="I778" s="10"/>
    </row>
    <row r="779">
      <c r="A779" s="10"/>
      <c r="I779" s="10"/>
    </row>
    <row r="780">
      <c r="A780" s="10"/>
      <c r="I780" s="10"/>
    </row>
    <row r="781">
      <c r="A781" s="10"/>
      <c r="I781" s="10"/>
    </row>
    <row r="782">
      <c r="A782" s="10"/>
      <c r="I782" s="10"/>
    </row>
    <row r="783">
      <c r="A783" s="10"/>
      <c r="I783" s="10"/>
    </row>
    <row r="784">
      <c r="A784" s="10"/>
      <c r="I784" s="10"/>
    </row>
    <row r="785">
      <c r="A785" s="10"/>
      <c r="I785" s="10"/>
    </row>
    <row r="786">
      <c r="A786" s="10"/>
      <c r="I786" s="10"/>
    </row>
    <row r="787">
      <c r="A787" s="10"/>
      <c r="I787" s="10"/>
    </row>
    <row r="788">
      <c r="A788" s="10"/>
      <c r="I788" s="10"/>
    </row>
    <row r="789">
      <c r="A789" s="10"/>
      <c r="I789" s="10"/>
    </row>
    <row r="790">
      <c r="A790" s="10"/>
      <c r="I790" s="10"/>
    </row>
    <row r="791">
      <c r="A791" s="10"/>
      <c r="I791" s="10"/>
    </row>
    <row r="792">
      <c r="A792" s="10"/>
      <c r="I792" s="10"/>
    </row>
    <row r="793">
      <c r="A793" s="10"/>
      <c r="I793" s="10"/>
    </row>
    <row r="794">
      <c r="A794" s="10"/>
      <c r="I794" s="10"/>
    </row>
    <row r="795">
      <c r="A795" s="10"/>
      <c r="I795" s="10"/>
    </row>
    <row r="796">
      <c r="A796" s="10"/>
      <c r="I796" s="10"/>
    </row>
    <row r="797">
      <c r="A797" s="10"/>
      <c r="I797" s="10"/>
    </row>
    <row r="798">
      <c r="A798" s="10"/>
      <c r="I798" s="10"/>
    </row>
    <row r="799">
      <c r="A799" s="10"/>
      <c r="I799" s="10"/>
    </row>
    <row r="800">
      <c r="A800" s="10"/>
      <c r="I800" s="10"/>
    </row>
    <row r="801">
      <c r="A801" s="10"/>
      <c r="I801" s="10"/>
    </row>
    <row r="802">
      <c r="A802" s="10"/>
      <c r="I802" s="10"/>
    </row>
    <row r="803">
      <c r="A803" s="10"/>
      <c r="I803" s="10"/>
    </row>
    <row r="804">
      <c r="A804" s="10"/>
      <c r="I804" s="10"/>
    </row>
    <row r="805">
      <c r="A805" s="10"/>
      <c r="I805" s="10"/>
    </row>
    <row r="806">
      <c r="A806" s="10"/>
      <c r="I806" s="10"/>
    </row>
    <row r="807">
      <c r="A807" s="10"/>
      <c r="I807" s="10"/>
    </row>
    <row r="808">
      <c r="A808" s="10"/>
      <c r="I808" s="10"/>
    </row>
    <row r="809">
      <c r="A809" s="10"/>
      <c r="I809" s="10"/>
    </row>
    <row r="810">
      <c r="A810" s="10"/>
      <c r="I810" s="10"/>
    </row>
    <row r="811">
      <c r="A811" s="10"/>
      <c r="I811" s="10"/>
    </row>
    <row r="812">
      <c r="A812" s="10"/>
      <c r="I812" s="10"/>
    </row>
    <row r="813">
      <c r="A813" s="10"/>
      <c r="I813" s="10"/>
    </row>
    <row r="814">
      <c r="A814" s="10"/>
      <c r="I814" s="10"/>
    </row>
    <row r="815">
      <c r="A815" s="10"/>
      <c r="I815" s="10"/>
    </row>
    <row r="816">
      <c r="A816" s="10"/>
      <c r="I816" s="10"/>
    </row>
    <row r="817">
      <c r="A817" s="10"/>
      <c r="I817" s="10"/>
    </row>
    <row r="818">
      <c r="A818" s="10"/>
      <c r="I818" s="10"/>
    </row>
    <row r="819">
      <c r="A819" s="10"/>
      <c r="I819" s="10"/>
    </row>
    <row r="820">
      <c r="A820" s="10"/>
      <c r="I820" s="10"/>
    </row>
    <row r="821">
      <c r="A821" s="10"/>
      <c r="I821" s="10"/>
    </row>
    <row r="822">
      <c r="A822" s="10"/>
      <c r="I822" s="10"/>
    </row>
    <row r="823">
      <c r="A823" s="10"/>
      <c r="I823" s="10"/>
    </row>
    <row r="824">
      <c r="A824" s="10"/>
      <c r="I824" s="10"/>
    </row>
    <row r="825">
      <c r="A825" s="10"/>
      <c r="I825" s="10"/>
    </row>
    <row r="826">
      <c r="A826" s="10"/>
      <c r="I826" s="10"/>
    </row>
    <row r="827">
      <c r="A827" s="10"/>
      <c r="I827" s="10"/>
    </row>
    <row r="828">
      <c r="A828" s="10"/>
      <c r="I828" s="10"/>
    </row>
    <row r="829">
      <c r="A829" s="10"/>
      <c r="I829" s="10"/>
    </row>
    <row r="830">
      <c r="A830" s="10"/>
      <c r="I830" s="10"/>
    </row>
    <row r="831">
      <c r="A831" s="10"/>
      <c r="I831" s="10"/>
    </row>
    <row r="832">
      <c r="A832" s="10"/>
      <c r="I832" s="10"/>
    </row>
    <row r="833">
      <c r="A833" s="10"/>
      <c r="I833" s="10"/>
    </row>
    <row r="834">
      <c r="A834" s="10"/>
      <c r="I834" s="10"/>
    </row>
    <row r="835">
      <c r="A835" s="10"/>
      <c r="I835" s="10"/>
    </row>
    <row r="836">
      <c r="A836" s="10"/>
      <c r="I836" s="10"/>
    </row>
    <row r="837">
      <c r="A837" s="10"/>
      <c r="I837" s="10"/>
    </row>
    <row r="838">
      <c r="A838" s="10"/>
      <c r="I838" s="10"/>
    </row>
    <row r="839">
      <c r="A839" s="10"/>
      <c r="I839" s="10"/>
    </row>
    <row r="840">
      <c r="A840" s="10"/>
      <c r="I840" s="10"/>
    </row>
    <row r="841">
      <c r="A841" s="10"/>
      <c r="I841" s="10"/>
    </row>
    <row r="842">
      <c r="A842" s="10"/>
      <c r="I842" s="10"/>
    </row>
    <row r="843">
      <c r="A843" s="10"/>
      <c r="I843" s="10"/>
    </row>
    <row r="844">
      <c r="A844" s="10"/>
      <c r="I844" s="10"/>
    </row>
    <row r="845">
      <c r="A845" s="10"/>
      <c r="I845" s="10"/>
    </row>
    <row r="846">
      <c r="A846" s="10"/>
      <c r="I846" s="10"/>
    </row>
    <row r="847">
      <c r="A847" s="10"/>
      <c r="I847" s="10"/>
    </row>
    <row r="848">
      <c r="A848" s="10"/>
      <c r="I848" s="10"/>
    </row>
    <row r="849">
      <c r="A849" s="10"/>
      <c r="I849" s="10"/>
    </row>
    <row r="850">
      <c r="A850" s="10"/>
      <c r="I850" s="10"/>
    </row>
    <row r="851">
      <c r="A851" s="10"/>
      <c r="I851" s="10"/>
    </row>
    <row r="852">
      <c r="A852" s="10"/>
      <c r="I852" s="10"/>
    </row>
    <row r="853">
      <c r="A853" s="10"/>
      <c r="I853" s="10"/>
    </row>
    <row r="854">
      <c r="A854" s="10"/>
      <c r="I854" s="10"/>
    </row>
    <row r="855">
      <c r="A855" s="10"/>
      <c r="I855" s="10"/>
    </row>
    <row r="856">
      <c r="A856" s="10"/>
      <c r="I856" s="10"/>
    </row>
    <row r="857">
      <c r="A857" s="10"/>
      <c r="I857" s="10"/>
    </row>
    <row r="858">
      <c r="A858" s="10"/>
      <c r="I858" s="10"/>
    </row>
    <row r="859">
      <c r="A859" s="10"/>
      <c r="I859" s="10"/>
    </row>
    <row r="860">
      <c r="A860" s="10"/>
      <c r="I860" s="10"/>
    </row>
    <row r="861">
      <c r="A861" s="10"/>
      <c r="I861" s="10"/>
    </row>
    <row r="862">
      <c r="A862" s="10"/>
      <c r="I862" s="10"/>
    </row>
    <row r="863">
      <c r="A863" s="10"/>
      <c r="I863" s="10"/>
    </row>
    <row r="864">
      <c r="A864" s="10"/>
      <c r="I864" s="10"/>
    </row>
    <row r="865">
      <c r="A865" s="10"/>
      <c r="I865" s="10"/>
    </row>
    <row r="866">
      <c r="A866" s="10"/>
      <c r="I866" s="10"/>
    </row>
    <row r="867">
      <c r="A867" s="10"/>
      <c r="I867" s="10"/>
    </row>
    <row r="868">
      <c r="A868" s="10"/>
      <c r="I868" s="10"/>
    </row>
    <row r="869">
      <c r="A869" s="10"/>
      <c r="I869" s="10"/>
    </row>
    <row r="870">
      <c r="A870" s="10"/>
      <c r="I870" s="10"/>
    </row>
    <row r="871">
      <c r="A871" s="10"/>
      <c r="I871" s="10"/>
    </row>
    <row r="872">
      <c r="A872" s="10"/>
      <c r="I872" s="10"/>
    </row>
    <row r="873">
      <c r="A873" s="10"/>
      <c r="I873" s="10"/>
    </row>
    <row r="874">
      <c r="A874" s="10"/>
      <c r="I874" s="10"/>
    </row>
    <row r="875">
      <c r="A875" s="10"/>
      <c r="I875" s="10"/>
    </row>
    <row r="876">
      <c r="A876" s="10"/>
      <c r="I876" s="10"/>
    </row>
    <row r="877">
      <c r="A877" s="10"/>
      <c r="I877" s="10"/>
    </row>
    <row r="878">
      <c r="A878" s="10"/>
      <c r="I878" s="10"/>
    </row>
    <row r="879">
      <c r="A879" s="10"/>
      <c r="I879" s="10"/>
    </row>
    <row r="880">
      <c r="A880" s="10"/>
      <c r="I880" s="10"/>
    </row>
    <row r="881">
      <c r="A881" s="10"/>
      <c r="I881" s="10"/>
    </row>
    <row r="882">
      <c r="A882" s="10"/>
      <c r="I882" s="10"/>
    </row>
    <row r="883">
      <c r="A883" s="10"/>
      <c r="I883" s="10"/>
    </row>
    <row r="884">
      <c r="A884" s="10"/>
      <c r="I884" s="10"/>
    </row>
    <row r="885">
      <c r="A885" s="10"/>
      <c r="I885" s="10"/>
    </row>
    <row r="886">
      <c r="A886" s="10"/>
      <c r="I886" s="10"/>
    </row>
    <row r="887">
      <c r="A887" s="10"/>
      <c r="I887" s="10"/>
    </row>
    <row r="888">
      <c r="A888" s="10"/>
      <c r="I888" s="10"/>
    </row>
    <row r="889">
      <c r="A889" s="10"/>
      <c r="I889" s="10"/>
    </row>
    <row r="890">
      <c r="A890" s="10"/>
      <c r="I890" s="10"/>
    </row>
    <row r="891">
      <c r="A891" s="10"/>
      <c r="I891" s="10"/>
    </row>
    <row r="892">
      <c r="A892" s="10"/>
      <c r="I892" s="10"/>
    </row>
    <row r="893">
      <c r="A893" s="10"/>
      <c r="I893" s="10"/>
    </row>
    <row r="894">
      <c r="A894" s="10"/>
      <c r="I894" s="10"/>
    </row>
    <row r="895">
      <c r="A895" s="10"/>
      <c r="I895" s="10"/>
    </row>
    <row r="896">
      <c r="A896" s="10"/>
      <c r="I896" s="10"/>
    </row>
    <row r="897">
      <c r="A897" s="10"/>
      <c r="I897" s="10"/>
    </row>
    <row r="898">
      <c r="A898" s="10"/>
      <c r="I898" s="10"/>
    </row>
    <row r="899">
      <c r="A899" s="10"/>
      <c r="I899" s="10"/>
    </row>
    <row r="900">
      <c r="A900" s="10"/>
      <c r="I900" s="10"/>
    </row>
    <row r="901">
      <c r="A901" s="10"/>
      <c r="I901" s="10"/>
    </row>
    <row r="902">
      <c r="A902" s="10"/>
      <c r="I902" s="10"/>
    </row>
    <row r="903">
      <c r="A903" s="10"/>
      <c r="I903" s="10"/>
    </row>
    <row r="904">
      <c r="A904" s="10"/>
      <c r="I904" s="10"/>
    </row>
    <row r="905">
      <c r="A905" s="10"/>
      <c r="I905" s="10"/>
    </row>
    <row r="906">
      <c r="A906" s="10"/>
      <c r="I906" s="10"/>
    </row>
    <row r="907">
      <c r="A907" s="10"/>
      <c r="I907" s="10"/>
    </row>
    <row r="908">
      <c r="A908" s="10"/>
      <c r="I908" s="10"/>
    </row>
    <row r="909">
      <c r="A909" s="10"/>
      <c r="I909" s="10"/>
    </row>
    <row r="910">
      <c r="A910" s="10"/>
      <c r="I910" s="10"/>
    </row>
    <row r="911">
      <c r="A911" s="10"/>
      <c r="I911" s="10"/>
    </row>
    <row r="912">
      <c r="A912" s="10"/>
      <c r="I912" s="10"/>
    </row>
    <row r="913">
      <c r="A913" s="10"/>
      <c r="I913" s="10"/>
    </row>
    <row r="914">
      <c r="A914" s="10"/>
      <c r="I914" s="10"/>
    </row>
    <row r="915">
      <c r="A915" s="10"/>
      <c r="I915" s="10"/>
    </row>
    <row r="916">
      <c r="A916" s="10"/>
      <c r="I916" s="10"/>
    </row>
    <row r="917">
      <c r="A917" s="10"/>
      <c r="I917" s="10"/>
    </row>
    <row r="918">
      <c r="A918" s="10"/>
      <c r="I918" s="10"/>
    </row>
    <row r="919">
      <c r="A919" s="10"/>
      <c r="I919" s="10"/>
    </row>
    <row r="920">
      <c r="A920" s="10"/>
      <c r="I920" s="10"/>
    </row>
    <row r="921">
      <c r="A921" s="10"/>
      <c r="I921" s="10"/>
    </row>
    <row r="922">
      <c r="A922" s="10"/>
      <c r="I922" s="10"/>
    </row>
    <row r="923">
      <c r="A923" s="10"/>
      <c r="I923" s="10"/>
    </row>
    <row r="924">
      <c r="A924" s="10"/>
      <c r="I924" s="10"/>
    </row>
    <row r="925">
      <c r="A925" s="10"/>
      <c r="I925" s="10"/>
    </row>
    <row r="926">
      <c r="A926" s="10"/>
      <c r="I926" s="10"/>
    </row>
    <row r="927">
      <c r="A927" s="10"/>
      <c r="I927" s="10"/>
    </row>
    <row r="928">
      <c r="A928" s="10"/>
      <c r="I928" s="10"/>
    </row>
    <row r="929">
      <c r="A929" s="10"/>
      <c r="I929" s="10"/>
    </row>
    <row r="930">
      <c r="A930" s="10"/>
      <c r="I930" s="10"/>
    </row>
    <row r="931">
      <c r="A931" s="10"/>
      <c r="I931" s="10"/>
    </row>
    <row r="932">
      <c r="A932" s="10"/>
      <c r="I932" s="10"/>
    </row>
    <row r="933">
      <c r="A933" s="10"/>
      <c r="I933" s="10"/>
    </row>
    <row r="934">
      <c r="A934" s="10"/>
      <c r="I934" s="10"/>
    </row>
    <row r="935">
      <c r="A935" s="10"/>
      <c r="I935" s="10"/>
    </row>
    <row r="936">
      <c r="A936" s="10"/>
      <c r="I936" s="10"/>
    </row>
    <row r="937">
      <c r="A937" s="10"/>
      <c r="I937" s="10"/>
    </row>
    <row r="938">
      <c r="A938" s="10"/>
      <c r="I938" s="10"/>
    </row>
    <row r="939">
      <c r="A939" s="10"/>
      <c r="I939" s="10"/>
    </row>
    <row r="940">
      <c r="A940" s="10"/>
      <c r="I940" s="10"/>
    </row>
    <row r="941">
      <c r="A941" s="10"/>
      <c r="I941" s="10"/>
    </row>
    <row r="942">
      <c r="A942" s="10"/>
      <c r="I942" s="10"/>
    </row>
    <row r="943">
      <c r="A943" s="10"/>
      <c r="I943" s="10"/>
    </row>
    <row r="944">
      <c r="A944" s="10"/>
      <c r="I944" s="10"/>
    </row>
    <row r="945">
      <c r="A945" s="10"/>
      <c r="I945" s="10"/>
    </row>
    <row r="946">
      <c r="A946" s="10"/>
      <c r="I946" s="10"/>
    </row>
    <row r="947">
      <c r="A947" s="10"/>
      <c r="I947" s="10"/>
    </row>
    <row r="948">
      <c r="A948" s="10"/>
      <c r="I948" s="10"/>
    </row>
    <row r="949">
      <c r="A949" s="10"/>
      <c r="I949" s="10"/>
    </row>
    <row r="950">
      <c r="A950" s="10"/>
      <c r="I950" s="10"/>
    </row>
    <row r="951">
      <c r="A951" s="10"/>
      <c r="I951" s="10"/>
    </row>
    <row r="952">
      <c r="A952" s="10"/>
      <c r="I952" s="10"/>
    </row>
    <row r="953">
      <c r="A953" s="10"/>
      <c r="I953" s="10"/>
    </row>
    <row r="954">
      <c r="A954" s="10"/>
      <c r="I954" s="10"/>
    </row>
    <row r="955">
      <c r="A955" s="10"/>
      <c r="I955" s="10"/>
    </row>
    <row r="956">
      <c r="A956" s="10"/>
      <c r="I956" s="10"/>
    </row>
    <row r="957">
      <c r="A957" s="10"/>
      <c r="I957" s="10"/>
    </row>
    <row r="958">
      <c r="A958" s="10"/>
      <c r="I958" s="10"/>
    </row>
    <row r="959">
      <c r="A959" s="10"/>
      <c r="I959" s="10"/>
    </row>
    <row r="960">
      <c r="A960" s="10"/>
      <c r="I960" s="10"/>
    </row>
    <row r="961">
      <c r="A961" s="10"/>
      <c r="I961" s="10"/>
    </row>
    <row r="962">
      <c r="A962" s="10"/>
      <c r="I962" s="10"/>
    </row>
    <row r="963">
      <c r="A963" s="10"/>
      <c r="I963" s="10"/>
    </row>
    <row r="964">
      <c r="A964" s="10"/>
      <c r="I964" s="10"/>
    </row>
    <row r="965">
      <c r="A965" s="10"/>
      <c r="I965" s="10"/>
    </row>
    <row r="966">
      <c r="A966" s="10"/>
      <c r="I966" s="10"/>
    </row>
    <row r="967">
      <c r="A967" s="10"/>
      <c r="I967" s="10"/>
    </row>
    <row r="968">
      <c r="A968" s="10"/>
      <c r="I968" s="10"/>
    </row>
    <row r="969">
      <c r="A969" s="10"/>
      <c r="I969" s="10"/>
    </row>
    <row r="970">
      <c r="A970" s="10"/>
      <c r="I970" s="10"/>
    </row>
    <row r="971">
      <c r="A971" s="10"/>
      <c r="I971" s="10"/>
    </row>
    <row r="972">
      <c r="A972" s="10"/>
      <c r="I972" s="10"/>
    </row>
    <row r="973">
      <c r="A973" s="10"/>
      <c r="I973" s="10"/>
    </row>
    <row r="974">
      <c r="A974" s="10"/>
      <c r="I974" s="10"/>
    </row>
    <row r="975">
      <c r="A975" s="10"/>
      <c r="I975" s="10"/>
    </row>
    <row r="976">
      <c r="A976" s="10"/>
      <c r="I976" s="10"/>
    </row>
    <row r="977">
      <c r="A977" s="10"/>
      <c r="I977" s="10"/>
    </row>
    <row r="978">
      <c r="A978" s="10"/>
      <c r="I978" s="10"/>
    </row>
    <row r="979">
      <c r="A979" s="10"/>
      <c r="I979" s="10"/>
    </row>
    <row r="980">
      <c r="A980" s="10"/>
      <c r="I980" s="10"/>
    </row>
    <row r="981">
      <c r="A981" s="10"/>
      <c r="I981" s="10"/>
    </row>
    <row r="982">
      <c r="A982" s="10"/>
      <c r="I982" s="10"/>
    </row>
    <row r="983">
      <c r="A983" s="10"/>
      <c r="I983" s="10"/>
    </row>
    <row r="984">
      <c r="A984" s="10"/>
      <c r="I984" s="10"/>
    </row>
    <row r="985">
      <c r="A985" s="10"/>
      <c r="I985" s="10"/>
    </row>
    <row r="986">
      <c r="A986" s="10"/>
      <c r="I986" s="10"/>
    </row>
    <row r="987">
      <c r="A987" s="10"/>
      <c r="I987" s="10"/>
    </row>
    <row r="988">
      <c r="A988" s="10"/>
      <c r="I988" s="10"/>
    </row>
    <row r="989">
      <c r="A989" s="10"/>
      <c r="I989" s="10"/>
    </row>
    <row r="990">
      <c r="A990" s="10"/>
      <c r="I990" s="10"/>
    </row>
    <row r="991">
      <c r="A991" s="10"/>
      <c r="I991" s="10"/>
    </row>
    <row r="992">
      <c r="A992" s="10"/>
      <c r="I992" s="10"/>
    </row>
    <row r="993">
      <c r="A993" s="10"/>
      <c r="I993" s="10"/>
    </row>
    <row r="994">
      <c r="A994" s="10"/>
      <c r="I994" s="10"/>
    </row>
    <row r="995">
      <c r="A995" s="10"/>
      <c r="I995" s="10"/>
    </row>
    <row r="996">
      <c r="A996" s="10"/>
      <c r="I996" s="10"/>
    </row>
    <row r="997">
      <c r="A997" s="10"/>
      <c r="I997" s="10"/>
    </row>
    <row r="998">
      <c r="A998" s="10"/>
      <c r="I998" s="10"/>
    </row>
    <row r="999">
      <c r="A999" s="10"/>
      <c r="I999" s="10"/>
    </row>
    <row r="1000">
      <c r="A1000" s="10"/>
      <c r="I1000" s="10"/>
    </row>
    <row r="1001">
      <c r="A1001" s="10"/>
      <c r="I1001" s="10"/>
    </row>
    <row r="1002">
      <c r="A1002" s="10"/>
      <c r="I1002" s="10"/>
    </row>
    <row r="1003">
      <c r="A1003" s="10"/>
      <c r="I1003" s="10"/>
    </row>
    <row r="1004">
      <c r="A1004" s="10"/>
      <c r="I1004" s="10"/>
    </row>
    <row r="1005">
      <c r="A1005" s="10"/>
      <c r="I1005" s="10"/>
    </row>
    <row r="1006">
      <c r="A1006" s="10"/>
      <c r="I1006" s="10"/>
    </row>
    <row r="1007">
      <c r="A1007" s="10"/>
      <c r="I1007" s="10"/>
    </row>
    <row r="1008">
      <c r="A1008" s="10"/>
      <c r="I1008" s="10"/>
    </row>
    <row r="1009">
      <c r="A1009" s="10"/>
      <c r="I1009" s="10"/>
    </row>
    <row r="1010">
      <c r="A1010" s="10"/>
      <c r="I1010" s="10"/>
    </row>
    <row r="1011">
      <c r="A1011" s="10"/>
      <c r="I1011" s="10"/>
    </row>
    <row r="1012">
      <c r="A1012" s="10"/>
      <c r="I1012" s="10"/>
    </row>
    <row r="1013">
      <c r="A1013" s="10"/>
      <c r="I1013" s="10"/>
    </row>
    <row r="1014">
      <c r="A1014" s="10"/>
      <c r="I1014" s="10"/>
    </row>
    <row r="1015">
      <c r="A1015" s="10"/>
      <c r="I1015" s="10"/>
    </row>
    <row r="1016">
      <c r="A1016" s="10"/>
      <c r="I1016" s="10"/>
    </row>
    <row r="1017">
      <c r="A1017" s="10"/>
      <c r="I1017" s="10"/>
    </row>
    <row r="1018">
      <c r="A1018" s="10"/>
      <c r="I1018" s="10"/>
    </row>
    <row r="1019">
      <c r="A1019" s="10"/>
      <c r="I1019" s="10"/>
    </row>
    <row r="1020">
      <c r="A1020" s="10"/>
      <c r="I1020" s="10"/>
    </row>
    <row r="1021">
      <c r="A1021" s="10"/>
      <c r="I1021" s="10"/>
    </row>
    <row r="1022">
      <c r="A1022" s="10"/>
      <c r="I1022" s="10"/>
    </row>
    <row r="1023">
      <c r="A1023" s="10"/>
      <c r="I1023" s="10"/>
    </row>
    <row r="1024">
      <c r="A1024" s="10"/>
      <c r="I1024" s="10"/>
    </row>
    <row r="1025">
      <c r="A1025" s="10"/>
      <c r="I1025" s="10"/>
    </row>
    <row r="1026">
      <c r="A1026" s="10"/>
      <c r="I1026" s="10"/>
    </row>
    <row r="1027">
      <c r="A1027" s="10"/>
      <c r="I1027" s="10"/>
    </row>
    <row r="1028">
      <c r="A1028" s="10"/>
      <c r="I1028" s="10"/>
    </row>
    <row r="1029">
      <c r="A1029" s="10"/>
      <c r="I1029" s="10"/>
    </row>
    <row r="1030">
      <c r="A1030" s="10"/>
      <c r="I1030" s="10"/>
    </row>
    <row r="1031">
      <c r="A1031" s="10"/>
      <c r="I1031" s="10"/>
    </row>
    <row r="1032">
      <c r="A1032" s="10"/>
      <c r="I1032" s="10"/>
    </row>
    <row r="1033">
      <c r="A1033" s="10"/>
      <c r="I1033" s="10"/>
    </row>
    <row r="1034">
      <c r="A1034" s="10"/>
      <c r="I1034" s="10"/>
    </row>
    <row r="1035">
      <c r="A1035" s="10"/>
      <c r="I1035" s="10"/>
    </row>
    <row r="1036">
      <c r="A1036" s="10"/>
      <c r="I1036" s="10"/>
    </row>
    <row r="1037">
      <c r="A1037" s="10"/>
      <c r="I1037" s="10"/>
    </row>
    <row r="1038">
      <c r="A1038" s="10"/>
      <c r="I1038" s="10"/>
    </row>
    <row r="1039">
      <c r="A1039" s="10"/>
      <c r="I1039" s="10"/>
    </row>
    <row r="1040">
      <c r="A1040" s="10"/>
      <c r="I1040" s="10"/>
    </row>
    <row r="1041">
      <c r="A1041" s="10"/>
      <c r="I1041" s="10"/>
    </row>
    <row r="1042">
      <c r="A1042" s="10"/>
      <c r="I1042" s="10"/>
    </row>
    <row r="1043">
      <c r="A1043" s="10"/>
      <c r="I1043" s="10"/>
    </row>
    <row r="1044">
      <c r="A1044" s="10"/>
      <c r="I1044" s="10"/>
    </row>
    <row r="1045">
      <c r="A1045" s="10"/>
      <c r="I1045" s="10"/>
    </row>
    <row r="1046">
      <c r="A1046" s="10"/>
      <c r="I1046" s="10"/>
    </row>
    <row r="1047">
      <c r="A1047" s="10"/>
      <c r="I1047" s="10"/>
    </row>
    <row r="1048">
      <c r="A1048" s="10"/>
      <c r="I1048" s="10"/>
    </row>
    <row r="1049">
      <c r="A1049" s="10"/>
      <c r="I1049" s="10"/>
    </row>
    <row r="1050">
      <c r="A1050" s="10"/>
      <c r="I1050" s="10"/>
    </row>
    <row r="1051">
      <c r="A1051" s="10"/>
      <c r="I1051" s="10"/>
    </row>
    <row r="1052">
      <c r="A1052" s="10"/>
      <c r="I1052" s="10"/>
    </row>
    <row r="1053">
      <c r="A1053" s="39"/>
      <c r="I1053" s="10"/>
    </row>
    <row r="1054">
      <c r="A1054" s="39"/>
      <c r="I1054" s="10"/>
    </row>
    <row r="1055">
      <c r="A1055" s="39"/>
      <c r="I1055" s="10"/>
    </row>
    <row r="1056">
      <c r="A1056" s="39"/>
      <c r="I1056" s="10"/>
    </row>
  </sheetData>
  <mergeCells count="4">
    <mergeCell ref="I2:P2"/>
    <mergeCell ref="I25:P25"/>
    <mergeCell ref="I34:P34"/>
    <mergeCell ref="I57:P5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75"/>
    <col customWidth="1" min="2" max="2" width="15.75"/>
    <col customWidth="1" min="3" max="3" width="15.25"/>
    <col customWidth="1" min="4" max="4" width="14.0"/>
    <col customWidth="1" min="5" max="5" width="14.63"/>
    <col customWidth="1" min="6" max="6" width="15.75"/>
    <col customWidth="1" min="7" max="7" width="16.25"/>
    <col customWidth="1" min="8" max="8" width="16.38"/>
  </cols>
  <sheetData>
    <row r="1">
      <c r="A1" s="1" t="s">
        <v>0</v>
      </c>
      <c r="B1" s="39" t="s">
        <v>1</v>
      </c>
      <c r="C1" s="39" t="s">
        <v>2</v>
      </c>
      <c r="D1" s="39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3" t="s">
        <v>8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</row>
    <row r="2">
      <c r="A2" s="4" t="s">
        <v>9</v>
      </c>
      <c r="B2" s="41"/>
      <c r="C2" s="41"/>
      <c r="D2" s="41"/>
      <c r="E2" s="41"/>
      <c r="F2" s="41"/>
      <c r="G2" s="41"/>
      <c r="H2" s="41"/>
      <c r="I2" s="5" t="s">
        <v>9</v>
      </c>
    </row>
    <row r="3">
      <c r="A3" s="6" t="s">
        <v>10</v>
      </c>
      <c r="B3" s="16" t="s">
        <v>1581</v>
      </c>
      <c r="C3" s="16" t="s">
        <v>1582</v>
      </c>
      <c r="D3" s="16" t="s">
        <v>1583</v>
      </c>
      <c r="E3" s="16" t="s">
        <v>1584</v>
      </c>
      <c r="F3" s="16" t="s">
        <v>1585</v>
      </c>
      <c r="G3" s="16" t="s">
        <v>1586</v>
      </c>
      <c r="H3" s="16" t="s">
        <v>1587</v>
      </c>
      <c r="I3" s="8" t="str">
        <f t="shared" ref="I3:I24" si="1">A3</f>
        <v>CM1→MW1</v>
      </c>
      <c r="J3" s="10" t="str">
        <f>IFERROR(__xludf.DUMMYFUNCTION("TEXT(VALUE(REGEXEXTRACT(B3,""^[+-]?[0-9]*\.?[0-9]+""))*100,""0.00"")&amp;"" +/- ""&amp;TEXT(VALUE(REGEXEXTRACT(B3,""[0-9]*\.?[0-9]+$""))*100,""0.00"")"),"78.27 +/- 0.57")</f>
        <v>78.27 +/- 0.57</v>
      </c>
      <c r="K3" s="9" t="str">
        <f>IFERROR(__xludf.DUMMYFUNCTION("TEXT(VALUE(REGEXEXTRACT(C3,""^[+-]?[0-9]*\.?[0-9]+""))*100,""0.00"")&amp;"" +/- ""&amp;TEXT(VALUE(REGEXEXTRACT(C3,""[0-9]*\.?[0-9]+$""))*100,""0.00"")"),"64.16 +/- 0.00")</f>
        <v>64.16 +/- 0.00</v>
      </c>
      <c r="L3" s="9" t="str">
        <f>IFERROR(__xludf.DUMMYFUNCTION("TEXT(VALUE(REGEXEXTRACT(D3,""^[+-]?[0-9]*\.?[0-9]+""))*100,""0.00"")&amp;"" +/- ""&amp;TEXT(VALUE(REGEXEXTRACT(D3,""[0-9]*\.?[0-9]+$""))*100,""0.00"")"),"57.24 +/- 0.00")</f>
        <v>57.24 +/- 0.00</v>
      </c>
      <c r="M3" s="9" t="str">
        <f>IFERROR(__xludf.DUMMYFUNCTION("TEXT(VALUE(REGEXEXTRACT(E3,""^[+-]?[0-9]*\.?[0-9]+""))*100,""0.00"")&amp;"" +/- ""&amp;TEXT(VALUE(REGEXEXTRACT(E3,""[0-9]*\.?[0-9]+$""))*100,""0.00"")"),"68.56 +/- 2.44")</f>
        <v>68.56 +/- 2.44</v>
      </c>
      <c r="N3" s="9" t="str">
        <f>IFERROR(__xludf.DUMMYFUNCTION("TEXT(VALUE(REGEXEXTRACT(F3,""^[+-]?[0-9]*\.?[0-9]+""))*100,""0.00"")&amp;"" +/- ""&amp;TEXT(VALUE(REGEXEXTRACT(F3,""[0-9]*\.?[0-9]+$""))*100,""0.00"")"),"67.31 +/- 1.32")</f>
        <v>67.31 +/- 1.32</v>
      </c>
      <c r="O3" s="9" t="str">
        <f>IFERROR(__xludf.DUMMYFUNCTION("TEXT(VALUE(REGEXEXTRACT(G3,""^[+-]?[0-9]*\.?[0-9]+""))*100,""0.00"")&amp;"" +/- ""&amp;TEXT(VALUE(REGEXEXTRACT(G3,""[0-9]*\.?[0-9]+$""))*100,""0.00"")"),"67.99 +/- 2.65")</f>
        <v>67.99 +/- 2.65</v>
      </c>
      <c r="P3" s="9" t="str">
        <f>IFERROR(__xludf.DUMMYFUNCTION("TEXT(VALUE(REGEXEXTRACT(H3,""^[+-]?[0-9]*\.?[0-9]+""))*100,""0.00"")&amp;"" +/- ""&amp;TEXT(VALUE(REGEXEXTRACT(H3,""[0-9]*\.?[0-9]+$""))*100,""0.00"")"),"57.99 +/- 0.89")</f>
        <v>57.99 +/- 0.89</v>
      </c>
    </row>
    <row r="4">
      <c r="A4" s="6" t="s">
        <v>18</v>
      </c>
      <c r="B4" s="16" t="s">
        <v>1644</v>
      </c>
      <c r="C4" s="16" t="s">
        <v>1645</v>
      </c>
      <c r="D4" s="16" t="s">
        <v>1646</v>
      </c>
      <c r="E4" s="16" t="s">
        <v>1647</v>
      </c>
      <c r="F4" s="16" t="s">
        <v>1648</v>
      </c>
      <c r="G4" s="16" t="s">
        <v>1649</v>
      </c>
      <c r="H4" s="16" t="s">
        <v>1650</v>
      </c>
      <c r="I4" s="8" t="str">
        <f t="shared" si="1"/>
        <v>CM1→PC1</v>
      </c>
      <c r="J4" s="9" t="str">
        <f>IFERROR(__xludf.DUMMYFUNCTION("TEXT(VALUE(REGEXEXTRACT(B4,""^[+-]?[0-9]*\.?[0-9]+""))*100,""0.00"")&amp;"" +/- ""&amp;TEXT(VALUE(REGEXEXTRACT(B4,""[0-9]*\.?[0-9]+$""))*100,""0.00"")"),"70.77 +/- 0.74")</f>
        <v>70.77 +/- 0.74</v>
      </c>
      <c r="K4" s="9" t="str">
        <f>IFERROR(__xludf.DUMMYFUNCTION("TEXT(VALUE(REGEXEXTRACT(C4,""^[+-]?[0-9]*\.?[0-9]+""))*100,""0.00"")&amp;"" +/- ""&amp;TEXT(VALUE(REGEXEXTRACT(C4,""[0-9]*\.?[0-9]+$""))*100,""0.00"")"),"71.12 +/- 0.00")</f>
        <v>71.12 +/- 0.00</v>
      </c>
      <c r="L4" s="10" t="str">
        <f>IFERROR(__xludf.DUMMYFUNCTION("TEXT(VALUE(REGEXEXTRACT(D4,""^[+-]?[0-9]*\.?[0-9]+""))*100,""0.00"")&amp;"" +/- ""&amp;TEXT(VALUE(REGEXEXTRACT(D4,""[0-9]*\.?[0-9]+$""))*100,""0.00"")"),"78.96 +/- 0.00")</f>
        <v>78.96 +/- 0.00</v>
      </c>
      <c r="M4" s="9" t="str">
        <f>IFERROR(__xludf.DUMMYFUNCTION("TEXT(VALUE(REGEXEXTRACT(E4,""^[+-]?[0-9]*\.?[0-9]+""))*100,""0.00"")&amp;"" +/- ""&amp;TEXT(VALUE(REGEXEXTRACT(E4,""[0-9]*\.?[0-9]+$""))*100,""0.00"")"),"71.85 +/- 1.06")</f>
        <v>71.85 +/- 1.06</v>
      </c>
      <c r="N4" s="9" t="str">
        <f>IFERROR(__xludf.DUMMYFUNCTION("TEXT(VALUE(REGEXEXTRACT(F4,""^[+-]?[0-9]*\.?[0-9]+""))*100,""0.00"")&amp;"" +/- ""&amp;TEXT(VALUE(REGEXEXTRACT(F4,""[0-9]*\.?[0-9]+$""))*100,""0.00"")"),"71.53 +/- 0.62")</f>
        <v>71.53 +/- 0.62</v>
      </c>
      <c r="O4" s="9" t="str">
        <f>IFERROR(__xludf.DUMMYFUNCTION("TEXT(VALUE(REGEXEXTRACT(G4,""^[+-]?[0-9]*\.?[0-9]+""))*100,""0.00"")&amp;"" +/- ""&amp;TEXT(VALUE(REGEXEXTRACT(G4,""[0-9]*\.?[0-9]+$""))*100,""0.00"")"),"71.99 +/- 1.21")</f>
        <v>71.99 +/- 1.21</v>
      </c>
      <c r="P4" s="9" t="str">
        <f>IFERROR(__xludf.DUMMYFUNCTION("TEXT(VALUE(REGEXEXTRACT(H4,""^[+-]?[0-9]*\.?[0-9]+""))*100,""0.00"")&amp;"" +/- ""&amp;TEXT(VALUE(REGEXEXTRACT(H4,""[0-9]*\.?[0-9]+$""))*100,""0.00"")"),"70.52 +/- 0.67")</f>
        <v>70.52 +/- 0.67</v>
      </c>
    </row>
    <row r="5">
      <c r="A5" s="6" t="s">
        <v>26</v>
      </c>
      <c r="B5" s="16" t="s">
        <v>1651</v>
      </c>
      <c r="C5" s="16" t="s">
        <v>1652</v>
      </c>
      <c r="D5" s="16" t="s">
        <v>1653</v>
      </c>
      <c r="E5" s="16" t="s">
        <v>1654</v>
      </c>
      <c r="F5" s="16" t="s">
        <v>1655</v>
      </c>
      <c r="G5" s="16" t="s">
        <v>1656</v>
      </c>
      <c r="H5" s="16" t="s">
        <v>1657</v>
      </c>
      <c r="I5" s="8" t="str">
        <f t="shared" si="1"/>
        <v>CM1→PC3</v>
      </c>
      <c r="J5" s="9" t="str">
        <f>IFERROR(__xludf.DUMMYFUNCTION("TEXT(VALUE(REGEXEXTRACT(B5,""^[+-]?[0-9]*\.?[0-9]+""))*100,""0.00"")&amp;"" +/- ""&amp;TEXT(VALUE(REGEXEXTRACT(B5,""[0-9]*\.?[0-9]+$""))*100,""0.00"")"),"68.07 +/- 0.61")</f>
        <v>68.07 +/- 0.61</v>
      </c>
      <c r="K5" s="9" t="str">
        <f>IFERROR(__xludf.DUMMYFUNCTION("TEXT(VALUE(REGEXEXTRACT(C5,""^[+-]?[0-9]*\.?[0-9]+""))*100,""0.00"")&amp;"" +/- ""&amp;TEXT(VALUE(REGEXEXTRACT(C5,""[0-9]*\.?[0-9]+$""))*100,""0.00"")"),"63.89 +/- 0.00")</f>
        <v>63.89 +/- 0.00</v>
      </c>
      <c r="L5" s="10" t="str">
        <f>IFERROR(__xludf.DUMMYFUNCTION("TEXT(VALUE(REGEXEXTRACT(D5,""^[+-]?[0-9]*\.?[0-9]+""))*100,""0.00"")&amp;"" +/- ""&amp;TEXT(VALUE(REGEXEXTRACT(D5,""[0-9]*\.?[0-9]+$""))*100,""0.00"")"),"68.74 +/- 0.00")</f>
        <v>68.74 +/- 0.00</v>
      </c>
      <c r="M5" s="9" t="str">
        <f>IFERROR(__xludf.DUMMYFUNCTION("TEXT(VALUE(REGEXEXTRACT(E5,""^[+-]?[0-9]*\.?[0-9]+""))*100,""0.00"")&amp;"" +/- ""&amp;TEXT(VALUE(REGEXEXTRACT(E5,""[0-9]*\.?[0-9]+$""))*100,""0.00"")"),"64.13 +/- 1.04")</f>
        <v>64.13 +/- 1.04</v>
      </c>
      <c r="N5" s="9" t="str">
        <f>IFERROR(__xludf.DUMMYFUNCTION("TEXT(VALUE(REGEXEXTRACT(F5,""^[+-]?[0-9]*\.?[0-9]+""))*100,""0.00"")&amp;"" +/- ""&amp;TEXT(VALUE(REGEXEXTRACT(F5,""[0-9]*\.?[0-9]+$""))*100,""0.00"")"),"62.86 +/- 0.51")</f>
        <v>62.86 +/- 0.51</v>
      </c>
      <c r="O5" s="9" t="str">
        <f>IFERROR(__xludf.DUMMYFUNCTION("TEXT(VALUE(REGEXEXTRACT(G5,""^[+-]?[0-9]*\.?[0-9]+""))*100,""0.00"")&amp;"" +/- ""&amp;TEXT(VALUE(REGEXEXTRACT(G5,""[0-9]*\.?[0-9]+$""))*100,""0.00"")"),"63.52 +/- 1.11")</f>
        <v>63.52 +/- 1.11</v>
      </c>
      <c r="P5" s="9" t="str">
        <f>IFERROR(__xludf.DUMMYFUNCTION("TEXT(VALUE(REGEXEXTRACT(H5,""^[+-]?[0-9]*\.?[0-9]+""))*100,""0.00"")&amp;"" +/- ""&amp;TEXT(VALUE(REGEXEXTRACT(H5,""[0-9]*\.?[0-9]+$""))*100,""0.00"")"),"63.64 +/- 0.63")</f>
        <v>63.64 +/- 0.63</v>
      </c>
    </row>
    <row r="6">
      <c r="A6" s="6" t="s">
        <v>34</v>
      </c>
      <c r="B6" s="16" t="s">
        <v>1658</v>
      </c>
      <c r="C6" s="16" t="s">
        <v>1659</v>
      </c>
      <c r="D6" s="16" t="s">
        <v>1660</v>
      </c>
      <c r="E6" s="16" t="s">
        <v>1661</v>
      </c>
      <c r="F6" s="16" t="s">
        <v>1662</v>
      </c>
      <c r="G6" s="16" t="s">
        <v>1663</v>
      </c>
      <c r="H6" s="16" t="s">
        <v>1664</v>
      </c>
      <c r="I6" s="8" t="str">
        <f t="shared" si="1"/>
        <v>CM1→PC4</v>
      </c>
      <c r="J6" s="9" t="str">
        <f>IFERROR(__xludf.DUMMYFUNCTION("TEXT(VALUE(REGEXEXTRACT(B6,""^[+-]?[0-9]*\.?[0-9]+""))*100,""0.00"")&amp;"" +/- ""&amp;TEXT(VALUE(REGEXEXTRACT(B6,""[0-9]*\.?[0-9]+$""))*100,""0.00"")"),"60.00 +/- 0.52")</f>
        <v>60.00 +/- 0.52</v>
      </c>
      <c r="K6" s="9" t="str">
        <f>IFERROR(__xludf.DUMMYFUNCTION("TEXT(VALUE(REGEXEXTRACT(C6,""^[+-]?[0-9]*\.?[0-9]+""))*100,""0.00"")&amp;"" +/- ""&amp;TEXT(VALUE(REGEXEXTRACT(C6,""[0-9]*\.?[0-9]+$""))*100,""0.00"")"),"58.28 +/- 0.00")</f>
        <v>58.28 +/- 0.00</v>
      </c>
      <c r="L6" s="10" t="str">
        <f>IFERROR(__xludf.DUMMYFUNCTION("TEXT(VALUE(REGEXEXTRACT(D6,""^[+-]?[0-9]*\.?[0-9]+""))*100,""0.00"")&amp;"" +/- ""&amp;TEXT(VALUE(REGEXEXTRACT(D6,""[0-9]*\.?[0-9]+$""))*100,""0.00"")"),"68.52 +/- 0.00")</f>
        <v>68.52 +/- 0.00</v>
      </c>
      <c r="M6" s="9" t="str">
        <f>IFERROR(__xludf.DUMMYFUNCTION("TEXT(VALUE(REGEXEXTRACT(E6,""^[+-]?[0-9]*\.?[0-9]+""))*100,""0.00"")&amp;"" +/- ""&amp;TEXT(VALUE(REGEXEXTRACT(E6,""[0-9]*\.?[0-9]+$""))*100,""0.00"")"),"59.65 +/- 1.27")</f>
        <v>59.65 +/- 1.27</v>
      </c>
      <c r="N6" s="9" t="str">
        <f>IFERROR(__xludf.DUMMYFUNCTION("TEXT(VALUE(REGEXEXTRACT(F6,""^[+-]?[0-9]*\.?[0-9]+""))*100,""0.00"")&amp;"" +/- ""&amp;TEXT(VALUE(REGEXEXTRACT(F6,""[0-9]*\.?[0-9]+$""))*100,""0.00"")"),"58.10 +/- 0.73")</f>
        <v>58.10 +/- 0.73</v>
      </c>
      <c r="O6" s="9" t="str">
        <f>IFERROR(__xludf.DUMMYFUNCTION("TEXT(VALUE(REGEXEXTRACT(G6,""^[+-]?[0-9]*\.?[0-9]+""))*100,""0.00"")&amp;"" +/- ""&amp;TEXT(VALUE(REGEXEXTRACT(G6,""[0-9]*\.?[0-9]+$""))*100,""0.00"")"),"58.13 +/- 1.18")</f>
        <v>58.13 +/- 1.18</v>
      </c>
      <c r="P6" s="9" t="str">
        <f>IFERROR(__xludf.DUMMYFUNCTION("TEXT(VALUE(REGEXEXTRACT(H6,""^[+-]?[0-9]*\.?[0-9]+""))*100,""0.00"")&amp;"" +/- ""&amp;TEXT(VALUE(REGEXEXTRACT(H6,""[0-9]*\.?[0-9]+$""))*100,""0.00"")"),"53.85 +/- 0.80")</f>
        <v>53.85 +/- 0.80</v>
      </c>
    </row>
    <row r="7">
      <c r="A7" s="6" t="s">
        <v>42</v>
      </c>
      <c r="B7" s="16" t="s">
        <v>1665</v>
      </c>
      <c r="C7" s="16" t="s">
        <v>1666</v>
      </c>
      <c r="D7" s="16" t="s">
        <v>1667</v>
      </c>
      <c r="E7" s="16" t="s">
        <v>1668</v>
      </c>
      <c r="F7" s="16" t="s">
        <v>1669</v>
      </c>
      <c r="G7" s="16" t="s">
        <v>1670</v>
      </c>
      <c r="H7" s="16" t="s">
        <v>1671</v>
      </c>
      <c r="I7" s="8" t="str">
        <f t="shared" si="1"/>
        <v>MW1→CM1</v>
      </c>
      <c r="J7" s="9" t="str">
        <f>IFERROR(__xludf.DUMMYFUNCTION("TEXT(VALUE(REGEXEXTRACT(B7,""^[+-]?[0-9]*\.?[0-9]+""))*100,""0.00"")&amp;"" +/- ""&amp;TEXT(VALUE(REGEXEXTRACT(B7,""[0-9]*\.?[0-9]+$""))*100,""0.00"")"),"63.13 +/- 0.41")</f>
        <v>63.13 +/- 0.41</v>
      </c>
      <c r="K7" s="9" t="str">
        <f>IFERROR(__xludf.DUMMYFUNCTION("TEXT(VALUE(REGEXEXTRACT(C7,""^[+-]?[0-9]*\.?[0-9]+""))*100,""0.00"")&amp;"" +/- ""&amp;TEXT(VALUE(REGEXEXTRACT(C7,""[0-9]*\.?[0-9]+$""))*100,""0.00"")"),"62.33 +/- 0.00")</f>
        <v>62.33 +/- 0.00</v>
      </c>
      <c r="L7" s="9" t="str">
        <f>IFERROR(__xludf.DUMMYFUNCTION("TEXT(VALUE(REGEXEXTRACT(D7,""^[+-]?[0-9]*\.?[0-9]+""))*100,""0.00"")&amp;"" +/- ""&amp;TEXT(VALUE(REGEXEXTRACT(D7,""[0-9]*\.?[0-9]+$""))*100,""0.00"")"),"52.20 +/- 0.00")</f>
        <v>52.20 +/- 0.00</v>
      </c>
      <c r="M7" s="9" t="str">
        <f>IFERROR(__xludf.DUMMYFUNCTION("TEXT(VALUE(REGEXEXTRACT(E7,""^[+-]?[0-9]*\.?[0-9]+""))*100,""0.00"")&amp;"" +/- ""&amp;TEXT(VALUE(REGEXEXTRACT(E7,""[0-9]*\.?[0-9]+$""))*100,""0.00"")"),"64.59 +/- 0.88")</f>
        <v>64.59 +/- 0.88</v>
      </c>
      <c r="N7" s="9" t="str">
        <f>IFERROR(__xludf.DUMMYFUNCTION("TEXT(VALUE(REGEXEXTRACT(F7,""^[+-]?[0-9]*\.?[0-9]+""))*100,""0.00"")&amp;"" +/- ""&amp;TEXT(VALUE(REGEXEXTRACT(F7,""[0-9]*\.?[0-9]+$""))*100,""0.00"")"),"64.58 +/- 0.59")</f>
        <v>64.58 +/- 0.59</v>
      </c>
      <c r="O7" s="10" t="str">
        <f>IFERROR(__xludf.DUMMYFUNCTION("TEXT(VALUE(REGEXEXTRACT(G7,""^[+-]?[0-9]*\.?[0-9]+""))*100,""0.00"")&amp;"" +/- ""&amp;TEXT(VALUE(REGEXEXTRACT(G7,""[0-9]*\.?[0-9]+$""))*100,""0.00"")"),"65.47 +/- 0.76")</f>
        <v>65.47 +/- 0.76</v>
      </c>
      <c r="P7" s="9" t="str">
        <f>IFERROR(__xludf.DUMMYFUNCTION("TEXT(VALUE(REGEXEXTRACT(H7,""^[+-]?[0-9]*\.?[0-9]+""))*100,""0.00"")&amp;"" +/- ""&amp;TEXT(VALUE(REGEXEXTRACT(H7,""[0-9]*\.?[0-9]+$""))*100,""0.00"")"),"63.95 +/- 0.64")</f>
        <v>63.95 +/- 0.64</v>
      </c>
    </row>
    <row r="8">
      <c r="A8" s="6" t="s">
        <v>50</v>
      </c>
      <c r="B8" s="16" t="s">
        <v>1673</v>
      </c>
      <c r="C8" s="16" t="s">
        <v>1674</v>
      </c>
      <c r="D8" s="16" t="s">
        <v>1676</v>
      </c>
      <c r="E8" s="16" t="s">
        <v>1678</v>
      </c>
      <c r="F8" s="16" t="s">
        <v>1679</v>
      </c>
      <c r="G8" s="16" t="s">
        <v>1681</v>
      </c>
      <c r="H8" s="16" t="s">
        <v>1683</v>
      </c>
      <c r="I8" s="8" t="str">
        <f t="shared" si="1"/>
        <v>MW1→PC1</v>
      </c>
      <c r="J8" s="9" t="str">
        <f>IFERROR(__xludf.DUMMYFUNCTION("TEXT(VALUE(REGEXEXTRACT(B8,""^[+-]?[0-9]*\.?[0-9]+""))*100,""0.00"")&amp;"" +/- ""&amp;TEXT(VALUE(REGEXEXTRACT(B8,""[0-9]*\.?[0-9]+$""))*100,""0.00"")"),"49.43 +/- 0.62")</f>
        <v>49.43 +/- 0.62</v>
      </c>
      <c r="K8" s="9" t="str">
        <f>IFERROR(__xludf.DUMMYFUNCTION("TEXT(VALUE(REGEXEXTRACT(C8,""^[+-]?[0-9]*\.?[0-9]+""))*100,""0.00"")&amp;"" +/- ""&amp;TEXT(VALUE(REGEXEXTRACT(C8,""[0-9]*\.?[0-9]+$""))*100,""0.00"")"),"52.57 +/- 0.00")</f>
        <v>52.57 +/- 0.00</v>
      </c>
      <c r="L8" s="9" t="str">
        <f>IFERROR(__xludf.DUMMYFUNCTION("TEXT(VALUE(REGEXEXTRACT(D8,""^[+-]?[0-9]*\.?[0-9]+""))*100,""0.00"")&amp;"" +/- ""&amp;TEXT(VALUE(REGEXEXTRACT(D8,""[0-9]*\.?[0-9]+$""))*100,""0.00"")"),"48.26 +/- 0.00")</f>
        <v>48.26 +/- 0.00</v>
      </c>
      <c r="M8" s="9" t="str">
        <f>IFERROR(__xludf.DUMMYFUNCTION("TEXT(VALUE(REGEXEXTRACT(E8,""^[+-]?[0-9]*\.?[0-9]+""))*100,""0.00"")&amp;"" +/- ""&amp;TEXT(VALUE(REGEXEXTRACT(E8,""[0-9]*\.?[0-9]+$""))*100,""0.00"")"),"51.20 +/- 0.90")</f>
        <v>51.20 +/- 0.90</v>
      </c>
      <c r="N8" s="9" t="str">
        <f>IFERROR(__xludf.DUMMYFUNCTION("TEXT(VALUE(REGEXEXTRACT(F8,""^[+-]?[0-9]*\.?[0-9]+""))*100,""0.00"")&amp;"" +/- ""&amp;TEXT(VALUE(REGEXEXTRACT(F8,""[0-9]*\.?[0-9]+$""))*100,""0.00"")"),"51.58 +/- 0.88")</f>
        <v>51.58 +/- 0.88</v>
      </c>
      <c r="O8" s="9" t="str">
        <f>IFERROR(__xludf.DUMMYFUNCTION("TEXT(VALUE(REGEXEXTRACT(G8,""^[+-]?[0-9]*\.?[0-9]+""))*100,""0.00"")&amp;"" +/- ""&amp;TEXT(VALUE(REGEXEXTRACT(G8,""[0-9]*\.?[0-9]+$""))*100,""0.00"")"),"52.10 +/- 0.71")</f>
        <v>52.10 +/- 0.71</v>
      </c>
      <c r="P8" s="10" t="str">
        <f>IFERROR(__xludf.DUMMYFUNCTION("TEXT(VALUE(REGEXEXTRACT(H8,""^[+-]?[0-9]*\.?[0-9]+""))*100,""0.00"")&amp;"" +/- ""&amp;TEXT(VALUE(REGEXEXTRACT(H8,""[0-9]*\.?[0-9]+$""))*100,""0.00"")"),"57.95 +/- 0.33")</f>
        <v>57.95 +/- 0.33</v>
      </c>
    </row>
    <row r="9">
      <c r="A9" s="6" t="s">
        <v>58</v>
      </c>
      <c r="B9" s="16" t="s">
        <v>1696</v>
      </c>
      <c r="C9" s="16" t="s">
        <v>1698</v>
      </c>
      <c r="D9" s="16" t="s">
        <v>1700</v>
      </c>
      <c r="E9" s="16" t="s">
        <v>1702</v>
      </c>
      <c r="F9" s="16" t="s">
        <v>1704</v>
      </c>
      <c r="G9" s="16" t="s">
        <v>1705</v>
      </c>
      <c r="H9" s="16" t="s">
        <v>1706</v>
      </c>
      <c r="I9" s="8" t="str">
        <f t="shared" si="1"/>
        <v>MW1→PC3</v>
      </c>
      <c r="J9" s="10" t="str">
        <f>IFERROR(__xludf.DUMMYFUNCTION("TEXT(VALUE(REGEXEXTRACT(B9,""^[+-]?[0-9]*\.?[0-9]+""))*100,""0.00"")&amp;"" +/- ""&amp;TEXT(VALUE(REGEXEXTRACT(B9,""[0-9]*\.?[0-9]+$""))*100,""0.00"")"),"56.74 +/- 0.55")</f>
        <v>56.74 +/- 0.55</v>
      </c>
      <c r="K9" s="9" t="str">
        <f>IFERROR(__xludf.DUMMYFUNCTION("TEXT(VALUE(REGEXEXTRACT(C9,""^[+-]?[0-9]*\.?[0-9]+""))*100,""0.00"")&amp;"" +/- ""&amp;TEXT(VALUE(REGEXEXTRACT(C9,""[0-9]*\.?[0-9]+$""))*100,""0.00"")"),"54.09 +/- 0.00")</f>
        <v>54.09 +/- 0.00</v>
      </c>
      <c r="L9" s="9" t="str">
        <f>IFERROR(__xludf.DUMMYFUNCTION("TEXT(VALUE(REGEXEXTRACT(D9,""^[+-]?[0-9]*\.?[0-9]+""))*100,""0.00"")&amp;"" +/- ""&amp;TEXT(VALUE(REGEXEXTRACT(D9,""[0-9]*\.?[0-9]+$""))*100,""0.00"")"),"49.22 +/- 0.00")</f>
        <v>49.22 +/- 0.00</v>
      </c>
      <c r="M9" s="9" t="str">
        <f>IFERROR(__xludf.DUMMYFUNCTION("TEXT(VALUE(REGEXEXTRACT(E9,""^[+-]?[0-9]*\.?[0-9]+""))*100,""0.00"")&amp;"" +/- ""&amp;TEXT(VALUE(REGEXEXTRACT(E9,""[0-9]*\.?[0-9]+$""))*100,""0.00"")"),"55.07 +/- 0.61")</f>
        <v>55.07 +/- 0.61</v>
      </c>
      <c r="N9" s="9" t="str">
        <f>IFERROR(__xludf.DUMMYFUNCTION("TEXT(VALUE(REGEXEXTRACT(F9,""^[+-]?[0-9]*\.?[0-9]+""))*100,""0.00"")&amp;"" +/- ""&amp;TEXT(VALUE(REGEXEXTRACT(F9,""[0-9]*\.?[0-9]+$""))*100,""0.00"")"),"54.94 +/- 0.51")</f>
        <v>54.94 +/- 0.51</v>
      </c>
      <c r="O9" s="9" t="str">
        <f>IFERROR(__xludf.DUMMYFUNCTION("TEXT(VALUE(REGEXEXTRACT(G9,""^[+-]?[0-9]*\.?[0-9]+""))*100,""0.00"")&amp;"" +/- ""&amp;TEXT(VALUE(REGEXEXTRACT(G9,""[0-9]*\.?[0-9]+$""))*100,""0.00"")"),"55.97 +/- 0.49")</f>
        <v>55.97 +/- 0.49</v>
      </c>
      <c r="P9" s="9" t="str">
        <f>IFERROR(__xludf.DUMMYFUNCTION("TEXT(VALUE(REGEXEXTRACT(H9,""^[+-]?[0-9]*\.?[0-9]+""))*100,""0.00"")&amp;"" +/- ""&amp;TEXT(VALUE(REGEXEXTRACT(H9,""[0-9]*\.?[0-9]+$""))*100,""0.00"")"),"55.84 +/- 0.56")</f>
        <v>55.84 +/- 0.56</v>
      </c>
    </row>
    <row r="10">
      <c r="A10" s="6" t="s">
        <v>66</v>
      </c>
      <c r="B10" s="16" t="s">
        <v>1714</v>
      </c>
      <c r="C10" s="16" t="s">
        <v>1715</v>
      </c>
      <c r="D10" s="16" t="s">
        <v>1717</v>
      </c>
      <c r="E10" s="16" t="s">
        <v>1719</v>
      </c>
      <c r="F10" s="16" t="s">
        <v>1721</v>
      </c>
      <c r="G10" s="16" t="s">
        <v>1723</v>
      </c>
      <c r="H10" s="16" t="s">
        <v>1725</v>
      </c>
      <c r="I10" s="8" t="str">
        <f t="shared" si="1"/>
        <v>MW1→PC4</v>
      </c>
      <c r="J10" s="9" t="str">
        <f>IFERROR(__xludf.DUMMYFUNCTION("TEXT(VALUE(REGEXEXTRACT(B10,""^[+-]?[0-9]*\.?[0-9]+""))*100,""0.00"")&amp;"" +/- ""&amp;TEXT(VALUE(REGEXEXTRACT(B10,""[0-9]*\.?[0-9]+$""))*100,""0.00"")"),"33.28 +/- 0.64")</f>
        <v>33.28 +/- 0.64</v>
      </c>
      <c r="K10" s="9" t="str">
        <f>IFERROR(__xludf.DUMMYFUNCTION("TEXT(VALUE(REGEXEXTRACT(C10,""^[+-]?[0-9]*\.?[0-9]+""))*100,""0.00"")&amp;"" +/- ""&amp;TEXT(VALUE(REGEXEXTRACT(C10,""[0-9]*\.?[0-9]+$""))*100,""0.00"")"),"34.87 +/- 0.00")</f>
        <v>34.87 +/- 0.00</v>
      </c>
      <c r="L10" s="9" t="str">
        <f>IFERROR(__xludf.DUMMYFUNCTION("TEXT(VALUE(REGEXEXTRACT(D10,""^[+-]?[0-9]*\.?[0-9]+""))*100,""0.00"")&amp;"" +/- ""&amp;TEXT(VALUE(REGEXEXTRACT(D10,""[0-9]*\.?[0-9]+$""))*100,""0.00"")"),"67.05 +/- 0.00")</f>
        <v>67.05 +/- 0.00</v>
      </c>
      <c r="M10" s="9" t="str">
        <f>IFERROR(__xludf.DUMMYFUNCTION("TEXT(VALUE(REGEXEXTRACT(E10,""^[+-]?[0-9]*\.?[0-9]+""))*100,""0.00"")&amp;"" +/- ""&amp;TEXT(VALUE(REGEXEXTRACT(E10,""[0-9]*\.?[0-9]+$""))*100,""0.00"")"),"34.24 +/- 0.57")</f>
        <v>34.24 +/- 0.57</v>
      </c>
      <c r="N10" s="9" t="str">
        <f>IFERROR(__xludf.DUMMYFUNCTION("TEXT(VALUE(REGEXEXTRACT(F10,""^[+-]?[0-9]*\.?[0-9]+""))*100,""0.00"")&amp;"" +/- ""&amp;TEXT(VALUE(REGEXEXTRACT(F10,""[0-9]*\.?[0-9]+$""))*100,""0.00"")"),"34.81 +/- 0.64")</f>
        <v>34.81 +/- 0.64</v>
      </c>
      <c r="O10" s="9" t="str">
        <f>IFERROR(__xludf.DUMMYFUNCTION("TEXT(VALUE(REGEXEXTRACT(G10,""^[+-]?[0-9]*\.?[0-9]+""))*100,""0.00"")&amp;"" +/- ""&amp;TEXT(VALUE(REGEXEXTRACT(G10,""[0-9]*\.?[0-9]+$""))*100,""0.00"")"),"35.06 +/- 0.63")</f>
        <v>35.06 +/- 0.63</v>
      </c>
      <c r="P10" s="10" t="str">
        <f>IFERROR(__xludf.DUMMYFUNCTION("TEXT(VALUE(REGEXEXTRACT(H10,""^[+-]?[0-9]*\.?[0-9]+""))*100,""0.00"")&amp;"" +/- ""&amp;TEXT(VALUE(REGEXEXTRACT(H10,""[0-9]*\.?[0-9]+$""))*100,""0.00"")"),"40.78 +/- 0.39")</f>
        <v>40.78 +/- 0.39</v>
      </c>
    </row>
    <row r="11">
      <c r="A11" s="6" t="s">
        <v>79</v>
      </c>
      <c r="B11" s="16" t="s">
        <v>1730</v>
      </c>
      <c r="C11" s="16" t="s">
        <v>1733</v>
      </c>
      <c r="D11" s="16" t="s">
        <v>1736</v>
      </c>
      <c r="E11" s="16" t="s">
        <v>1739</v>
      </c>
      <c r="F11" s="16" t="s">
        <v>1742</v>
      </c>
      <c r="G11" s="16" t="s">
        <v>1745</v>
      </c>
      <c r="H11" s="16" t="s">
        <v>1747</v>
      </c>
      <c r="I11" s="8" t="str">
        <f t="shared" si="1"/>
        <v>PC1→CM1</v>
      </c>
      <c r="J11" s="10" t="str">
        <f>IFERROR(__xludf.DUMMYFUNCTION("TEXT(VALUE(REGEXEXTRACT(B11,""^[+-]?[0-9]*\.?[0-9]+""))*100,""0.00"")&amp;"" +/- ""&amp;TEXT(VALUE(REGEXEXTRACT(B11,""[0-9]*\.?[0-9]+$""))*100,""0.00"")"),"71.89 +/- 0.25")</f>
        <v>71.89 +/- 0.25</v>
      </c>
      <c r="K11" s="9" t="str">
        <f>IFERROR(__xludf.DUMMYFUNCTION("TEXT(VALUE(REGEXEXTRACT(C11,""^[+-]?[0-9]*\.?[0-9]+""))*100,""0.00"")&amp;"" +/- ""&amp;TEXT(VALUE(REGEXEXTRACT(C11,""[0-9]*\.?[0-9]+$""))*100,""0.00"")"),"69.97 +/- 0.00")</f>
        <v>69.97 +/- 0.00</v>
      </c>
      <c r="L11" s="9" t="str">
        <f>IFERROR(__xludf.DUMMYFUNCTION("TEXT(VALUE(REGEXEXTRACT(D11,""^[+-]?[0-9]*\.?[0-9]+""))*100,""0.00"")&amp;"" +/- ""&amp;TEXT(VALUE(REGEXEXTRACT(D11,""[0-9]*\.?[0-9]+$""))*100,""0.00"")"),"68.64 +/- 0.00")</f>
        <v>68.64 +/- 0.00</v>
      </c>
      <c r="M11" s="9" t="str">
        <f>IFERROR(__xludf.DUMMYFUNCTION("TEXT(VALUE(REGEXEXTRACT(E11,""^[+-]?[0-9]*\.?[0-9]+""))*100,""0.00"")&amp;"" +/- ""&amp;TEXT(VALUE(REGEXEXTRACT(E11,""[0-9]*\.?[0-9]+$""))*100,""0.00"")"),"71.28 +/- 0.39")</f>
        <v>71.28 +/- 0.39</v>
      </c>
      <c r="N11" s="9" t="str">
        <f>IFERROR(__xludf.DUMMYFUNCTION("TEXT(VALUE(REGEXEXTRACT(F11,""^[+-]?[0-9]*\.?[0-9]+""))*100,""0.00"")&amp;"" +/- ""&amp;TEXT(VALUE(REGEXEXTRACT(F11,""[0-9]*\.?[0-9]+$""))*100,""0.00"")"),"70.67 +/- 0.21")</f>
        <v>70.67 +/- 0.21</v>
      </c>
      <c r="O11" s="9" t="str">
        <f>IFERROR(__xludf.DUMMYFUNCTION("TEXT(VALUE(REGEXEXTRACT(G11,""^[+-]?[0-9]*\.?[0-9]+""))*100,""0.00"")&amp;"" +/- ""&amp;TEXT(VALUE(REGEXEXTRACT(G11,""[0-9]*\.?[0-9]+$""))*100,""0.00"")"),"70.59 +/- 0.26")</f>
        <v>70.59 +/- 0.26</v>
      </c>
      <c r="P11" s="9" t="str">
        <f>IFERROR(__xludf.DUMMYFUNCTION("TEXT(VALUE(REGEXEXTRACT(H11,""^[+-]?[0-9]*\.?[0-9]+""))*100,""0.00"")&amp;"" +/- ""&amp;TEXT(VALUE(REGEXEXTRACT(H11,""[0-9]*\.?[0-9]+$""))*100,""0.00"")"),"69.31 +/- 0.13")</f>
        <v>69.31 +/- 0.13</v>
      </c>
    </row>
    <row r="12">
      <c r="A12" s="6" t="s">
        <v>94</v>
      </c>
      <c r="B12" s="16" t="s">
        <v>1758</v>
      </c>
      <c r="C12" s="16" t="s">
        <v>1760</v>
      </c>
      <c r="D12" s="16" t="s">
        <v>1762</v>
      </c>
      <c r="E12" s="16" t="s">
        <v>1764</v>
      </c>
      <c r="F12" s="16" t="s">
        <v>1766</v>
      </c>
      <c r="G12" s="16" t="s">
        <v>1768</v>
      </c>
      <c r="H12" s="16" t="s">
        <v>1769</v>
      </c>
      <c r="I12" s="8" t="str">
        <f t="shared" si="1"/>
        <v>PC1→MW1</v>
      </c>
      <c r="J12" s="9" t="str">
        <f>IFERROR(__xludf.DUMMYFUNCTION("TEXT(VALUE(REGEXEXTRACT(B12,""^[+-]?[0-9]*\.?[0-9]+""))*100,""0.00"")&amp;"" +/- ""&amp;TEXT(VALUE(REGEXEXTRACT(B12,""[0-9]*\.?[0-9]+$""))*100,""0.00"")"),"73.52 +/- 0.48")</f>
        <v>73.52 +/- 0.48</v>
      </c>
      <c r="K12" s="9" t="str">
        <f>IFERROR(__xludf.DUMMYFUNCTION("TEXT(VALUE(REGEXEXTRACT(C12,""^[+-]?[0-9]*\.?[0-9]+""))*100,""0.00"")&amp;"" +/- ""&amp;TEXT(VALUE(REGEXEXTRACT(C12,""[0-9]*\.?[0-9]+$""))*100,""0.00"")"),"65.33 +/- 0.00")</f>
        <v>65.33 +/- 0.00</v>
      </c>
      <c r="L12" s="9" t="str">
        <f>IFERROR(__xludf.DUMMYFUNCTION("TEXT(VALUE(REGEXEXTRACT(D12,""^[+-]?[0-9]*\.?[0-9]+""))*100,""0.00"")&amp;"" +/- ""&amp;TEXT(VALUE(REGEXEXTRACT(D12,""[0-9]*\.?[0-9]+$""))*100,""0.00"")"),"54.30 +/- 0.00")</f>
        <v>54.30 +/- 0.00</v>
      </c>
      <c r="M12" s="9" t="str">
        <f>IFERROR(__xludf.DUMMYFUNCTION("TEXT(VALUE(REGEXEXTRACT(E12,""^[+-]?[0-9]*\.?[0-9]+""))*100,""0.00"")&amp;"" +/- ""&amp;TEXT(VALUE(REGEXEXTRACT(E12,""[0-9]*\.?[0-9]+$""))*100,""0.00"")"),"74.16 +/- 0.82")</f>
        <v>74.16 +/- 0.82</v>
      </c>
      <c r="N12" s="9" t="str">
        <f>IFERROR(__xludf.DUMMYFUNCTION("TEXT(VALUE(REGEXEXTRACT(F12,""^[+-]?[0-9]*\.?[0-9]+""))*100,""0.00"")&amp;"" +/- ""&amp;TEXT(VALUE(REGEXEXTRACT(F12,""[0-9]*\.?[0-9]+$""))*100,""0.00"")"),"71.80 +/- 0.43")</f>
        <v>71.80 +/- 0.43</v>
      </c>
      <c r="O12" s="9" t="str">
        <f>IFERROR(__xludf.DUMMYFUNCTION("TEXT(VALUE(REGEXEXTRACT(G12,""^[+-]?[0-9]*\.?[0-9]+""))*100,""0.00"")&amp;"" +/- ""&amp;TEXT(VALUE(REGEXEXTRACT(G12,""[0-9]*\.?[0-9]+$""))*100,""0.00"")"),"71.89 +/- 0.73")</f>
        <v>71.89 +/- 0.73</v>
      </c>
      <c r="P12" s="10" t="str">
        <f>IFERROR(__xludf.DUMMYFUNCTION("TEXT(VALUE(REGEXEXTRACT(H12,""^[+-]?[0-9]*\.?[0-9]+""))*100,""0.00"")&amp;"" +/- ""&amp;TEXT(VALUE(REGEXEXTRACT(H12,""[0-9]*\.?[0-9]+$""))*100,""0.00"")"),"74.72 +/- 0.41")</f>
        <v>74.72 +/- 0.41</v>
      </c>
    </row>
    <row r="13">
      <c r="A13" s="6" t="s">
        <v>109</v>
      </c>
      <c r="B13" s="16" t="s">
        <v>1777</v>
      </c>
      <c r="C13" s="16" t="s">
        <v>1778</v>
      </c>
      <c r="D13" s="16" t="s">
        <v>1779</v>
      </c>
      <c r="E13" s="16" t="s">
        <v>1780</v>
      </c>
      <c r="F13" s="16" t="s">
        <v>1781</v>
      </c>
      <c r="G13" s="16" t="s">
        <v>1782</v>
      </c>
      <c r="H13" s="16" t="s">
        <v>1783</v>
      </c>
      <c r="I13" s="8" t="str">
        <f t="shared" si="1"/>
        <v>PC1→PC3</v>
      </c>
      <c r="J13" s="9" t="str">
        <f>IFERROR(__xludf.DUMMYFUNCTION("TEXT(VALUE(REGEXEXTRACT(B13,""^[+-]?[0-9]*\.?[0-9]+""))*100,""0.00"")&amp;"" +/- ""&amp;TEXT(VALUE(REGEXEXTRACT(B13,""[0-9]*\.?[0-9]+$""))*100,""0.00"")"),"75.76 +/- 0.25")</f>
        <v>75.76 +/- 0.25</v>
      </c>
      <c r="K13" s="10" t="str">
        <f>IFERROR(__xludf.DUMMYFUNCTION("TEXT(VALUE(REGEXEXTRACT(C13,""^[+-]?[0-9]*\.?[0-9]+""))*100,""0.00"")&amp;"" +/- ""&amp;TEXT(VALUE(REGEXEXTRACT(C13,""[0-9]*\.?[0-9]+$""))*100,""0.00"")"),"76.34 +/- 0.00")</f>
        <v>76.34 +/- 0.00</v>
      </c>
      <c r="L13" s="9" t="str">
        <f>IFERROR(__xludf.DUMMYFUNCTION("TEXT(VALUE(REGEXEXTRACT(D13,""^[+-]?[0-9]*\.?[0-9]+""))*100,""0.00"")&amp;"" +/- ""&amp;TEXT(VALUE(REGEXEXTRACT(D13,""[0-9]*\.?[0-9]+$""))*100,""0.00"")"),"74.55 +/- 0.00")</f>
        <v>74.55 +/- 0.00</v>
      </c>
      <c r="M13" s="9" t="str">
        <f>IFERROR(__xludf.DUMMYFUNCTION("TEXT(VALUE(REGEXEXTRACT(E13,""^[+-]?[0-9]*\.?[0-9]+""))*100,""0.00"")&amp;"" +/- ""&amp;TEXT(VALUE(REGEXEXTRACT(E13,""[0-9]*\.?[0-9]+$""))*100,""0.00"")"),"74.20 +/- 0.35")</f>
        <v>74.20 +/- 0.35</v>
      </c>
      <c r="N13" s="9" t="str">
        <f>IFERROR(__xludf.DUMMYFUNCTION("TEXT(VALUE(REGEXEXTRACT(F13,""^[+-]?[0-9]*\.?[0-9]+""))*100,""0.00"")&amp;"" +/- ""&amp;TEXT(VALUE(REGEXEXTRACT(F13,""[0-9]*\.?[0-9]+$""))*100,""0.00"")"),"72.84 +/- 0.26")</f>
        <v>72.84 +/- 0.26</v>
      </c>
      <c r="O13" s="9" t="str">
        <f>IFERROR(__xludf.DUMMYFUNCTION("TEXT(VALUE(REGEXEXTRACT(G13,""^[+-]?[0-9]*\.?[0-9]+""))*100,""0.00"")&amp;"" +/- ""&amp;TEXT(VALUE(REGEXEXTRACT(G13,""[0-9]*\.?[0-9]+$""))*100,""0.00"")"),"73.47 +/- 0.31")</f>
        <v>73.47 +/- 0.31</v>
      </c>
      <c r="P13" s="9" t="str">
        <f>IFERROR(__xludf.DUMMYFUNCTION("TEXT(VALUE(REGEXEXTRACT(H13,""^[+-]?[0-9]*\.?[0-9]+""))*100,""0.00"")&amp;"" +/- ""&amp;TEXT(VALUE(REGEXEXTRACT(H13,""[0-9]*\.?[0-9]+$""))*100,""0.00"")"),"73.39 +/- 0.73")</f>
        <v>73.39 +/- 0.73</v>
      </c>
    </row>
    <row r="14">
      <c r="A14" s="6" t="s">
        <v>124</v>
      </c>
      <c r="B14" s="16" t="s">
        <v>1794</v>
      </c>
      <c r="C14" s="16" t="s">
        <v>1797</v>
      </c>
      <c r="D14" s="16" t="s">
        <v>1799</v>
      </c>
      <c r="E14" s="16" t="s">
        <v>1801</v>
      </c>
      <c r="F14" s="16" t="s">
        <v>1802</v>
      </c>
      <c r="G14" s="16" t="s">
        <v>1803</v>
      </c>
      <c r="H14" s="16" t="s">
        <v>1804</v>
      </c>
      <c r="I14" s="8" t="str">
        <f t="shared" si="1"/>
        <v>PC1→PC4</v>
      </c>
      <c r="J14" s="10" t="str">
        <f>IFERROR(__xludf.DUMMYFUNCTION("TEXT(VALUE(REGEXEXTRACT(B14,""^[+-]?[0-9]*\.?[0-9]+""))*100,""0.00"")&amp;"" +/- ""&amp;TEXT(VALUE(REGEXEXTRACT(B14,""[0-9]*\.?[0-9]+$""))*100,""0.00"")"),"71.88 +/- 0.35")</f>
        <v>71.88 +/- 0.35</v>
      </c>
      <c r="K14" s="9" t="str">
        <f>IFERROR(__xludf.DUMMYFUNCTION("TEXT(VALUE(REGEXEXTRACT(C14,""^[+-]?[0-9]*\.?[0-9]+""))*100,""0.00"")&amp;"" +/- ""&amp;TEXT(VALUE(REGEXEXTRACT(C14,""[0-9]*\.?[0-9]+$""))*100,""0.00"")"),"69.89 +/- 0.00")</f>
        <v>69.89 +/- 0.00</v>
      </c>
      <c r="L14" s="9" t="str">
        <f>IFERROR(__xludf.DUMMYFUNCTION("TEXT(VALUE(REGEXEXTRACT(D14,""^[+-]?[0-9]*\.?[0-9]+""))*100,""0.00"")&amp;"" +/- ""&amp;TEXT(VALUE(REGEXEXTRACT(D14,""[0-9]*\.?[0-9]+$""))*100,""0.00"")"),"68.55 +/- 0.00")</f>
        <v>68.55 +/- 0.00</v>
      </c>
      <c r="M14" s="9" t="str">
        <f>IFERROR(__xludf.DUMMYFUNCTION("TEXT(VALUE(REGEXEXTRACT(E14,""^[+-]?[0-9]*\.?[0-9]+""))*100,""0.00"")&amp;"" +/- ""&amp;TEXT(VALUE(REGEXEXTRACT(E14,""[0-9]*\.?[0-9]+$""))*100,""0.00"")"),"71.07 +/- 0.41")</f>
        <v>71.07 +/- 0.41</v>
      </c>
      <c r="N14" s="9" t="str">
        <f>IFERROR(__xludf.DUMMYFUNCTION("TEXT(VALUE(REGEXEXTRACT(F14,""^[+-]?[0-9]*\.?[0-9]+""))*100,""0.00"")&amp;"" +/- ""&amp;TEXT(VALUE(REGEXEXTRACT(F14,""[0-9]*\.?[0-9]+$""))*100,""0.00"")"),"69.37 +/- 0.52")</f>
        <v>69.37 +/- 0.52</v>
      </c>
      <c r="O14" s="9" t="str">
        <f>IFERROR(__xludf.DUMMYFUNCTION("TEXT(VALUE(REGEXEXTRACT(G14,""^[+-]?[0-9]*\.?[0-9]+""))*100,""0.00"")&amp;"" +/- ""&amp;TEXT(VALUE(REGEXEXTRACT(G14,""[0-9]*\.?[0-9]+$""))*100,""0.00"")"),"69.83 +/- 0.69")</f>
        <v>69.83 +/- 0.69</v>
      </c>
      <c r="P14" s="9" t="str">
        <f>IFERROR(__xludf.DUMMYFUNCTION("TEXT(VALUE(REGEXEXTRACT(H14,""^[+-]?[0-9]*\.?[0-9]+""))*100,""0.00"")&amp;"" +/- ""&amp;TEXT(VALUE(REGEXEXTRACT(H14,""[0-9]*\.?[0-9]+$""))*100,""0.00"")"),"68.60 +/- 0.91")</f>
        <v>68.60 +/- 0.91</v>
      </c>
    </row>
    <row r="15">
      <c r="A15" s="6" t="s">
        <v>139</v>
      </c>
      <c r="B15" s="16" t="s">
        <v>1813</v>
      </c>
      <c r="C15" s="16" t="s">
        <v>1815</v>
      </c>
      <c r="D15" s="16" t="s">
        <v>1817</v>
      </c>
      <c r="E15" s="16" t="s">
        <v>1820</v>
      </c>
      <c r="F15" s="16" t="s">
        <v>1822</v>
      </c>
      <c r="G15" s="16" t="s">
        <v>1824</v>
      </c>
      <c r="H15" s="16" t="s">
        <v>1825</v>
      </c>
      <c r="I15" s="8" t="str">
        <f t="shared" si="1"/>
        <v>PC3→CM1</v>
      </c>
      <c r="J15" s="10" t="str">
        <f>IFERROR(__xludf.DUMMYFUNCTION("TEXT(VALUE(REGEXEXTRACT(B15,""^[+-]?[0-9]*\.?[0-9]+""))*100,""0.00"")&amp;"" +/- ""&amp;TEXT(VALUE(REGEXEXTRACT(B15,""[0-9]*\.?[0-9]+$""))*100,""0.00"")"),"63.00 +/- 0.47")</f>
        <v>63.00 +/- 0.47</v>
      </c>
      <c r="K15" s="9" t="str">
        <f>IFERROR(__xludf.DUMMYFUNCTION("TEXT(VALUE(REGEXEXTRACT(C15,""^[+-]?[0-9]*\.?[0-9]+""))*100,""0.00"")&amp;"" +/- ""&amp;TEXT(VALUE(REGEXEXTRACT(C15,""[0-9]*\.?[0-9]+$""))*100,""0.00"")"),"60.23 +/- 0.00")</f>
        <v>60.23 +/- 0.00</v>
      </c>
      <c r="L15" s="9" t="str">
        <f>IFERROR(__xludf.DUMMYFUNCTION("TEXT(VALUE(REGEXEXTRACT(D15,""^[+-]?[0-9]*\.?[0-9]+""))*100,""0.00"")&amp;"" +/- ""&amp;TEXT(VALUE(REGEXEXTRACT(D15,""[0-9]*\.?[0-9]+$""))*100,""0.00"")"),"62.26 +/- 0.00")</f>
        <v>62.26 +/- 0.00</v>
      </c>
      <c r="M15" s="9" t="str">
        <f>IFERROR(__xludf.DUMMYFUNCTION("TEXT(VALUE(REGEXEXTRACT(E15,""^[+-]?[0-9]*\.?[0-9]+""))*100,""0.00"")&amp;"" +/- ""&amp;TEXT(VALUE(REGEXEXTRACT(E15,""[0-9]*\.?[0-9]+$""))*100,""0.00"")"),"59.89 +/- 0.83")</f>
        <v>59.89 +/- 0.83</v>
      </c>
      <c r="N15" s="9" t="str">
        <f>IFERROR(__xludf.DUMMYFUNCTION("TEXT(VALUE(REGEXEXTRACT(F15,""^[+-]?[0-9]*\.?[0-9]+""))*100,""0.00"")&amp;"" +/- ""&amp;TEXT(VALUE(REGEXEXTRACT(F15,""[0-9]*\.?[0-9]+$""))*100,""0.00"")"),"59.18 +/- 0.47")</f>
        <v>59.18 +/- 0.47</v>
      </c>
      <c r="O15" s="9" t="str">
        <f>IFERROR(__xludf.DUMMYFUNCTION("TEXT(VALUE(REGEXEXTRACT(G15,""^[+-]?[0-9]*\.?[0-9]+""))*100,""0.00"")&amp;"" +/- ""&amp;TEXT(VALUE(REGEXEXTRACT(G15,""[0-9]*\.?[0-9]+$""))*100,""0.00"")"),"60.30 +/- 0.79")</f>
        <v>60.30 +/- 0.79</v>
      </c>
      <c r="P15" s="9" t="str">
        <f>IFERROR(__xludf.DUMMYFUNCTION("TEXT(VALUE(REGEXEXTRACT(H15,""^[+-]?[0-9]*\.?[0-9]+""))*100,""0.00"")&amp;"" +/- ""&amp;TEXT(VALUE(REGEXEXTRACT(H15,""[0-9]*\.?[0-9]+$""))*100,""0.00"")"),"55.46 +/- 0.44")</f>
        <v>55.46 +/- 0.44</v>
      </c>
    </row>
    <row r="16">
      <c r="A16" s="6" t="s">
        <v>154</v>
      </c>
      <c r="B16" s="16" t="s">
        <v>1840</v>
      </c>
      <c r="C16" s="16" t="s">
        <v>1841</v>
      </c>
      <c r="D16" s="16" t="s">
        <v>1842</v>
      </c>
      <c r="E16" s="16" t="s">
        <v>1843</v>
      </c>
      <c r="F16" s="16" t="s">
        <v>1844</v>
      </c>
      <c r="G16" s="16" t="s">
        <v>1845</v>
      </c>
      <c r="H16" s="16" t="s">
        <v>1846</v>
      </c>
      <c r="I16" s="8" t="str">
        <f t="shared" si="1"/>
        <v>PC3→MW1</v>
      </c>
      <c r="J16" s="10" t="str">
        <f>IFERROR(__xludf.DUMMYFUNCTION("TEXT(VALUE(REGEXEXTRACT(B16,""^[+-]?[0-9]*\.?[0-9]+""))*100,""0.00"")&amp;"" +/- ""&amp;TEXT(VALUE(REGEXEXTRACT(B16,""[0-9]*\.?[0-9]+$""))*100,""0.00"")"),"63.53 +/- 0.34")</f>
        <v>63.53 +/- 0.34</v>
      </c>
      <c r="K16" s="9" t="str">
        <f>IFERROR(__xludf.DUMMYFUNCTION("TEXT(VALUE(REGEXEXTRACT(C16,""^[+-]?[0-9]*\.?[0-9]+""))*100,""0.00"")&amp;"" +/- ""&amp;TEXT(VALUE(REGEXEXTRACT(C16,""[0-9]*\.?[0-9]+$""))*100,""0.00"")"),"59.61 +/- 0.00")</f>
        <v>59.61 +/- 0.00</v>
      </c>
      <c r="L16" s="9" t="str">
        <f>IFERROR(__xludf.DUMMYFUNCTION("TEXT(VALUE(REGEXEXTRACT(D16,""^[+-]?[0-9]*\.?[0-9]+""))*100,""0.00"")&amp;"" +/- ""&amp;TEXT(VALUE(REGEXEXTRACT(D16,""[0-9]*\.?[0-9]+$""))*100,""0.00"")"),"41.08 +/- 0.00")</f>
        <v>41.08 +/- 0.00</v>
      </c>
      <c r="M16" s="9" t="str">
        <f>IFERROR(__xludf.DUMMYFUNCTION("TEXT(VALUE(REGEXEXTRACT(E16,""^[+-]?[0-9]*\.?[0-9]+""))*100,""0.00"")&amp;"" +/- ""&amp;TEXT(VALUE(REGEXEXTRACT(E16,""[0-9]*\.?[0-9]+$""))*100,""0.00"")"),"62.22 +/- 1.35")</f>
        <v>62.22 +/- 1.35</v>
      </c>
      <c r="N16" s="9" t="str">
        <f>IFERROR(__xludf.DUMMYFUNCTION("TEXT(VALUE(REGEXEXTRACT(F16,""^[+-]?[0-9]*\.?[0-9]+""))*100,""0.00"")&amp;"" +/- ""&amp;TEXT(VALUE(REGEXEXTRACT(F16,""[0-9]*\.?[0-9]+$""))*100,""0.00"")"),"58.76 +/- 0.83")</f>
        <v>58.76 +/- 0.83</v>
      </c>
      <c r="O16" s="9" t="str">
        <f>IFERROR(__xludf.DUMMYFUNCTION("TEXT(VALUE(REGEXEXTRACT(G16,""^[+-]?[0-9]*\.?[0-9]+""))*100,""0.00"")&amp;"" +/- ""&amp;TEXT(VALUE(REGEXEXTRACT(G16,""[0-9]*\.?[0-9]+$""))*100,""0.00"")"),"61.23 +/- 1.02")</f>
        <v>61.23 +/- 1.02</v>
      </c>
      <c r="P16" s="9" t="str">
        <f>IFERROR(__xludf.DUMMYFUNCTION("TEXT(VALUE(REGEXEXTRACT(H16,""^[+-]?[0-9]*\.?[0-9]+""))*100,""0.00"")&amp;"" +/- ""&amp;TEXT(VALUE(REGEXEXTRACT(H16,""[0-9]*\.?[0-9]+$""))*100,""0.00"")"),"49.60 +/- 0.64")</f>
        <v>49.60 +/- 0.64</v>
      </c>
    </row>
    <row r="17">
      <c r="A17" s="6" t="s">
        <v>169</v>
      </c>
      <c r="B17" s="16" t="s">
        <v>1860</v>
      </c>
      <c r="C17" s="16" t="s">
        <v>1862</v>
      </c>
      <c r="D17" s="16" t="s">
        <v>1863</v>
      </c>
      <c r="E17" s="16" t="s">
        <v>1864</v>
      </c>
      <c r="F17" s="16" t="s">
        <v>1865</v>
      </c>
      <c r="G17" s="16" t="s">
        <v>1866</v>
      </c>
      <c r="H17" s="16" t="s">
        <v>1867</v>
      </c>
      <c r="I17" s="8" t="str">
        <f t="shared" si="1"/>
        <v>PC3→PC1</v>
      </c>
      <c r="J17" s="10" t="str">
        <f>IFERROR(__xludf.DUMMYFUNCTION("TEXT(VALUE(REGEXEXTRACT(B17,""^[+-]?[0-9]*\.?[0-9]+""))*100,""0.00"")&amp;"" +/- ""&amp;TEXT(VALUE(REGEXEXTRACT(B17,""[0-9]*\.?[0-9]+$""))*100,""0.00"")"),"78.51 +/- 0.47")</f>
        <v>78.51 +/- 0.47</v>
      </c>
      <c r="K17" s="9" t="str">
        <f>IFERROR(__xludf.DUMMYFUNCTION("TEXT(VALUE(REGEXEXTRACT(C17,""^[+-]?[0-9]*\.?[0-9]+""))*100,""0.00"")&amp;"" +/- ""&amp;TEXT(VALUE(REGEXEXTRACT(C17,""[0-9]*\.?[0-9]+$""))*100,""0.00"")"),"71.53 +/- 0.00")</f>
        <v>71.53 +/- 0.00</v>
      </c>
      <c r="L17" s="9" t="str">
        <f>IFERROR(__xludf.DUMMYFUNCTION("TEXT(VALUE(REGEXEXTRACT(D17,""^[+-]?[0-9]*\.?[0-9]+""))*100,""0.00"")&amp;"" +/- ""&amp;TEXT(VALUE(REGEXEXTRACT(D17,""[0-9]*\.?[0-9]+$""))*100,""0.00"")"),"67.38 +/- 0.00")</f>
        <v>67.38 +/- 0.00</v>
      </c>
      <c r="M17" s="9" t="str">
        <f>IFERROR(__xludf.DUMMYFUNCTION("TEXT(VALUE(REGEXEXTRACT(E17,""^[+-]?[0-9]*\.?[0-9]+""))*100,""0.00"")&amp;"" +/- ""&amp;TEXT(VALUE(REGEXEXTRACT(E17,""[0-9]*\.?[0-9]+$""))*100,""0.00"")"),"73.58 +/- 0.96")</f>
        <v>73.58 +/- 0.96</v>
      </c>
      <c r="N17" s="9" t="str">
        <f>IFERROR(__xludf.DUMMYFUNCTION("TEXT(VALUE(REGEXEXTRACT(F17,""^[+-]?[0-9]*\.?[0-9]+""))*100,""0.00"")&amp;"" +/- ""&amp;TEXT(VALUE(REGEXEXTRACT(F17,""[0-9]*\.?[0-9]+$""))*100,""0.00"")"),"72.21 +/- 0.34")</f>
        <v>72.21 +/- 0.34</v>
      </c>
      <c r="O17" s="9" t="str">
        <f>IFERROR(__xludf.DUMMYFUNCTION("TEXT(VALUE(REGEXEXTRACT(G17,""^[+-]?[0-9]*\.?[0-9]+""))*100,""0.00"")&amp;"" +/- ""&amp;TEXT(VALUE(REGEXEXTRACT(G17,""[0-9]*\.?[0-9]+$""))*100,""0.00"")"),"73.31 +/- 0.93")</f>
        <v>73.31 +/- 0.93</v>
      </c>
      <c r="P17" s="9" t="str">
        <f>IFERROR(__xludf.DUMMYFUNCTION("TEXT(VALUE(REGEXEXTRACT(H17,""^[+-]?[0-9]*\.?[0-9]+""))*100,""0.00"")&amp;"" +/- ""&amp;TEXT(VALUE(REGEXEXTRACT(H17,""[0-9]*\.?[0-9]+$""))*100,""0.00"")"),"65.79 +/- 0.43")</f>
        <v>65.79 +/- 0.43</v>
      </c>
    </row>
    <row r="18">
      <c r="A18" s="6" t="s">
        <v>184</v>
      </c>
      <c r="B18" s="16" t="s">
        <v>1875</v>
      </c>
      <c r="C18" s="16" t="s">
        <v>1876</v>
      </c>
      <c r="D18" s="16" t="s">
        <v>1877</v>
      </c>
      <c r="E18" s="16" t="s">
        <v>1878</v>
      </c>
      <c r="F18" s="16" t="s">
        <v>1879</v>
      </c>
      <c r="G18" s="16" t="s">
        <v>1880</v>
      </c>
      <c r="H18" s="16" t="s">
        <v>1881</v>
      </c>
      <c r="I18" s="8" t="str">
        <f t="shared" si="1"/>
        <v>PC3→PC4</v>
      </c>
      <c r="J18" s="9" t="str">
        <f>IFERROR(__xludf.DUMMYFUNCTION("TEXT(VALUE(REGEXEXTRACT(B18,""^[+-]?[0-9]*\.?[0-9]+""))*100,""0.00"")&amp;"" +/- ""&amp;TEXT(VALUE(REGEXEXTRACT(B18,""[0-9]*\.?[0-9]+$""))*100,""0.00"")"),"72.67 +/- 0.27")</f>
        <v>72.67 +/- 0.27</v>
      </c>
      <c r="K18" s="9" t="str">
        <f>IFERROR(__xludf.DUMMYFUNCTION("TEXT(VALUE(REGEXEXTRACT(C18,""^[+-]?[0-9]*\.?[0-9]+""))*100,""0.00"")&amp;"" +/- ""&amp;TEXT(VALUE(REGEXEXTRACT(C18,""[0-9]*\.?[0-9]+$""))*100,""0.00"")"),"71.60 +/- 0.00")</f>
        <v>71.60 +/- 0.00</v>
      </c>
      <c r="L18" s="9" t="str">
        <f>IFERROR(__xludf.DUMMYFUNCTION("TEXT(VALUE(REGEXEXTRACT(D18,""^[+-]?[0-9]*\.?[0-9]+""))*100,""0.00"")&amp;"" +/- ""&amp;TEXT(VALUE(REGEXEXTRACT(D18,""[0-9]*\.?[0-9]+$""))*100,""0.00"")"),"58.73 +/- 0.00")</f>
        <v>58.73 +/- 0.00</v>
      </c>
      <c r="M18" s="10" t="str">
        <f>IFERROR(__xludf.DUMMYFUNCTION("TEXT(VALUE(REGEXEXTRACT(E18,""^[+-]?[0-9]*\.?[0-9]+""))*100,""0.00"")&amp;"" +/- ""&amp;TEXT(VALUE(REGEXEXTRACT(E18,""[0-9]*\.?[0-9]+$""))*100,""0.00"")"),"73.14 +/- 0.42")</f>
        <v>73.14 +/- 0.42</v>
      </c>
      <c r="N18" s="9" t="str">
        <f>IFERROR(__xludf.DUMMYFUNCTION("TEXT(VALUE(REGEXEXTRACT(F18,""^[+-]?[0-9]*\.?[0-9]+""))*100,""0.00"")&amp;"" +/- ""&amp;TEXT(VALUE(REGEXEXTRACT(F18,""[0-9]*\.?[0-9]+$""))*100,""0.00"")"),"72.24 +/- 0.40")</f>
        <v>72.24 +/- 0.40</v>
      </c>
      <c r="O18" s="9" t="str">
        <f>IFERROR(__xludf.DUMMYFUNCTION("TEXT(VALUE(REGEXEXTRACT(G18,""^[+-]?[0-9]*\.?[0-9]+""))*100,""0.00"")&amp;"" +/- ""&amp;TEXT(VALUE(REGEXEXTRACT(G18,""[0-9]*\.?[0-9]+$""))*100,""0.00"")"),"72.61 +/- 0.46")</f>
        <v>72.61 +/- 0.46</v>
      </c>
      <c r="P18" s="9" t="str">
        <f>IFERROR(__xludf.DUMMYFUNCTION("TEXT(VALUE(REGEXEXTRACT(H18,""^[+-]?[0-9]*\.?[0-9]+""))*100,""0.00"")&amp;"" +/- ""&amp;TEXT(VALUE(REGEXEXTRACT(H18,""[0-9]*\.?[0-9]+$""))*100,""0.00"")"),"70.94 +/- 0.44")</f>
        <v>70.94 +/- 0.44</v>
      </c>
    </row>
    <row r="19">
      <c r="A19" s="6" t="s">
        <v>194</v>
      </c>
      <c r="B19" s="16" t="s">
        <v>1896</v>
      </c>
      <c r="C19" s="16" t="s">
        <v>1897</v>
      </c>
      <c r="D19" s="16" t="s">
        <v>1898</v>
      </c>
      <c r="E19" s="16" t="s">
        <v>1899</v>
      </c>
      <c r="F19" s="16" t="s">
        <v>1900</v>
      </c>
      <c r="G19" s="16" t="s">
        <v>1901</v>
      </c>
      <c r="H19" s="16" t="s">
        <v>1902</v>
      </c>
      <c r="I19" s="8" t="str">
        <f t="shared" si="1"/>
        <v>PC4→CM1</v>
      </c>
      <c r="J19" s="10" t="str">
        <f>IFERROR(__xludf.DUMMYFUNCTION("TEXT(VALUE(REGEXEXTRACT(B19,""^[+-]?[0-9]*\.?[0-9]+""))*100,""0.00"")&amp;"" +/- ""&amp;TEXT(VALUE(REGEXEXTRACT(B19,""[0-9]*\.?[0-9]+$""))*100,""0.00"")"),"60.64 +/- 0.22")</f>
        <v>60.64 +/- 0.22</v>
      </c>
      <c r="K19" s="9" t="str">
        <f>IFERROR(__xludf.DUMMYFUNCTION("TEXT(VALUE(REGEXEXTRACT(C19,""^[+-]?[0-9]*\.?[0-9]+""))*100,""0.00"")&amp;"" +/- ""&amp;TEXT(VALUE(REGEXEXTRACT(C19,""[0-9]*\.?[0-9]+$""))*100,""0.00"")"),"60.07 +/- 0.00")</f>
        <v>60.07 +/- 0.00</v>
      </c>
      <c r="L19" s="9" t="str">
        <f>IFERROR(__xludf.DUMMYFUNCTION("TEXT(VALUE(REGEXEXTRACT(D19,""^[+-]?[0-9]*\.?[0-9]+""))*100,""0.00"")&amp;"" +/- ""&amp;TEXT(VALUE(REGEXEXTRACT(D19,""[0-9]*\.?[0-9]+$""))*100,""0.00"")"),"50.36 +/- 0.00")</f>
        <v>50.36 +/- 0.00</v>
      </c>
      <c r="M19" s="9" t="str">
        <f>IFERROR(__xludf.DUMMYFUNCTION("TEXT(VALUE(REGEXEXTRACT(E19,""^[+-]?[0-9]*\.?[0-9]+""))*100,""0.00"")&amp;"" +/- ""&amp;TEXT(VALUE(REGEXEXTRACT(E19,""[0-9]*\.?[0-9]+$""))*100,""0.00"")"),"58.32 +/- 0.61")</f>
        <v>58.32 +/- 0.61</v>
      </c>
      <c r="N19" s="9" t="str">
        <f>IFERROR(__xludf.DUMMYFUNCTION("TEXT(VALUE(REGEXEXTRACT(F19,""^[+-]?[0-9]*\.?[0-9]+""))*100,""0.00"")&amp;"" +/- ""&amp;TEXT(VALUE(REGEXEXTRACT(F19,""[0-9]*\.?[0-9]+$""))*100,""0.00"")"),"57.07 +/- 0.24")</f>
        <v>57.07 +/- 0.24</v>
      </c>
      <c r="O19" s="9" t="str">
        <f>IFERROR(__xludf.DUMMYFUNCTION("TEXT(VALUE(REGEXEXTRACT(G19,""^[+-]?[0-9]*\.?[0-9]+""))*100,""0.00"")&amp;"" +/- ""&amp;TEXT(VALUE(REGEXEXTRACT(G19,""[0-9]*\.?[0-9]+$""))*100,""0.00"")"),"57.74 +/- 0.36")</f>
        <v>57.74 +/- 0.36</v>
      </c>
      <c r="P19" s="9" t="str">
        <f>IFERROR(__xludf.DUMMYFUNCTION("TEXT(VALUE(REGEXEXTRACT(H19,""^[+-]?[0-9]*\.?[0-9]+""))*100,""0.00"")&amp;"" +/- ""&amp;TEXT(VALUE(REGEXEXTRACT(H19,""[0-9]*\.?[0-9]+$""))*100,""0.00"")"),"56.92 +/- 0.30")</f>
        <v>56.92 +/- 0.30</v>
      </c>
    </row>
    <row r="20">
      <c r="A20" s="6" t="s">
        <v>216</v>
      </c>
      <c r="B20" s="16" t="s">
        <v>1911</v>
      </c>
      <c r="C20" s="16" t="s">
        <v>1913</v>
      </c>
      <c r="D20" s="16" t="s">
        <v>1915</v>
      </c>
      <c r="E20" s="16" t="s">
        <v>1917</v>
      </c>
      <c r="F20" s="16" t="s">
        <v>1919</v>
      </c>
      <c r="G20" s="16" t="s">
        <v>1921</v>
      </c>
      <c r="H20" s="16" t="s">
        <v>1923</v>
      </c>
      <c r="I20" s="8" t="str">
        <f t="shared" si="1"/>
        <v>PC4→MW1</v>
      </c>
      <c r="J20" s="10" t="str">
        <f>IFERROR(__xludf.DUMMYFUNCTION("TEXT(VALUE(REGEXEXTRACT(B20,""^[+-]?[0-9]*\.?[0-9]+""))*100,""0.00"")&amp;"" +/- ""&amp;TEXT(VALUE(REGEXEXTRACT(B20,""[0-9]*\.?[0-9]+$""))*100,""0.00"")"),"52.05 +/- 0.63")</f>
        <v>52.05 +/- 0.63</v>
      </c>
      <c r="K20" s="9" t="str">
        <f>IFERROR(__xludf.DUMMYFUNCTION("TEXT(VALUE(REGEXEXTRACT(C20,""^[+-]?[0-9]*\.?[0-9]+""))*100,""0.00"")&amp;"" +/- ""&amp;TEXT(VALUE(REGEXEXTRACT(C20,""[0-9]*\.?[0-9]+$""))*100,""0.00"")"),"40.94 +/- 0.00")</f>
        <v>40.94 +/- 0.00</v>
      </c>
      <c r="L20" s="9" t="str">
        <f>IFERROR(__xludf.DUMMYFUNCTION("TEXT(VALUE(REGEXEXTRACT(D20,""^[+-]?[0-9]*\.?[0-9]+""))*100,""0.00"")&amp;"" +/- ""&amp;TEXT(VALUE(REGEXEXTRACT(D20,""[0-9]*\.?[0-9]+$""))*100,""0.00"")"),"34.58 +/- 0.00")</f>
        <v>34.58 +/- 0.00</v>
      </c>
      <c r="M20" s="9" t="str">
        <f>IFERROR(__xludf.DUMMYFUNCTION("TEXT(VALUE(REGEXEXTRACT(E20,""^[+-]?[0-9]*\.?[0-9]+""))*100,""0.00"")&amp;"" +/- ""&amp;TEXT(VALUE(REGEXEXTRACT(E20,""[0-9]*\.?[0-9]+$""))*100,""0.00"")"),"44.57 +/- 1.00")</f>
        <v>44.57 +/- 1.00</v>
      </c>
      <c r="N20" s="9" t="str">
        <f>IFERROR(__xludf.DUMMYFUNCTION("TEXT(VALUE(REGEXEXTRACT(F20,""^[+-]?[0-9]*\.?[0-9]+""))*100,""0.00"")&amp;"" +/- ""&amp;TEXT(VALUE(REGEXEXTRACT(F20,""[0-9]*\.?[0-9]+$""))*100,""0.00"")"),"40.78 +/- 0.41")</f>
        <v>40.78 +/- 0.41</v>
      </c>
      <c r="O20" s="9" t="str">
        <f>IFERROR(__xludf.DUMMYFUNCTION("TEXT(VALUE(REGEXEXTRACT(G20,""^[+-]?[0-9]*\.?[0-9]+""))*100,""0.00"")&amp;"" +/- ""&amp;TEXT(VALUE(REGEXEXTRACT(G20,""[0-9]*\.?[0-9]+$""))*100,""0.00"")"),"43.28 +/- 0.55")</f>
        <v>43.28 +/- 0.55</v>
      </c>
      <c r="P20" s="9" t="str">
        <f>IFERROR(__xludf.DUMMYFUNCTION("TEXT(VALUE(REGEXEXTRACT(H20,""^[+-]?[0-9]*\.?[0-9]+""))*100,""0.00"")&amp;"" +/- ""&amp;TEXT(VALUE(REGEXEXTRACT(H20,""[0-9]*\.?[0-9]+$""))*100,""0.00"")"),"40.51 +/- 0.54")</f>
        <v>40.51 +/- 0.54</v>
      </c>
    </row>
    <row r="21">
      <c r="A21" s="6" t="s">
        <v>245</v>
      </c>
      <c r="B21" s="16" t="s">
        <v>1931</v>
      </c>
      <c r="C21" s="16" t="s">
        <v>1932</v>
      </c>
      <c r="D21" s="16" t="s">
        <v>1933</v>
      </c>
      <c r="E21" s="16" t="s">
        <v>1934</v>
      </c>
      <c r="F21" s="16" t="s">
        <v>1935</v>
      </c>
      <c r="G21" s="16" t="s">
        <v>1936</v>
      </c>
      <c r="H21" s="16" t="s">
        <v>1937</v>
      </c>
      <c r="I21" s="8" t="str">
        <f t="shared" si="1"/>
        <v>PC4→PC1</v>
      </c>
      <c r="J21" s="10" t="str">
        <f>IFERROR(__xludf.DUMMYFUNCTION("TEXT(VALUE(REGEXEXTRACT(B21,""^[+-]?[0-9]*\.?[0-9]+""))*100,""0.00"")&amp;"" +/- ""&amp;TEXT(VALUE(REGEXEXTRACT(B21,""[0-9]*\.?[0-9]+$""))*100,""0.00"")"),"70.33 +/- 0.36")</f>
        <v>70.33 +/- 0.36</v>
      </c>
      <c r="K21" s="9" t="str">
        <f>IFERROR(__xludf.DUMMYFUNCTION("TEXT(VALUE(REGEXEXTRACT(C21,""^[+-]?[0-9]*\.?[0-9]+""))*100,""0.00"")&amp;"" +/- ""&amp;TEXT(VALUE(REGEXEXTRACT(C21,""[0-9]*\.?[0-9]+$""))*100,""0.00"")"),"65.81 +/- 0.00")</f>
        <v>65.81 +/- 0.00</v>
      </c>
      <c r="L21" s="9" t="str">
        <f>IFERROR(__xludf.DUMMYFUNCTION("TEXT(VALUE(REGEXEXTRACT(D21,""^[+-]?[0-9]*\.?[0-9]+""))*100,""0.00"")&amp;"" +/- ""&amp;TEXT(VALUE(REGEXEXTRACT(D21,""[0-9]*\.?[0-9]+$""))*100,""0.00"")"),"65.75 +/- 0.00")</f>
        <v>65.75 +/- 0.00</v>
      </c>
      <c r="M21" s="9" t="str">
        <f>IFERROR(__xludf.DUMMYFUNCTION("TEXT(VALUE(REGEXEXTRACT(E21,""^[+-]?[0-9]*\.?[0-9]+""))*100,""0.00"")&amp;"" +/- ""&amp;TEXT(VALUE(REGEXEXTRACT(E21,""[0-9]*\.?[0-9]+$""))*100,""0.00"")"),"68.48 +/- 0.45")</f>
        <v>68.48 +/- 0.45</v>
      </c>
      <c r="N21" s="9" t="str">
        <f>IFERROR(__xludf.DUMMYFUNCTION("TEXT(VALUE(REGEXEXTRACT(F21,""^[+-]?[0-9]*\.?[0-9]+""))*100,""0.00"")&amp;"" +/- ""&amp;TEXT(VALUE(REGEXEXTRACT(F21,""[0-9]*\.?[0-9]+$""))*100,""0.00"")"),"65.98 +/- 0.23")</f>
        <v>65.98 +/- 0.23</v>
      </c>
      <c r="O21" s="9" t="str">
        <f>IFERROR(__xludf.DUMMYFUNCTION("TEXT(VALUE(REGEXEXTRACT(G21,""^[+-]?[0-9]*\.?[0-9]+""))*100,""0.00"")&amp;"" +/- ""&amp;TEXT(VALUE(REGEXEXTRACT(G21,""[0-9]*\.?[0-9]+$""))*100,""0.00"")"),"67.35 +/- 0.35")</f>
        <v>67.35 +/- 0.35</v>
      </c>
      <c r="P21" s="9" t="str">
        <f>IFERROR(__xludf.DUMMYFUNCTION("TEXT(VALUE(REGEXEXTRACT(H21,""^[+-]?[0-9]*\.?[0-9]+""))*100,""0.00"")&amp;"" +/- ""&amp;TEXT(VALUE(REGEXEXTRACT(H21,""[0-9]*\.?[0-9]+$""))*100,""0.00"")"),"64.80 +/- 0.31")</f>
        <v>64.80 +/- 0.31</v>
      </c>
    </row>
    <row r="22">
      <c r="A22" s="6" t="s">
        <v>267</v>
      </c>
      <c r="B22" s="16" t="s">
        <v>1945</v>
      </c>
      <c r="C22" s="16" t="s">
        <v>1946</v>
      </c>
      <c r="D22" s="16" t="s">
        <v>1947</v>
      </c>
      <c r="E22" s="16" t="s">
        <v>1948</v>
      </c>
      <c r="F22" s="16" t="s">
        <v>1949</v>
      </c>
      <c r="G22" s="16" t="s">
        <v>1950</v>
      </c>
      <c r="H22" s="16" t="s">
        <v>1951</v>
      </c>
      <c r="I22" s="8" t="str">
        <f t="shared" si="1"/>
        <v>PC4→PC3</v>
      </c>
      <c r="J22" s="9" t="str">
        <f>IFERROR(__xludf.DUMMYFUNCTION("TEXT(VALUE(REGEXEXTRACT(B22,""^[+-]?[0-9]*\.?[0-9]+""))*100,""0.00"")&amp;"" +/- ""&amp;TEXT(VALUE(REGEXEXTRACT(B22,""[0-9]*\.?[0-9]+$""))*100,""0.00"")"),"65.15 +/- 0.27")</f>
        <v>65.15 +/- 0.27</v>
      </c>
      <c r="K22" s="9" t="str">
        <f>IFERROR(__xludf.DUMMYFUNCTION("TEXT(VALUE(REGEXEXTRACT(C22,""^[+-]?[0-9]*\.?[0-9]+""))*100,""0.00"")&amp;"" +/- ""&amp;TEXT(VALUE(REGEXEXTRACT(C22,""[0-9]*\.?[0-9]+$""))*100,""0.00"")"),"62.91 +/- 0.00")</f>
        <v>62.91 +/- 0.00</v>
      </c>
      <c r="L22" s="9" t="str">
        <f>IFERROR(__xludf.DUMMYFUNCTION("TEXT(VALUE(REGEXEXTRACT(D22,""^[+-]?[0-9]*\.?[0-9]+""))*100,""0.00"")&amp;"" +/- ""&amp;TEXT(VALUE(REGEXEXTRACT(D22,""[0-9]*\.?[0-9]+$""))*100,""0.00"")"),"61.06 +/- 0.00")</f>
        <v>61.06 +/- 0.00</v>
      </c>
      <c r="M22" s="9" t="str">
        <f>IFERROR(__xludf.DUMMYFUNCTION("TEXT(VALUE(REGEXEXTRACT(E22,""^[+-]?[0-9]*\.?[0-9]+""))*100,""0.00"")&amp;"" +/- ""&amp;TEXT(VALUE(REGEXEXTRACT(E22,""[0-9]*\.?[0-9]+$""))*100,""0.00"")"),"64.54 +/- 0.52")</f>
        <v>64.54 +/- 0.52</v>
      </c>
      <c r="N22" s="9" t="str">
        <f>IFERROR(__xludf.DUMMYFUNCTION("TEXT(VALUE(REGEXEXTRACT(F22,""^[+-]?[0-9]*\.?[0-9]+""))*100,""0.00"")&amp;"" +/- ""&amp;TEXT(VALUE(REGEXEXTRACT(F22,""[0-9]*\.?[0-9]+$""))*100,""0.00"")"),"61.98 +/- 0.23")</f>
        <v>61.98 +/- 0.23</v>
      </c>
      <c r="O22" s="9" t="str">
        <f>IFERROR(__xludf.DUMMYFUNCTION("TEXT(VALUE(REGEXEXTRACT(G22,""^[+-]?[0-9]*\.?[0-9]+""))*100,""0.00"")&amp;"" +/- ""&amp;TEXT(VALUE(REGEXEXTRACT(G22,""[0-9]*\.?[0-9]+$""))*100,""0.00"")"),"63.57 +/- 0.29")</f>
        <v>63.57 +/- 0.29</v>
      </c>
      <c r="P22" s="10" t="str">
        <f>IFERROR(__xludf.DUMMYFUNCTION("TEXT(VALUE(REGEXEXTRACT(H22,""^[+-]?[0-9]*\.?[0-9]+""))*100,""0.00"")&amp;"" +/- ""&amp;TEXT(VALUE(REGEXEXTRACT(H22,""[0-9]*\.?[0-9]+$""))*100,""0.00"")"),"65.29 +/- 0.34")</f>
        <v>65.29 +/- 0.34</v>
      </c>
    </row>
    <row r="23">
      <c r="A23" s="6" t="s">
        <v>371</v>
      </c>
      <c r="B23" s="14"/>
      <c r="C23" s="21" t="s">
        <v>388</v>
      </c>
      <c r="D23" s="21" t="s">
        <v>388</v>
      </c>
      <c r="E23" s="21" t="s">
        <v>392</v>
      </c>
      <c r="F23" s="21" t="s">
        <v>388</v>
      </c>
      <c r="G23" s="21" t="s">
        <v>388</v>
      </c>
      <c r="H23" s="21" t="s">
        <v>1096</v>
      </c>
      <c r="I23" s="8" t="str">
        <f t="shared" si="1"/>
        <v>W/T/L</v>
      </c>
      <c r="K23" s="20" t="str">
        <f>IFERROR(__xludf.DUMMYFUNCTION("SUM(ARRAYFORMULA(IFERROR(
  (VALUE(REGEXEXTRACT($J$3:$J$22,""^[+-]?[0-9]*\.?[0-9]+""))&gt;
   VALUE(REGEXEXTRACT(K$3:K$22,""^[+-]?[0-9]*\.?[0-9]+"")))*1,0)))
&amp;""/""&amp;
SUM(ARRAYFORMULA(IFERROR(
  (VALUE(REGEXEXTRACT($J$3:$J$22,""^[+-]?[0-9]*\.?[0-9]+""))=
   V"&amp;"ALUE(REGEXEXTRACT(K$3:K$22,""^[+-]?[0-9]*\.?[0-9]+"")))*1,0)))
&amp;""/""&amp;
SUM(ARRAYFORMULA(IFERROR(
  (VALUE(REGEXEXTRACT($J$3:$J$22,""^[+-]?[0-9]*\.?[0-9]+""))&lt;
   VALUE(REGEXEXTRACT(K$3:K$22,""^[+-]?[0-9]*\.?[0-9]+"")))*1,0)))"),"16/0/4")</f>
        <v>16/0/4</v>
      </c>
      <c r="L23" s="20" t="str">
        <f>IFERROR(__xludf.DUMMYFUNCTION("SUM(ARRAYFORMULA(IFERROR(
  (VALUE(REGEXEXTRACT($J$3:$J$22,""^[+-]?[0-9]*\.?[0-9]+""))&gt;
   VALUE(REGEXEXTRACT(L$3:L$22,""^[+-]?[0-9]*\.?[0-9]+"")))*1,0)))
&amp;""/""&amp;
SUM(ARRAYFORMULA(IFERROR(
  (VALUE(REGEXEXTRACT($J$3:$J$22,""^[+-]?[0-9]*\.?[0-9]+""))=
   V"&amp;"ALUE(REGEXEXTRACT(L$3:L$22,""^[+-]?[0-9]*\.?[0-9]+"")))*1,0)))
&amp;""/""&amp;
SUM(ARRAYFORMULA(IFERROR(
  (VALUE(REGEXEXTRACT($J$3:$J$22,""^[+-]?[0-9]*\.?[0-9]+""))&lt;
   VALUE(REGEXEXTRACT(L$3:L$22,""^[+-]?[0-9]*\.?[0-9]+"")))*1,0)))"),"16/0/4")</f>
        <v>16/0/4</v>
      </c>
      <c r="M23" s="20" t="str">
        <f>IFERROR(__xludf.DUMMYFUNCTION("SUM(ARRAYFORMULA(IFERROR(
  (VALUE(REGEXEXTRACT($J$3:$J$22,""^[+-]?[0-9]*\.?[0-9]+""))&gt;
   VALUE(REGEXEXTRACT(M$3:M$22,""^[+-]?[0-9]*\.?[0-9]+"")))*1,0)))
&amp;""/""&amp;
SUM(ARRAYFORMULA(IFERROR(
  (VALUE(REGEXEXTRACT($J$3:$J$22,""^[+-]?[0-9]*\.?[0-9]+""))=
   V"&amp;"ALUE(REGEXEXTRACT(M$3:M$22,""^[+-]?[0-9]*\.?[0-9]+"")))*1,0)))
&amp;""/""&amp;
SUM(ARRAYFORMULA(IFERROR(
  (VALUE(REGEXEXTRACT($J$3:$J$22,""^[+-]?[0-9]*\.?[0-9]+""))&lt;
   VALUE(REGEXEXTRACT(M$3:M$22,""^[+-]?[0-9]*\.?[0-9]+"")))*1,0)))"),"14/0/6")</f>
        <v>14/0/6</v>
      </c>
      <c r="N23" s="20" t="str">
        <f>IFERROR(__xludf.DUMMYFUNCTION("SUM(ARRAYFORMULA(IFERROR(
  (VALUE(REGEXEXTRACT($J$3:$J$22,""^[+-]?[0-9]*\.?[0-9]+""))&gt;
   VALUE(REGEXEXTRACT(N$3:N$22,""^[+-]?[0-9]*\.?[0-9]+"")))*1,0)))
&amp;""/""&amp;
SUM(ARRAYFORMULA(IFERROR(
  (VALUE(REGEXEXTRACT($J$3:$J$22,""^[+-]?[0-9]*\.?[0-9]+""))=
   V"&amp;"ALUE(REGEXEXTRACT(N$3:N$22,""^[+-]?[0-9]*\.?[0-9]+"")))*1,0)))
&amp;""/""&amp;
SUM(ARRAYFORMULA(IFERROR(
  (VALUE(REGEXEXTRACT($J$3:$J$22,""^[+-]?[0-9]*\.?[0-9]+""))&lt;
   VALUE(REGEXEXTRACT(N$3:N$22,""^[+-]?[0-9]*\.?[0-9]+"")))*1,0)))"),"16/0/4")</f>
        <v>16/0/4</v>
      </c>
      <c r="O23" s="20" t="str">
        <f>IFERROR(__xludf.DUMMYFUNCTION("SUM(ARRAYFORMULA(IFERROR(
  (VALUE(REGEXEXTRACT($J$3:$J$22,""^[+-]?[0-9]*\.?[0-9]+""))&gt;
   VALUE(REGEXEXTRACT(O$3:O$22,""^[+-]?[0-9]*\.?[0-9]+"")))*1,0)))
&amp;""/""&amp;
SUM(ARRAYFORMULA(IFERROR(
  (VALUE(REGEXEXTRACT($J$3:$J$22,""^[+-]?[0-9]*\.?[0-9]+""))=
   V"&amp;"ALUE(REGEXEXTRACT(O$3:O$22,""^[+-]?[0-9]*\.?[0-9]+"")))*1,0)))
&amp;""/""&amp;
SUM(ARRAYFORMULA(IFERROR(
  (VALUE(REGEXEXTRACT($J$3:$J$22,""^[+-]?[0-9]*\.?[0-9]+""))&lt;
   VALUE(REGEXEXTRACT(O$3:O$22,""^[+-]?[0-9]*\.?[0-9]+"")))*1,0)))"),"16/0/4")</f>
        <v>16/0/4</v>
      </c>
      <c r="P23" s="20" t="str">
        <f>IFERROR(__xludf.DUMMYFUNCTION("SUM(ARRAYFORMULA(IFERROR(
  (VALUE(REGEXEXTRACT($J$3:$J$22,""^[+-]?[0-9]*\.?[0-9]+""))&gt;
   VALUE(REGEXEXTRACT(P$3:P$22,""^[+-]?[0-9]*\.?[0-9]+"")))*1,0)))
&amp;""/""&amp;
SUM(ARRAYFORMULA(IFERROR(
  (VALUE(REGEXEXTRACT($J$3:$J$22,""^[+-]?[0-9]*\.?[0-9]+""))=
   V"&amp;"ALUE(REGEXEXTRACT(P$3:P$22,""^[+-]?[0-9]*\.?[0-9]+"")))*1,0)))
&amp;""/""&amp;
SUM(ARRAYFORMULA(IFERROR(
  (VALUE(REGEXEXTRACT($J$3:$J$22,""^[+-]?[0-9]*\.?[0-9]+""))&lt;
   VALUE(REGEXEXTRACT(P$3:P$22,""^[+-]?[0-9]*\.?[0-9]+"")))*1,0)))"),"15/0/5")</f>
        <v>15/0/5</v>
      </c>
    </row>
    <row r="24">
      <c r="A24" s="6" t="s">
        <v>489</v>
      </c>
      <c r="B24" s="14" t="s">
        <v>1982</v>
      </c>
      <c r="C24" s="14" t="s">
        <v>1983</v>
      </c>
      <c r="D24" s="14" t="s">
        <v>1984</v>
      </c>
      <c r="E24" s="14" t="s">
        <v>1985</v>
      </c>
      <c r="F24" s="14" t="s">
        <v>1986</v>
      </c>
      <c r="G24" s="14" t="s">
        <v>1987</v>
      </c>
      <c r="H24" s="14" t="s">
        <v>1988</v>
      </c>
      <c r="I24" s="8" t="str">
        <f t="shared" si="1"/>
        <v>Average (%)</v>
      </c>
      <c r="J24" s="14">
        <f>IFERROR(__xludf.DUMMYFUNCTION("ROUND(AVERAGE(ARRAYFORMULA(IFERROR(VALUE(REGEXEXTRACT(J$3:J$22,""^[+-]?[0-9]*\.?[0-9]+"")),""""))),2)"),64.93)</f>
        <v>64.93</v>
      </c>
      <c r="K24" s="14">
        <f>IFERROR(__xludf.DUMMYFUNCTION("ROUND(AVERAGE(ARRAYFORMULA(IFERROR(VALUE(REGEXEXTRACT(K$3:K$22,""^[+-]?[0-9]*\.?[0-9]+"")),""""))),2)"),61.78)</f>
        <v>61.78</v>
      </c>
      <c r="L24" s="14">
        <f>IFERROR(__xludf.DUMMYFUNCTION("ROUND(AVERAGE(ARRAYFORMULA(IFERROR(VALUE(REGEXEXTRACT(L$3:L$22,""^[+-]?[0-9]*\.?[0-9]+"")),""""))),2)"),59.87)</f>
        <v>59.87</v>
      </c>
      <c r="M24" s="14">
        <f>IFERROR(__xludf.DUMMYFUNCTION("ROUND(AVERAGE(ARRAYFORMULA(IFERROR(VALUE(REGEXEXTRACT(M$3:M$22,""^[+-]?[0-9]*\.?[0-9]+"")),""""))),2)"),63.24)</f>
        <v>63.24</v>
      </c>
      <c r="N24" s="14">
        <f>IFERROR(__xludf.DUMMYFUNCTION("ROUND(AVERAGE(ARRAYFORMULA(IFERROR(VALUE(REGEXEXTRACT(N$3:N$22,""^[+-]?[0-9]*\.?[0-9]+"")),""""))),2)"),61.93)</f>
        <v>61.93</v>
      </c>
      <c r="O24" s="14">
        <f>IFERROR(__xludf.DUMMYFUNCTION("ROUND(AVERAGE(ARRAYFORMULA(IFERROR(VALUE(REGEXEXTRACT(O$3:O$22,""^[+-]?[0-9]*\.?[0-9]+"")),""""))),2)"),62.77)</f>
        <v>62.77</v>
      </c>
      <c r="P24" s="14">
        <f>IFERROR(__xludf.DUMMYFUNCTION("ROUND(AVERAGE(ARRAYFORMULA(IFERROR(VALUE(REGEXEXTRACT(P$3:P$22,""^[+-]?[0-9]*\.?[0-9]+"")),""""))),2)"),60.99)</f>
        <v>60.99</v>
      </c>
    </row>
    <row r="25">
      <c r="A25" s="4" t="s">
        <v>504</v>
      </c>
      <c r="B25" s="42"/>
      <c r="C25" s="42"/>
      <c r="D25" s="42"/>
      <c r="E25" s="42"/>
      <c r="F25" s="42"/>
      <c r="G25" s="42"/>
      <c r="H25" s="42"/>
      <c r="I25" s="4" t="s">
        <v>504</v>
      </c>
    </row>
    <row r="26">
      <c r="A26" s="23" t="s">
        <v>505</v>
      </c>
      <c r="B26" s="16" t="s">
        <v>1996</v>
      </c>
      <c r="C26" s="16" t="s">
        <v>1996</v>
      </c>
      <c r="D26" s="16" t="s">
        <v>1997</v>
      </c>
      <c r="E26" s="16" t="s">
        <v>1996</v>
      </c>
      <c r="F26" s="16" t="s">
        <v>1996</v>
      </c>
      <c r="G26" s="16" t="s">
        <v>1996</v>
      </c>
      <c r="H26" s="16" t="s">
        <v>1996</v>
      </c>
      <c r="I26" s="8" t="str">
        <f t="shared" ref="I26:I33" si="2">A26</f>
        <v>A→S</v>
      </c>
      <c r="J26" s="9" t="str">
        <f>IFERROR(__xludf.DUMMYFUNCTION("TEXT(VALUE(REGEXEXTRACT(B26,""^[+-]?[0-9]*\.?[0-9]+""))*100,""0.00"")&amp;"" +/- ""&amp;TEXT(VALUE(REGEXEXTRACT(B26,""[0-9]*\.?[0-9]+$""))*100,""0.00"")"),"58.42 +/- 0.00")</f>
        <v>58.42 +/- 0.00</v>
      </c>
      <c r="K26" s="9" t="str">
        <f>IFERROR(__xludf.DUMMYFUNCTION("TEXT(VALUE(REGEXEXTRACT(C26,""^[+-]?[0-9]*\.?[0-9]+""))*100,""0.00"")&amp;"" +/- ""&amp;TEXT(VALUE(REGEXEXTRACT(C26,""[0-9]*\.?[0-9]+$""))*100,""0.00"")"),"58.42 +/- 0.00")</f>
        <v>58.42 +/- 0.00</v>
      </c>
      <c r="L26" s="10" t="str">
        <f>IFERROR(__xludf.DUMMYFUNCTION("TEXT(VALUE(REGEXEXTRACT(D26,""^[+-]?[0-9]*\.?[0-9]+""))*100,""0.00"")&amp;"" +/- ""&amp;TEXT(VALUE(REGEXEXTRACT(D26,""[0-9]*\.?[0-9]+$""))*100,""0.00"")"),"82.09 +/- 0.00")</f>
        <v>82.09 +/- 0.00</v>
      </c>
      <c r="M26" s="9" t="str">
        <f>IFERROR(__xludf.DUMMYFUNCTION("TEXT(VALUE(REGEXEXTRACT(E26,""^[+-]?[0-9]*\.?[0-9]+""))*100,""0.00"")&amp;"" +/- ""&amp;TEXT(VALUE(REGEXEXTRACT(E26,""[0-9]*\.?[0-9]+$""))*100,""0.00"")"),"58.42 +/- 0.00")</f>
        <v>58.42 +/- 0.00</v>
      </c>
      <c r="N26" s="9" t="str">
        <f>IFERROR(__xludf.DUMMYFUNCTION("TEXT(VALUE(REGEXEXTRACT(F26,""^[+-]?[0-9]*\.?[0-9]+""))*100,""0.00"")&amp;"" +/- ""&amp;TEXT(VALUE(REGEXEXTRACT(F26,""[0-9]*\.?[0-9]+$""))*100,""0.00"")"),"58.42 +/- 0.00")</f>
        <v>58.42 +/- 0.00</v>
      </c>
      <c r="O26" s="9" t="str">
        <f>IFERROR(__xludf.DUMMYFUNCTION("TEXT(VALUE(REGEXEXTRACT(G26,""^[+-]?[0-9]*\.?[0-9]+""))*100,""0.00"")&amp;"" +/- ""&amp;TEXT(VALUE(REGEXEXTRACT(G26,""[0-9]*\.?[0-9]+$""))*100,""0.00"")"),"58.42 +/- 0.00")</f>
        <v>58.42 +/- 0.00</v>
      </c>
      <c r="P26" s="9" t="str">
        <f>IFERROR(__xludf.DUMMYFUNCTION("TEXT(VALUE(REGEXEXTRACT(H26,""^[+-]?[0-9]*\.?[0-9]+""))*100,""0.00"")&amp;"" +/- ""&amp;TEXT(VALUE(REGEXEXTRACT(H26,""[0-9]*\.?[0-9]+$""))*100,""0.00"")"),"58.42 +/- 0.00")</f>
        <v>58.42 +/- 0.00</v>
      </c>
    </row>
    <row r="27">
      <c r="A27" s="6" t="s">
        <v>529</v>
      </c>
      <c r="B27" s="16" t="s">
        <v>2005</v>
      </c>
      <c r="C27" s="16" t="s">
        <v>2005</v>
      </c>
      <c r="D27" s="16" t="s">
        <v>2006</v>
      </c>
      <c r="E27" s="16" t="s">
        <v>2005</v>
      </c>
      <c r="F27" s="16" t="s">
        <v>2005</v>
      </c>
      <c r="G27" s="16" t="s">
        <v>2005</v>
      </c>
      <c r="H27" s="16" t="s">
        <v>2005</v>
      </c>
      <c r="I27" s="8" t="str">
        <f t="shared" si="2"/>
        <v>A→Z</v>
      </c>
      <c r="J27" s="9" t="str">
        <f>IFERROR(__xludf.DUMMYFUNCTION("TEXT(VALUE(REGEXEXTRACT(B27,""^[+-]?[0-9]*\.?[0-9]+""))*100,""0.00"")&amp;"" +/- ""&amp;TEXT(VALUE(REGEXEXTRACT(B27,""[0-9]*\.?[0-9]+$""))*100,""0.00"")"),"61.38 +/- 0.00")</f>
        <v>61.38 +/- 0.00</v>
      </c>
      <c r="K27" s="9" t="str">
        <f>IFERROR(__xludf.DUMMYFUNCTION("TEXT(VALUE(REGEXEXTRACT(C27,""^[+-]?[0-9]*\.?[0-9]+""))*100,""0.00"")&amp;"" +/- ""&amp;TEXT(VALUE(REGEXEXTRACT(C27,""[0-9]*\.?[0-9]+$""))*100,""0.00"")"),"61.38 +/- 0.00")</f>
        <v>61.38 +/- 0.00</v>
      </c>
      <c r="L27" s="10" t="str">
        <f>IFERROR(__xludf.DUMMYFUNCTION("TEXT(VALUE(REGEXEXTRACT(D27,""^[+-]?[0-9]*\.?[0-9]+""))*100,""0.00"")&amp;"" +/- ""&amp;TEXT(VALUE(REGEXEXTRACT(D27,""[0-9]*\.?[0-9]+$""))*100,""0.00"")"),"65.03 +/- 0.00")</f>
        <v>65.03 +/- 0.00</v>
      </c>
      <c r="M27" s="9" t="str">
        <f>IFERROR(__xludf.DUMMYFUNCTION("TEXT(VALUE(REGEXEXTRACT(E27,""^[+-]?[0-9]*\.?[0-9]+""))*100,""0.00"")&amp;"" +/- ""&amp;TEXT(VALUE(REGEXEXTRACT(E27,""[0-9]*\.?[0-9]+$""))*100,""0.00"")"),"61.38 +/- 0.00")</f>
        <v>61.38 +/- 0.00</v>
      </c>
      <c r="N27" s="9" t="str">
        <f>IFERROR(__xludf.DUMMYFUNCTION("TEXT(VALUE(REGEXEXTRACT(F27,""^[+-]?[0-9]*\.?[0-9]+""))*100,""0.00"")&amp;"" +/- ""&amp;TEXT(VALUE(REGEXEXTRACT(F27,""[0-9]*\.?[0-9]+$""))*100,""0.00"")"),"61.38 +/- 0.00")</f>
        <v>61.38 +/- 0.00</v>
      </c>
      <c r="O27" s="9" t="str">
        <f>IFERROR(__xludf.DUMMYFUNCTION("TEXT(VALUE(REGEXEXTRACT(G27,""^[+-]?[0-9]*\.?[0-9]+""))*100,""0.00"")&amp;"" +/- ""&amp;TEXT(VALUE(REGEXEXTRACT(G27,""[0-9]*\.?[0-9]+$""))*100,""0.00"")"),"61.38 +/- 0.00")</f>
        <v>61.38 +/- 0.00</v>
      </c>
      <c r="P27" s="9" t="str">
        <f>IFERROR(__xludf.DUMMYFUNCTION("TEXT(VALUE(REGEXEXTRACT(H27,""^[+-]?[0-9]*\.?[0-9]+""))*100,""0.00"")&amp;"" +/- ""&amp;TEXT(VALUE(REGEXEXTRACT(H27,""[0-9]*\.?[0-9]+$""))*100,""0.00"")"),"61.38 +/- 0.00")</f>
        <v>61.38 +/- 0.00</v>
      </c>
    </row>
    <row r="28">
      <c r="A28" s="6" t="s">
        <v>539</v>
      </c>
      <c r="B28" s="16" t="s">
        <v>2008</v>
      </c>
      <c r="C28" s="16" t="s">
        <v>2009</v>
      </c>
      <c r="D28" s="16" t="s">
        <v>2010</v>
      </c>
      <c r="E28" s="16" t="s">
        <v>2011</v>
      </c>
      <c r="F28" s="16" t="s">
        <v>2012</v>
      </c>
      <c r="G28" s="16" t="s">
        <v>2013</v>
      </c>
      <c r="H28" s="16" t="s">
        <v>2014</v>
      </c>
      <c r="I28" s="8" t="str">
        <f t="shared" si="2"/>
        <v>S→A</v>
      </c>
      <c r="J28" s="9" t="str">
        <f>IFERROR(__xludf.DUMMYFUNCTION("TEXT(VALUE(REGEXEXTRACT(B28,""^[+-]?[0-9]*\.?[0-9]+""))*100,""0.00"")&amp;"" +/- ""&amp;TEXT(VALUE(REGEXEXTRACT(B28,""[0-9]*\.?[0-9]+$""))*100,""0.00"")"),"64.87 +/- 0.67")</f>
        <v>64.87 +/- 0.67</v>
      </c>
      <c r="K28" s="9" t="str">
        <f>IFERROR(__xludf.DUMMYFUNCTION("TEXT(VALUE(REGEXEXTRACT(C28,""^[+-]?[0-9]*\.?[0-9]+""))*100,""0.00"")&amp;"" +/- ""&amp;TEXT(VALUE(REGEXEXTRACT(C28,""[0-9]*\.?[0-9]+$""))*100,""0.00"")"),"61.55 +/- 0.00")</f>
        <v>61.55 +/- 0.00</v>
      </c>
      <c r="L28" s="10" t="str">
        <f>IFERROR(__xludf.DUMMYFUNCTION("TEXT(VALUE(REGEXEXTRACT(D28,""^[+-]?[0-9]*\.?[0-9]+""))*100,""0.00"")&amp;"" +/- ""&amp;TEXT(VALUE(REGEXEXTRACT(D28,""[0-9]*\.?[0-9]+$""))*100,""0.00"")"),"69.22 +/- 0.00")</f>
        <v>69.22 +/- 0.00</v>
      </c>
      <c r="M28" s="9" t="str">
        <f>IFERROR(__xludf.DUMMYFUNCTION("TEXT(VALUE(REGEXEXTRACT(E28,""^[+-]?[0-9]*\.?[0-9]+""))*100,""0.00"")&amp;"" +/- ""&amp;TEXT(VALUE(REGEXEXTRACT(E28,""[0-9]*\.?[0-9]+$""))*100,""0.00"")"),"63.17 +/- 1.83")</f>
        <v>63.17 +/- 1.83</v>
      </c>
      <c r="N28" s="9" t="str">
        <f>IFERROR(__xludf.DUMMYFUNCTION("TEXT(VALUE(REGEXEXTRACT(F28,""^[+-]?[0-9]*\.?[0-9]+""))*100,""0.00"")&amp;"" +/- ""&amp;TEXT(VALUE(REGEXEXTRACT(F28,""[0-9]*\.?[0-9]+$""))*100,""0.00"")"),"61.79 +/- 1.18")</f>
        <v>61.79 +/- 1.18</v>
      </c>
      <c r="O28" s="9" t="str">
        <f>IFERROR(__xludf.DUMMYFUNCTION("TEXT(VALUE(REGEXEXTRACT(G28,""^[+-]?[0-9]*\.?[0-9]+""))*100,""0.00"")&amp;"" +/- ""&amp;TEXT(VALUE(REGEXEXTRACT(G28,""[0-9]*\.?[0-9]+$""))*100,""0.00"")"),"63.41 +/- 1.26")</f>
        <v>63.41 +/- 1.26</v>
      </c>
      <c r="P28" s="9" t="str">
        <f>IFERROR(__xludf.DUMMYFUNCTION("TEXT(VALUE(REGEXEXTRACT(H28,""^[+-]?[0-9]*\.?[0-9]+""))*100,""0.00"")&amp;"" +/- ""&amp;TEXT(VALUE(REGEXEXTRACT(H28,""[0-9]*\.?[0-9]+$""))*100,""0.00"")"),"59.47 +/- 1.95")</f>
        <v>59.47 +/- 1.95</v>
      </c>
    </row>
    <row r="29">
      <c r="A29" s="6" t="s">
        <v>556</v>
      </c>
      <c r="B29" s="16" t="s">
        <v>2018</v>
      </c>
      <c r="C29" s="16" t="s">
        <v>2019</v>
      </c>
      <c r="D29" s="16" t="s">
        <v>2020</v>
      </c>
      <c r="E29" s="16" t="s">
        <v>2021</v>
      </c>
      <c r="F29" s="16" t="s">
        <v>2022</v>
      </c>
      <c r="G29" s="16" t="s">
        <v>2023</v>
      </c>
      <c r="H29" s="16" t="s">
        <v>2024</v>
      </c>
      <c r="I29" s="8" t="str">
        <f t="shared" si="2"/>
        <v>S→Z</v>
      </c>
      <c r="J29" s="10" t="str">
        <f>IFERROR(__xludf.DUMMYFUNCTION("TEXT(VALUE(REGEXEXTRACT(B29,""^[+-]?[0-9]*\.?[0-9]+""))*100,""0.00"")&amp;"" +/- ""&amp;TEXT(VALUE(REGEXEXTRACT(B29,""[0-9]*\.?[0-9]+$""))*100,""0.00"")"),"56.92 +/- 0.19")</f>
        <v>56.92 +/- 0.19</v>
      </c>
      <c r="K29" s="9" t="str">
        <f>IFERROR(__xludf.DUMMYFUNCTION("TEXT(VALUE(REGEXEXTRACT(C29,""^[+-]?[0-9]*\.?[0-9]+""))*100,""0.00"")&amp;"" +/- ""&amp;TEXT(VALUE(REGEXEXTRACT(C29,""[0-9]*\.?[0-9]+$""))*100,""0.00"")"),"56.14 +/- 0.00")</f>
        <v>56.14 +/- 0.00</v>
      </c>
      <c r="L29" s="9" t="str">
        <f>IFERROR(__xludf.DUMMYFUNCTION("TEXT(VALUE(REGEXEXTRACT(D29,""^[+-]?[0-9]*\.?[0-9]+""))*100,""0.00"")&amp;"" +/- ""&amp;TEXT(VALUE(REGEXEXTRACT(D29,""[0-9]*\.?[0-9]+$""))*100,""0.00"")"),"55.69 +/- 0.00")</f>
        <v>55.69 +/- 0.00</v>
      </c>
      <c r="M29" s="9" t="str">
        <f>IFERROR(__xludf.DUMMYFUNCTION("TEXT(VALUE(REGEXEXTRACT(E29,""^[+-]?[0-9]*\.?[0-9]+""))*100,""0.00"")&amp;"" +/- ""&amp;TEXT(VALUE(REGEXEXTRACT(E29,""[0-9]*\.?[0-9]+$""))*100,""0.00"")"),"56.55 +/- 0.58")</f>
        <v>56.55 +/- 0.58</v>
      </c>
      <c r="N29" s="9" t="str">
        <f>IFERROR(__xludf.DUMMYFUNCTION("TEXT(VALUE(REGEXEXTRACT(F29,""^[+-]?[0-9]*\.?[0-9]+""))*100,""0.00"")&amp;"" +/- ""&amp;TEXT(VALUE(REGEXEXTRACT(F29,""[0-9]*\.?[0-9]+$""))*100,""0.00"")"),"56.16 +/- 0.47")</f>
        <v>56.16 +/- 0.47</v>
      </c>
      <c r="O29" s="9" t="str">
        <f>IFERROR(__xludf.DUMMYFUNCTION("TEXT(VALUE(REGEXEXTRACT(G29,""^[+-]?[0-9]*\.?[0-9]+""))*100,""0.00"")&amp;"" +/- ""&amp;TEXT(VALUE(REGEXEXTRACT(G29,""[0-9]*\.?[0-9]+$""))*100,""0.00"")"),"56.81 +/- 0.32")</f>
        <v>56.81 +/- 0.32</v>
      </c>
      <c r="P29" s="9" t="str">
        <f>IFERROR(__xludf.DUMMYFUNCTION("TEXT(VALUE(REGEXEXTRACT(H29,""^[+-]?[0-9]*\.?[0-9]+""))*100,""0.00"")&amp;"" +/- ""&amp;TEXT(VALUE(REGEXEXTRACT(H29,""[0-9]*\.?[0-9]+$""))*100,""0.00"")"),"56.69 +/- 0.70")</f>
        <v>56.69 +/- 0.70</v>
      </c>
    </row>
    <row r="30">
      <c r="A30" s="6" t="s">
        <v>572</v>
      </c>
      <c r="B30" s="16" t="s">
        <v>2025</v>
      </c>
      <c r="C30" s="16" t="s">
        <v>2026</v>
      </c>
      <c r="D30" s="16" t="s">
        <v>2027</v>
      </c>
      <c r="E30" s="16" t="s">
        <v>2028</v>
      </c>
      <c r="F30" s="16" t="s">
        <v>2029</v>
      </c>
      <c r="G30" s="16" t="s">
        <v>2030</v>
      </c>
      <c r="H30" s="16" t="s">
        <v>2031</v>
      </c>
      <c r="I30" s="8" t="str">
        <f t="shared" si="2"/>
        <v>Z→A</v>
      </c>
      <c r="J30" s="9" t="str">
        <f>IFERROR(__xludf.DUMMYFUNCTION("TEXT(VALUE(REGEXEXTRACT(B30,""^[+-]?[0-9]*\.?[0-9]+""))*100,""0.00"")&amp;"" +/- ""&amp;TEXT(VALUE(REGEXEXTRACT(B30,""[0-9]*\.?[0-9]+$""))*100,""0.00"")"),"63.47 +/- 0.58")</f>
        <v>63.47 +/- 0.58</v>
      </c>
      <c r="K30" s="9" t="str">
        <f>IFERROR(__xludf.DUMMYFUNCTION("TEXT(VALUE(REGEXEXTRACT(C30,""^[+-]?[0-9]*\.?[0-9]+""))*100,""0.00"")&amp;"" +/- ""&amp;TEXT(VALUE(REGEXEXTRACT(C30,""[0-9]*\.?[0-9]+$""))*100,""0.00"")"),"56.01 +/- 0.00")</f>
        <v>56.01 +/- 0.00</v>
      </c>
      <c r="L30" s="10" t="str">
        <f>IFERROR(__xludf.DUMMYFUNCTION("TEXT(VALUE(REGEXEXTRACT(D30,""^[+-]?[0-9]*\.?[0-9]+""))*100,""0.00"")&amp;"" +/- ""&amp;TEXT(VALUE(REGEXEXTRACT(D30,""[0-9]*\.?[0-9]+$""))*100,""0.00"")"),"73.15 +/- 0.00")</f>
        <v>73.15 +/- 0.00</v>
      </c>
      <c r="M30" s="9" t="str">
        <f>IFERROR(__xludf.DUMMYFUNCTION("TEXT(VALUE(REGEXEXTRACT(E30,""^[+-]?[0-9]*\.?[0-9]+""))*100,""0.00"")&amp;"" +/- ""&amp;TEXT(VALUE(REGEXEXTRACT(E30,""[0-9]*\.?[0-9]+$""))*100,""0.00"")"),"59.69 +/- 1.45")</f>
        <v>59.69 +/- 1.45</v>
      </c>
      <c r="N30" s="9" t="str">
        <f>IFERROR(__xludf.DUMMYFUNCTION("TEXT(VALUE(REGEXEXTRACT(F30,""^[+-]?[0-9]*\.?[0-9]+""))*100,""0.00"")&amp;"" +/- ""&amp;TEXT(VALUE(REGEXEXTRACT(F30,""[0-9]*\.?[0-9]+$""))*100,""0.00"")"),"57.54 +/- 1.10")</f>
        <v>57.54 +/- 1.10</v>
      </c>
      <c r="O30" s="9" t="str">
        <f>IFERROR(__xludf.DUMMYFUNCTION("TEXT(VALUE(REGEXEXTRACT(G30,""^[+-]?[0-9]*\.?[0-9]+""))*100,""0.00"")&amp;"" +/- ""&amp;TEXT(VALUE(REGEXEXTRACT(G30,""[0-9]*\.?[0-9]+$""))*100,""0.00"")"),"59.26 +/- 1.61")</f>
        <v>59.26 +/- 1.61</v>
      </c>
      <c r="P30" s="9" t="str">
        <f>IFERROR(__xludf.DUMMYFUNCTION("TEXT(VALUE(REGEXEXTRACT(H30,""^[+-]?[0-9]*\.?[0-9]+""))*100,""0.00"")&amp;"" +/- ""&amp;TEXT(VALUE(REGEXEXTRACT(H30,""[0-9]*\.?[0-9]+$""))*100,""0.00"")"),"49.28 +/- 0.95")</f>
        <v>49.28 +/- 0.95</v>
      </c>
    </row>
    <row r="31">
      <c r="A31" s="6" t="s">
        <v>583</v>
      </c>
      <c r="B31" s="16" t="s">
        <v>2032</v>
      </c>
      <c r="C31" s="16" t="s">
        <v>2033</v>
      </c>
      <c r="D31" s="16" t="s">
        <v>2033</v>
      </c>
      <c r="E31" s="16" t="s">
        <v>2034</v>
      </c>
      <c r="F31" s="16" t="s">
        <v>2035</v>
      </c>
      <c r="G31" s="16" t="s">
        <v>2036</v>
      </c>
      <c r="H31" s="16" t="s">
        <v>2037</v>
      </c>
      <c r="I31" s="8" t="str">
        <f t="shared" si="2"/>
        <v>Z→S</v>
      </c>
      <c r="J31" s="10" t="str">
        <f>IFERROR(__xludf.DUMMYFUNCTION("TEXT(VALUE(REGEXEXTRACT(B31,""^[+-]?[0-9]*\.?[0-9]+""))*100,""0.00"")&amp;"" +/- ""&amp;TEXT(VALUE(REGEXEXTRACT(B31,""[0-9]*\.?[0-9]+$""))*100,""0.00"")"),"77.22 +/- 0.59")</f>
        <v>77.22 +/- 0.59</v>
      </c>
      <c r="K31" s="9" t="str">
        <f>IFERROR(__xludf.DUMMYFUNCTION("TEXT(VALUE(REGEXEXTRACT(C31,""^[+-]?[0-9]*\.?[0-9]+""))*100,""0.00"")&amp;"" +/- ""&amp;TEXT(VALUE(REGEXEXTRACT(C31,""[0-9]*\.?[0-9]+$""))*100,""0.00"")"),"70.45 +/- 0.00")</f>
        <v>70.45 +/- 0.00</v>
      </c>
      <c r="L31" s="9" t="str">
        <f>IFERROR(__xludf.DUMMYFUNCTION("TEXT(VALUE(REGEXEXTRACT(D31,""^[+-]?[0-9]*\.?[0-9]+""))*100,""0.00"")&amp;"" +/- ""&amp;TEXT(VALUE(REGEXEXTRACT(D31,""[0-9]*\.?[0-9]+$""))*100,""0.00"")"),"70.45 +/- 0.00")</f>
        <v>70.45 +/- 0.00</v>
      </c>
      <c r="M31" s="9" t="str">
        <f>IFERROR(__xludf.DUMMYFUNCTION("TEXT(VALUE(REGEXEXTRACT(E31,""^[+-]?[0-9]*\.?[0-9]+""))*100,""0.00"")&amp;"" +/- ""&amp;TEXT(VALUE(REGEXEXTRACT(E31,""[0-9]*\.?[0-9]+$""))*100,""0.00"")"),"72.20 +/- 2.14")</f>
        <v>72.20 +/- 2.14</v>
      </c>
      <c r="N31" s="9" t="str">
        <f>IFERROR(__xludf.DUMMYFUNCTION("TEXT(VALUE(REGEXEXTRACT(F31,""^[+-]?[0-9]*\.?[0-9]+""))*100,""0.00"")&amp;"" +/- ""&amp;TEXT(VALUE(REGEXEXTRACT(F31,""[0-9]*\.?[0-9]+$""))*100,""0.00"")"),"70.61 +/- 1.24")</f>
        <v>70.61 +/- 1.24</v>
      </c>
      <c r="O31" s="9" t="str">
        <f>IFERROR(__xludf.DUMMYFUNCTION("TEXT(VALUE(REGEXEXTRACT(G31,""^[+-]?[0-9]*\.?[0-9]+""))*100,""0.00"")&amp;"" +/- ""&amp;TEXT(VALUE(REGEXEXTRACT(G31,""[0-9]*\.?[0-9]+$""))*100,""0.00"")"),"69.02 +/- 1.77")</f>
        <v>69.02 +/- 1.77</v>
      </c>
      <c r="P31" s="9" t="str">
        <f>IFERROR(__xludf.DUMMYFUNCTION("TEXT(VALUE(REGEXEXTRACT(H31,""^[+-]?[0-9]*\.?[0-9]+""))*100,""0.00"")&amp;"" +/- ""&amp;TEXT(VALUE(REGEXEXTRACT(H31,""[0-9]*\.?[0-9]+$""))*100,""0.00"")"),"56.97 +/- 1.68")</f>
        <v>56.97 +/- 1.68</v>
      </c>
    </row>
    <row r="32">
      <c r="A32" s="6" t="s">
        <v>371</v>
      </c>
      <c r="B32" s="14"/>
      <c r="C32" s="21" t="s">
        <v>671</v>
      </c>
      <c r="D32" s="21" t="s">
        <v>2045</v>
      </c>
      <c r="E32" s="21" t="s">
        <v>671</v>
      </c>
      <c r="F32" s="21" t="s">
        <v>671</v>
      </c>
      <c r="G32" s="21" t="s">
        <v>671</v>
      </c>
      <c r="H32" s="21" t="s">
        <v>671</v>
      </c>
      <c r="I32" s="8" t="str">
        <f t="shared" si="2"/>
        <v>W/T/L</v>
      </c>
      <c r="K32" s="20" t="str">
        <f>IFERROR(__xludf.DUMMYFUNCTION("SUM(ARRAYFORMULA(IFERROR(
  (VALUE(REGEXEXTRACT($J$26:$J$31,""^[+-]?[0-9]*\.?[0-9]+""))&gt;
   VALUE(REGEXEXTRACT(K$26:K$31,""^[+-]?[0-9]*\.?[0-9]+"")))*1,0)))
&amp;""/""&amp;
SUM(ARRAYFORMULA(IFERROR(
  (VALUE(REGEXEXTRACT($J$26:$J$31,""^[+-]?[0-9]*\.?[0-9]+""))=
 "&amp;"  VALUE(REGEXEXTRACT(K$26:K$31,""^[+-]?[0-9]*\.?[0-9]+"")))*1,0)))
&amp;""/""&amp;
SUM(ARRAYFORMULA(IFERROR(
  (VALUE(REGEXEXTRACT($J$26:$J$31,""^[+-]?[0-9]*\.?[0-9]+""))&lt;
   VALUE(REGEXEXTRACT(K$26:K$31,""^[+-]?[0-9]*\.?[0-9]+"")))*1,0)))"),"4/2/0")</f>
        <v>4/2/0</v>
      </c>
      <c r="L32" s="20" t="str">
        <f>IFERROR(__xludf.DUMMYFUNCTION("SUM(ARRAYFORMULA(IFERROR(
  (VALUE(REGEXEXTRACT($J$26:$J$31,""^[+-]?[0-9]*\.?[0-9]+""))&gt;
   VALUE(REGEXEXTRACT(L$26:L$31,""^[+-]?[0-9]*\.?[0-9]+"")))*1,0)))
&amp;""/""&amp;
SUM(ARRAYFORMULA(IFERROR(
  (VALUE(REGEXEXTRACT($J$26:$J$31,""^[+-]?[0-9]*\.?[0-9]+""))=
 "&amp;"  VALUE(REGEXEXTRACT(L$26:L$31,""^[+-]?[0-9]*\.?[0-9]+"")))*1,0)))
&amp;""/""&amp;
SUM(ARRAYFORMULA(IFERROR(
  (VALUE(REGEXEXTRACT($J$26:$J$31,""^[+-]?[0-9]*\.?[0-9]+""))&lt;
   VALUE(REGEXEXTRACT(L$26:L$31,""^[+-]?[0-9]*\.?[0-9]+"")))*1,0)))"),"2/0/4")</f>
        <v>2/0/4</v>
      </c>
      <c r="M32" s="20" t="str">
        <f>IFERROR(__xludf.DUMMYFUNCTION("SUM(ARRAYFORMULA(IFERROR(
  (VALUE(REGEXEXTRACT($J$26:$J$31,""^[+-]?[0-9]*\.?[0-9]+""))&gt;
   VALUE(REGEXEXTRACT(M$26:M$31,""^[+-]?[0-9]*\.?[0-9]+"")))*1,0)))
&amp;""/""&amp;
SUM(ARRAYFORMULA(IFERROR(
  (VALUE(REGEXEXTRACT($J$26:$J$31,""^[+-]?[0-9]*\.?[0-9]+""))=
 "&amp;"  VALUE(REGEXEXTRACT(M$26:M$31,""^[+-]?[0-9]*\.?[0-9]+"")))*1,0)))
&amp;""/""&amp;
SUM(ARRAYFORMULA(IFERROR(
  (VALUE(REGEXEXTRACT($J$26:$J$31,""^[+-]?[0-9]*\.?[0-9]+""))&lt;
   VALUE(REGEXEXTRACT(M$26:M$31,""^[+-]?[0-9]*\.?[0-9]+"")))*1,0)))"),"4/2/0")</f>
        <v>4/2/0</v>
      </c>
      <c r="N32" s="20" t="str">
        <f>IFERROR(__xludf.DUMMYFUNCTION("SUM(ARRAYFORMULA(IFERROR(
  (VALUE(REGEXEXTRACT($J$26:$J$31,""^[+-]?[0-9]*\.?[0-9]+""))&gt;
   VALUE(REGEXEXTRACT(N$26:N$31,""^[+-]?[0-9]*\.?[0-9]+"")))*1,0)))
&amp;""/""&amp;
SUM(ARRAYFORMULA(IFERROR(
  (VALUE(REGEXEXTRACT($J$26:$J$31,""^[+-]?[0-9]*\.?[0-9]+""))=
 "&amp;"  VALUE(REGEXEXTRACT(N$26:N$31,""^[+-]?[0-9]*\.?[0-9]+"")))*1,0)))
&amp;""/""&amp;
SUM(ARRAYFORMULA(IFERROR(
  (VALUE(REGEXEXTRACT($J$26:$J$31,""^[+-]?[0-9]*\.?[0-9]+""))&lt;
   VALUE(REGEXEXTRACT(N$26:N$31,""^[+-]?[0-9]*\.?[0-9]+"")))*1,0)))"),"4/2/0")</f>
        <v>4/2/0</v>
      </c>
      <c r="O32" s="20" t="str">
        <f>IFERROR(__xludf.DUMMYFUNCTION("SUM(ARRAYFORMULA(IFERROR(
  (VALUE(REGEXEXTRACT($J$26:$J$31,""^[+-]?[0-9]*\.?[0-9]+""))&gt;
   VALUE(REGEXEXTRACT(O$26:O$31,""^[+-]?[0-9]*\.?[0-9]+"")))*1,0)))
&amp;""/""&amp;
SUM(ARRAYFORMULA(IFERROR(
  (VALUE(REGEXEXTRACT($J$26:$J$31,""^[+-]?[0-9]*\.?[0-9]+""))=
 "&amp;"  VALUE(REGEXEXTRACT(O$26:O$31,""^[+-]?[0-9]*\.?[0-9]+"")))*1,0)))
&amp;""/""&amp;
SUM(ARRAYFORMULA(IFERROR(
  (VALUE(REGEXEXTRACT($J$26:$J$31,""^[+-]?[0-9]*\.?[0-9]+""))&lt;
   VALUE(REGEXEXTRACT(O$26:O$31,""^[+-]?[0-9]*\.?[0-9]+"")))*1,0)))"),"4/2/0")</f>
        <v>4/2/0</v>
      </c>
      <c r="P32" s="20" t="str">
        <f>IFERROR(__xludf.DUMMYFUNCTION("SUM(ARRAYFORMULA(IFERROR(
  (VALUE(REGEXEXTRACT($J$26:$J$31,""^[+-]?[0-9]*\.?[0-9]+""))&gt;
   VALUE(REGEXEXTRACT(P$26:P$31,""^[+-]?[0-9]*\.?[0-9]+"")))*1,0)))
&amp;""/""&amp;
SUM(ARRAYFORMULA(IFERROR(
  (VALUE(REGEXEXTRACT($J$26:$J$31,""^[+-]?[0-9]*\.?[0-9]+""))=
 "&amp;"  VALUE(REGEXEXTRACT(P$26:P$31,""^[+-]?[0-9]*\.?[0-9]+"")))*1,0)))
&amp;""/""&amp;
SUM(ARRAYFORMULA(IFERROR(
  (VALUE(REGEXEXTRACT($J$26:$J$31,""^[+-]?[0-9]*\.?[0-9]+""))&lt;
   VALUE(REGEXEXTRACT(P$26:P$31,""^[+-]?[0-9]*\.?[0-9]+"")))*1,0)))"),"4/2/0")</f>
        <v>4/2/0</v>
      </c>
    </row>
    <row r="33">
      <c r="A33" s="6" t="s">
        <v>489</v>
      </c>
      <c r="B33" s="14" t="s">
        <v>2053</v>
      </c>
      <c r="C33" s="14" t="s">
        <v>2054</v>
      </c>
      <c r="D33" s="14" t="s">
        <v>2055</v>
      </c>
      <c r="E33" s="14" t="s">
        <v>2056</v>
      </c>
      <c r="F33" s="14" t="s">
        <v>2057</v>
      </c>
      <c r="G33" s="14" t="s">
        <v>2058</v>
      </c>
      <c r="H33" s="14" t="s">
        <v>2059</v>
      </c>
      <c r="I33" s="8" t="str">
        <f t="shared" si="2"/>
        <v>Average (%)</v>
      </c>
      <c r="J33" s="9">
        <f>IFERROR(__xludf.DUMMYFUNCTION("ROUND(AVERAGE(ARRAYFORMULA(IFERROR(VALUE(REGEXEXTRACT(J$26:J$31,""^[+-]?[0-9]*\.?[0-9]+"")),""""))),2)"),63.71)</f>
        <v>63.71</v>
      </c>
      <c r="K33" s="9">
        <f>IFERROR(__xludf.DUMMYFUNCTION("ROUND(AVERAGE(ARRAYFORMULA(IFERROR(VALUE(REGEXEXTRACT(K$26:K$31,""^[+-]?[0-9]*\.?[0-9]+"")),""""))),2)"),60.66)</f>
        <v>60.66</v>
      </c>
      <c r="L33" s="9">
        <f>IFERROR(__xludf.DUMMYFUNCTION("ROUND(AVERAGE(ARRAYFORMULA(IFERROR(VALUE(REGEXEXTRACT(L$26:L$31,""^[+-]?[0-9]*\.?[0-9]+"")),""""))),2)"),69.27)</f>
        <v>69.27</v>
      </c>
      <c r="M33" s="9">
        <f>IFERROR(__xludf.DUMMYFUNCTION("ROUND(AVERAGE(ARRAYFORMULA(IFERROR(VALUE(REGEXEXTRACT(M$26:M$31,""^[+-]?[0-9]*\.?[0-9]+"")),""""))),2)"),61.9)</f>
        <v>61.9</v>
      </c>
      <c r="N33" s="9">
        <f>IFERROR(__xludf.DUMMYFUNCTION("ROUND(AVERAGE(ARRAYFORMULA(IFERROR(VALUE(REGEXEXTRACT(N$26:N$31,""^[+-]?[0-9]*\.?[0-9]+"")),""""))),2)"),60.98)</f>
        <v>60.98</v>
      </c>
      <c r="O33" s="9">
        <f>IFERROR(__xludf.DUMMYFUNCTION("ROUND(AVERAGE(ARRAYFORMULA(IFERROR(VALUE(REGEXEXTRACT(O$26:O$31,""^[+-]?[0-9]*\.?[0-9]+"")),""""))),2)"),61.38)</f>
        <v>61.38</v>
      </c>
      <c r="P33" s="9">
        <f>IFERROR(__xludf.DUMMYFUNCTION("ROUND(AVERAGE(ARRAYFORMULA(IFERROR(VALUE(REGEXEXTRACT(P$26:P$31,""^[+-]?[0-9]*\.?[0-9]+"")),""""))),2)"),57.04)</f>
        <v>57.04</v>
      </c>
    </row>
    <row r="34">
      <c r="A34" s="4" t="s">
        <v>659</v>
      </c>
      <c r="B34" s="42"/>
      <c r="C34" s="42"/>
      <c r="D34" s="42"/>
      <c r="E34" s="42"/>
      <c r="F34" s="42"/>
      <c r="G34" s="42"/>
      <c r="H34" s="42"/>
      <c r="I34" s="4" t="s">
        <v>659</v>
      </c>
    </row>
    <row r="35">
      <c r="A35" s="6" t="s">
        <v>660</v>
      </c>
      <c r="B35" s="16" t="s">
        <v>2060</v>
      </c>
      <c r="C35" s="16" t="s">
        <v>2061</v>
      </c>
      <c r="D35" s="16" t="s">
        <v>2062</v>
      </c>
      <c r="E35" s="16" t="s">
        <v>2063</v>
      </c>
      <c r="F35" s="16" t="s">
        <v>2064</v>
      </c>
      <c r="G35" s="16" t="s">
        <v>2065</v>
      </c>
      <c r="H35" s="16" t="s">
        <v>2066</v>
      </c>
      <c r="I35" s="8" t="str">
        <f t="shared" ref="I35:I56" si="3">A35</f>
        <v>AR1→AR3</v>
      </c>
      <c r="J35" s="9" t="str">
        <f>IFERROR(__xludf.DUMMYFUNCTION("TEXT(VALUE(REGEXEXTRACT(B35,""^[+-]?[0-9]*\.?[0-9]+""))*100,""0.00"")&amp;"" +/- ""&amp;TEXT(VALUE(REGEXEXTRACT(B35,""[0-9]*\.?[0-9]+$""))*100,""0.00"")"),"54.20 +/- 1.53")</f>
        <v>54.20 +/- 1.53</v>
      </c>
      <c r="K35" s="10" t="str">
        <f>IFERROR(__xludf.DUMMYFUNCTION("TEXT(VALUE(REGEXEXTRACT(C35,""^[+-]?[0-9]*\.?[0-9]+""))*100,""0.00"")&amp;"" +/- ""&amp;TEXT(VALUE(REGEXEXTRACT(C35,""[0-9]*\.?[0-9]+$""))*100,""0.00"")"),"55.45 +/- 0.00")</f>
        <v>55.45 +/- 0.00</v>
      </c>
      <c r="L35" s="9" t="str">
        <f>IFERROR(__xludf.DUMMYFUNCTION("TEXT(VALUE(REGEXEXTRACT(D35,""^[+-]?[0-9]*\.?[0-9]+""))*100,""0.00"")&amp;"" +/- ""&amp;TEXT(VALUE(REGEXEXTRACT(D35,""[0-9]*\.?[0-9]+$""))*100,""0.00"")"),"25.45 +/- 0.00")</f>
        <v>25.45 +/- 0.00</v>
      </c>
      <c r="M35" s="9" t="str">
        <f>IFERROR(__xludf.DUMMYFUNCTION("TEXT(VALUE(REGEXEXTRACT(E35,""^[+-]?[0-9]*\.?[0-9]+""))*100,""0.00"")&amp;"" +/- ""&amp;TEXT(VALUE(REGEXEXTRACT(E35,""[0-9]*\.?[0-9]+$""))*100,""0.00"")"),"53.82 +/- 1.68")</f>
        <v>53.82 +/- 1.68</v>
      </c>
      <c r="N35" s="9" t="str">
        <f>IFERROR(__xludf.DUMMYFUNCTION("TEXT(VALUE(REGEXEXTRACT(F35,""^[+-]?[0-9]*\.?[0-9]+""))*100,""0.00"")&amp;"" +/- ""&amp;TEXT(VALUE(REGEXEXTRACT(F35,""[0-9]*\.?[0-9]+$""))*100,""0.00"")"),"54.22 +/- 1.87")</f>
        <v>54.22 +/- 1.87</v>
      </c>
      <c r="O35" s="9" t="str">
        <f>IFERROR(__xludf.DUMMYFUNCTION("TEXT(VALUE(REGEXEXTRACT(G35,""^[+-]?[0-9]*\.?[0-9]+""))*100,""0.00"")&amp;"" +/- ""&amp;TEXT(VALUE(REGEXEXTRACT(G35,""[0-9]*\.?[0-9]+$""))*100,""0.00"")"),"54.76 +/- 1.96")</f>
        <v>54.76 +/- 1.96</v>
      </c>
      <c r="P35" s="9" t="str">
        <f>IFERROR(__xludf.DUMMYFUNCTION("TEXT(VALUE(REGEXEXTRACT(H35,""^[+-]?[0-9]*\.?[0-9]+""))*100,""0.00"")&amp;"" +/- ""&amp;TEXT(VALUE(REGEXEXTRACT(H35,""[0-9]*\.?[0-9]+$""))*100,""0.00"")"),"55.18 +/- 1.05")</f>
        <v>55.18 +/- 1.05</v>
      </c>
    </row>
    <row r="36">
      <c r="A36" s="6" t="s">
        <v>676</v>
      </c>
      <c r="B36" s="16" t="s">
        <v>2067</v>
      </c>
      <c r="C36" s="16" t="s">
        <v>2068</v>
      </c>
      <c r="D36" s="16" t="s">
        <v>2069</v>
      </c>
      <c r="E36" s="16" t="s">
        <v>2070</v>
      </c>
      <c r="F36" s="16" t="s">
        <v>2071</v>
      </c>
      <c r="G36" s="16" t="s">
        <v>2072</v>
      </c>
      <c r="H36" s="16" t="s">
        <v>2073</v>
      </c>
      <c r="I36" s="8" t="str">
        <f t="shared" si="3"/>
        <v>AR1→AR4</v>
      </c>
      <c r="J36" s="10" t="str">
        <f>IFERROR(__xludf.DUMMYFUNCTION("TEXT(VALUE(REGEXEXTRACT(B36,""^[+-]?[0-9]*\.?[0-9]+""))*100,""0.00"")&amp;"" +/- ""&amp;TEXT(VALUE(REGEXEXTRACT(B36,""[0-9]*\.?[0-9]+$""))*100,""0.00"")"),"76.97 +/- 0.81")</f>
        <v>76.97 +/- 0.81</v>
      </c>
      <c r="K36" s="9" t="str">
        <f>IFERROR(__xludf.DUMMYFUNCTION("TEXT(VALUE(REGEXEXTRACT(C36,""^[+-]?[0-9]*\.?[0-9]+""))*100,""0.00"")&amp;"" +/- ""&amp;TEXT(VALUE(REGEXEXTRACT(C36,""[0-9]*\.?[0-9]+$""))*100,""0.00"")"),"72.01 +/- 0.00")</f>
        <v>72.01 +/- 0.00</v>
      </c>
      <c r="L36" s="9" t="str">
        <f>IFERROR(__xludf.DUMMYFUNCTION("TEXT(VALUE(REGEXEXTRACT(D36,""^[+-]?[0-9]*\.?[0-9]+""))*100,""0.00"")&amp;"" +/- ""&amp;TEXT(VALUE(REGEXEXTRACT(D36,""[0-9]*\.?[0-9]+$""))*100,""0.00"")"),"59.02 +/- 0.00")</f>
        <v>59.02 +/- 0.00</v>
      </c>
      <c r="M36" s="9" t="str">
        <f>IFERROR(__xludf.DUMMYFUNCTION("TEXT(VALUE(REGEXEXTRACT(E36,""^[+-]?[0-9]*\.?[0-9]+""))*100,""0.00"")&amp;"" +/- ""&amp;TEXT(VALUE(REGEXEXTRACT(E36,""[0-9]*\.?[0-9]+$""))*100,""0.00"")"),"74.63 +/- 1.21")</f>
        <v>74.63 +/- 1.21</v>
      </c>
      <c r="N36" s="9" t="str">
        <f>IFERROR(__xludf.DUMMYFUNCTION("TEXT(VALUE(REGEXEXTRACT(F36,""^[+-]?[0-9]*\.?[0-9]+""))*100,""0.00"")&amp;"" +/- ""&amp;TEXT(VALUE(REGEXEXTRACT(F36,""[0-9]*\.?[0-9]+$""))*100,""0.00"")"),"75.39 +/- 0.93")</f>
        <v>75.39 +/- 0.93</v>
      </c>
      <c r="O36" s="9" t="str">
        <f>IFERROR(__xludf.DUMMYFUNCTION("TEXT(VALUE(REGEXEXTRACT(G36,""^[+-]?[0-9]*\.?[0-9]+""))*100,""0.00"")&amp;"" +/- ""&amp;TEXT(VALUE(REGEXEXTRACT(G36,""[0-9]*\.?[0-9]+$""))*100,""0.00"")"),"75.24 +/- 1.04")</f>
        <v>75.24 +/- 1.04</v>
      </c>
      <c r="P36" s="9" t="str">
        <f>IFERROR(__xludf.DUMMYFUNCTION("TEXT(VALUE(REGEXEXTRACT(H36,""^[+-]?[0-9]*\.?[0-9]+""))*100,""0.00"")&amp;"" +/- ""&amp;TEXT(VALUE(REGEXEXTRACT(H36,""[0-9]*\.?[0-9]+$""))*100,""0.00"")"),"68.85 +/- 0.62")</f>
        <v>68.85 +/- 0.62</v>
      </c>
    </row>
    <row r="37">
      <c r="A37" s="6" t="s">
        <v>684</v>
      </c>
      <c r="B37" s="16" t="s">
        <v>2075</v>
      </c>
      <c r="C37" s="16" t="s">
        <v>2077</v>
      </c>
      <c r="D37" s="16" t="s">
        <v>2079</v>
      </c>
      <c r="E37" s="16" t="s">
        <v>2084</v>
      </c>
      <c r="F37" s="16" t="s">
        <v>2085</v>
      </c>
      <c r="G37" s="16" t="s">
        <v>2086</v>
      </c>
      <c r="H37" s="16" t="s">
        <v>2087</v>
      </c>
      <c r="I37" s="8" t="str">
        <f t="shared" si="3"/>
        <v>AR1→AR5</v>
      </c>
      <c r="J37" s="9" t="str">
        <f>IFERROR(__xludf.DUMMYFUNCTION("TEXT(VALUE(REGEXEXTRACT(B37,""^[+-]?[0-9]*\.?[0-9]+""))*100,""0.00"")&amp;"" +/- ""&amp;TEXT(VALUE(REGEXEXTRACT(B37,""[0-9]*\.?[0-9]+$""))*100,""0.00"")"),"74.17 +/- 0.80")</f>
        <v>74.17 +/- 0.80</v>
      </c>
      <c r="K37" s="10" t="str">
        <f>IFERROR(__xludf.DUMMYFUNCTION("TEXT(VALUE(REGEXEXTRACT(C37,""^[+-]?[0-9]*\.?[0-9]+""))*100,""0.00"")&amp;"" +/- ""&amp;TEXT(VALUE(REGEXEXTRACT(C37,""[0-9]*\.?[0-9]+$""))*100,""0.00"")"),"75.45 +/- 0.00")</f>
        <v>75.45 +/- 0.00</v>
      </c>
      <c r="L37" s="9" t="str">
        <f>IFERROR(__xludf.DUMMYFUNCTION("TEXT(VALUE(REGEXEXTRACT(D37,""^[+-]?[0-9]*\.?[0-9]+""))*100,""0.00"")&amp;"" +/- ""&amp;TEXT(VALUE(REGEXEXTRACT(D37,""[0-9]*\.?[0-9]+$""))*100,""0.00"")"),"58.93 +/- 0.00")</f>
        <v>58.93 +/- 0.00</v>
      </c>
      <c r="M37" s="9" t="str">
        <f>IFERROR(__xludf.DUMMYFUNCTION("TEXT(VALUE(REGEXEXTRACT(E37,""^[+-]?[0-9]*\.?[0-9]+""))*100,""0.00"")&amp;"" +/- ""&amp;TEXT(VALUE(REGEXEXTRACT(E37,""[0-9]*\.?[0-9]+$""))*100,""0.00"")"),"74.12 +/- 1.23")</f>
        <v>74.12 +/- 1.23</v>
      </c>
      <c r="N37" s="9" t="str">
        <f>IFERROR(__xludf.DUMMYFUNCTION("TEXT(VALUE(REGEXEXTRACT(F37,""^[+-]?[0-9]*\.?[0-9]+""))*100,""0.00"")&amp;"" +/- ""&amp;TEXT(VALUE(REGEXEXTRACT(F37,""[0-9]*\.?[0-9]+$""))*100,""0.00"")"),"74.23 +/- 1.05")</f>
        <v>74.23 +/- 1.05</v>
      </c>
      <c r="O37" s="9" t="str">
        <f>IFERROR(__xludf.DUMMYFUNCTION("TEXT(VALUE(REGEXEXTRACT(G37,""^[+-]?[0-9]*\.?[0-9]+""))*100,""0.00"")&amp;"" +/- ""&amp;TEXT(VALUE(REGEXEXTRACT(G37,""[0-9]*\.?[0-9]+$""))*100,""0.00"")"),"74.70 +/- 1.10")</f>
        <v>74.70 +/- 1.10</v>
      </c>
      <c r="P37" s="9" t="str">
        <f>IFERROR(__xludf.DUMMYFUNCTION("TEXT(VALUE(REGEXEXTRACT(H37,""^[+-]?[0-9]*\.?[0-9]+""))*100,""0.00"")&amp;"" +/- ""&amp;TEXT(VALUE(REGEXEXTRACT(H37,""[0-9]*\.?[0-9]+$""))*100,""0.00"")"),"75.21 +/- 1.00")</f>
        <v>75.21 +/- 1.00</v>
      </c>
    </row>
    <row r="38">
      <c r="A38" s="6" t="s">
        <v>702</v>
      </c>
      <c r="B38" s="16" t="s">
        <v>2088</v>
      </c>
      <c r="C38" s="16" t="s">
        <v>2089</v>
      </c>
      <c r="D38" s="16" t="s">
        <v>2090</v>
      </c>
      <c r="E38" s="16" t="s">
        <v>2091</v>
      </c>
      <c r="F38" s="16" t="s">
        <v>2092</v>
      </c>
      <c r="G38" s="16" t="s">
        <v>2093</v>
      </c>
      <c r="H38" s="16" t="s">
        <v>2094</v>
      </c>
      <c r="I38" s="8" t="str">
        <f t="shared" si="3"/>
        <v>AR1→AR6</v>
      </c>
      <c r="J38" s="9" t="str">
        <f>IFERROR(__xludf.DUMMYFUNCTION("TEXT(VALUE(REGEXEXTRACT(B38,""^[+-]?[0-9]*\.?[0-9]+""))*100,""0.00"")&amp;"" +/- ""&amp;TEXT(VALUE(REGEXEXTRACT(B38,""[0-9]*\.?[0-9]+$""))*100,""0.00"")"),"58.40 +/- 1.08")</f>
        <v>58.40 +/- 1.08</v>
      </c>
      <c r="K38" s="10" t="str">
        <f>IFERROR(__xludf.DUMMYFUNCTION("TEXT(VALUE(REGEXEXTRACT(C38,""^[+-]?[0-9]*\.?[0-9]+""))*100,""0.00"")&amp;"" +/- ""&amp;TEXT(VALUE(REGEXEXTRACT(C38,""[0-9]*\.?[0-9]+$""))*100,""0.00"")"),"58.84 +/- 0.00")</f>
        <v>58.84 +/- 0.00</v>
      </c>
      <c r="L38" s="9" t="str">
        <f>IFERROR(__xludf.DUMMYFUNCTION("TEXT(VALUE(REGEXEXTRACT(D38,""^[+-]?[0-9]*\.?[0-9]+""))*100,""0.00"")&amp;"" +/- ""&amp;TEXT(VALUE(REGEXEXTRACT(D38,""[0-9]*\.?[0-9]+$""))*100,""0.00"")"),"58.72 +/- 0.00")</f>
        <v>58.72 +/- 0.00</v>
      </c>
      <c r="M38" s="9" t="str">
        <f>IFERROR(__xludf.DUMMYFUNCTION("TEXT(VALUE(REGEXEXTRACT(E38,""^[+-]?[0-9]*\.?[0-9]+""))*100,""0.00"")&amp;"" +/- ""&amp;TEXT(VALUE(REGEXEXTRACT(E38,""[0-9]*\.?[0-9]+$""))*100,""0.00"")"),"57.65 +/- 0.96")</f>
        <v>57.65 +/- 0.96</v>
      </c>
      <c r="N38" s="9" t="str">
        <f>IFERROR(__xludf.DUMMYFUNCTION("TEXT(VALUE(REGEXEXTRACT(F38,""^[+-]?[0-9]*\.?[0-9]+""))*100,""0.00"")&amp;"" +/- ""&amp;TEXT(VALUE(REGEXEXTRACT(F38,""[0-9]*\.?[0-9]+$""))*100,""0.00"")"),"58.05 +/- 1.01")</f>
        <v>58.05 +/- 1.01</v>
      </c>
      <c r="O38" s="10" t="str">
        <f>IFERROR(__xludf.DUMMYFUNCTION("TEXT(VALUE(REGEXEXTRACT(G38,""^[+-]?[0-9]*\.?[0-9]+""))*100,""0.00"")&amp;"" +/- ""&amp;TEXT(VALUE(REGEXEXTRACT(G38,""[0-9]*\.?[0-9]+$""))*100,""0.00"")"),"58.84 +/- 1.22")</f>
        <v>58.84 +/- 1.22</v>
      </c>
      <c r="P38" s="9" t="str">
        <f>IFERROR(__xludf.DUMMYFUNCTION("TEXT(VALUE(REGEXEXTRACT(H38,""^[+-]?[0-9]*\.?[0-9]+""))*100,""0.00"")&amp;"" +/- ""&amp;TEXT(VALUE(REGEXEXTRACT(H38,""[0-9]*\.?[0-9]+$""))*100,""0.00"")"),"58.14 +/- 0.81")</f>
        <v>58.14 +/- 0.81</v>
      </c>
    </row>
    <row r="39">
      <c r="A39" s="6" t="s">
        <v>738</v>
      </c>
      <c r="B39" s="16" t="s">
        <v>2095</v>
      </c>
      <c r="C39" s="16" t="s">
        <v>2096</v>
      </c>
      <c r="D39" s="16" t="s">
        <v>2097</v>
      </c>
      <c r="E39" s="16" t="s">
        <v>2098</v>
      </c>
      <c r="F39" s="16" t="s">
        <v>2099</v>
      </c>
      <c r="G39" s="16" t="s">
        <v>2100</v>
      </c>
      <c r="H39" s="16" t="s">
        <v>2101</v>
      </c>
      <c r="I39" s="8" t="str">
        <f t="shared" si="3"/>
        <v>AR3→AR1</v>
      </c>
      <c r="J39" s="9" t="str">
        <f>IFERROR(__xludf.DUMMYFUNCTION("TEXT(VALUE(REGEXEXTRACT(B39,""^[+-]?[0-9]*\.?[0-9]+""))*100,""0.00"")&amp;"" +/- ""&amp;TEXT(VALUE(REGEXEXTRACT(B39,""[0-9]*\.?[0-9]+$""))*100,""0.00"")"),"60.72 +/- 0.80")</f>
        <v>60.72 +/- 0.80</v>
      </c>
      <c r="K39" s="9" t="str">
        <f>IFERROR(__xludf.DUMMYFUNCTION("TEXT(VALUE(REGEXEXTRACT(C39,""^[+-]?[0-9]*\.?[0-9]+""))*100,""0.00"")&amp;"" +/- ""&amp;TEXT(VALUE(REGEXEXTRACT(C39,""[0-9]*\.?[0-9]+$""))*100,""0.00"")"),"55.61 +/- 0.00")</f>
        <v>55.61 +/- 0.00</v>
      </c>
      <c r="L39" s="9" t="str">
        <f>IFERROR(__xludf.DUMMYFUNCTION("TEXT(VALUE(REGEXEXTRACT(D39,""^[+-]?[0-9]*\.?[0-9]+""))*100,""0.00"")&amp;"" +/- ""&amp;TEXT(VALUE(REGEXEXTRACT(D39,""[0-9]*\.?[0-9]+$""))*100,""0.00"")"),"38.24 +/- 0.00")</f>
        <v>38.24 +/- 0.00</v>
      </c>
      <c r="M39" s="9" t="str">
        <f>IFERROR(__xludf.DUMMYFUNCTION("TEXT(VALUE(REGEXEXTRACT(E39,""^[+-]?[0-9]*\.?[0-9]+""))*100,""0.00"")&amp;"" +/- ""&amp;TEXT(VALUE(REGEXEXTRACT(E39,""[0-9]*\.?[0-9]+$""))*100,""0.00"")"),"61.40 +/- 0.92")</f>
        <v>61.40 +/- 0.92</v>
      </c>
      <c r="N39" s="9" t="str">
        <f>IFERROR(__xludf.DUMMYFUNCTION("TEXT(VALUE(REGEXEXTRACT(F39,""^[+-]?[0-9]*\.?[0-9]+""))*100,""0.00"")&amp;"" +/- ""&amp;TEXT(VALUE(REGEXEXTRACT(F39,""[0-9]*\.?[0-9]+$""))*100,""0.00"")"),"60.35 +/- 0.77")</f>
        <v>60.35 +/- 0.77</v>
      </c>
      <c r="O39" s="9" t="str">
        <f>IFERROR(__xludf.DUMMYFUNCTION("TEXT(VALUE(REGEXEXTRACT(G39,""^[+-]?[0-9]*\.?[0-9]+""))*100,""0.00"")&amp;"" +/- ""&amp;TEXT(VALUE(REGEXEXTRACT(G39,""[0-9]*\.?[0-9]+$""))*100,""0.00"")"),"60.82 +/- 0.94")</f>
        <v>60.82 +/- 0.94</v>
      </c>
      <c r="P39" s="10" t="str">
        <f>IFERROR(__xludf.DUMMYFUNCTION("TEXT(VALUE(REGEXEXTRACT(H39,""^[+-]?[0-9]*\.?[0-9]+""))*100,""0.00"")&amp;"" +/- ""&amp;TEXT(VALUE(REGEXEXTRACT(H39,""[0-9]*\.?[0-9]+$""))*100,""0.00"")"),"64.07 +/- 2.70")</f>
        <v>64.07 +/- 2.70</v>
      </c>
    </row>
    <row r="40">
      <c r="A40" s="6" t="s">
        <v>752</v>
      </c>
      <c r="B40" s="16" t="s">
        <v>2102</v>
      </c>
      <c r="C40" s="16" t="s">
        <v>2103</v>
      </c>
      <c r="D40" s="16" t="s">
        <v>2104</v>
      </c>
      <c r="E40" s="16" t="s">
        <v>2105</v>
      </c>
      <c r="F40" s="16" t="s">
        <v>2106</v>
      </c>
      <c r="G40" s="16" t="s">
        <v>2107</v>
      </c>
      <c r="H40" s="16" t="s">
        <v>2108</v>
      </c>
      <c r="I40" s="8" t="str">
        <f t="shared" si="3"/>
        <v>AR3→AR4</v>
      </c>
      <c r="J40" s="9" t="str">
        <f>IFERROR(__xludf.DUMMYFUNCTION("TEXT(VALUE(REGEXEXTRACT(B40,""^[+-]?[0-9]*\.?[0-9]+""))*100,""0.00"")&amp;"" +/- ""&amp;TEXT(VALUE(REGEXEXTRACT(B40,""[0-9]*\.?[0-9]+$""))*100,""0.00"")"),"66.40 +/- 0.60")</f>
        <v>66.40 +/- 0.60</v>
      </c>
      <c r="K40" s="9" t="str">
        <f>IFERROR(__xludf.DUMMYFUNCTION("TEXT(VALUE(REGEXEXTRACT(C40,""^[+-]?[0-9]*\.?[0-9]+""))*100,""0.00"")&amp;"" +/- ""&amp;TEXT(VALUE(REGEXEXTRACT(C40,""[0-9]*\.?[0-9]+$""))*100,""0.00"")"),"62.73 +/- 0.00")</f>
        <v>62.73 +/- 0.00</v>
      </c>
      <c r="L40" s="9" t="str">
        <f>IFERROR(__xludf.DUMMYFUNCTION("TEXT(VALUE(REGEXEXTRACT(D40,""^[+-]?[0-9]*\.?[0-9]+""))*100,""0.00"")&amp;"" +/- ""&amp;TEXT(VALUE(REGEXEXTRACT(D40,""[0-9]*\.?[0-9]+$""))*100,""0.00"")"),"45.63 +/- 0.00")</f>
        <v>45.63 +/- 0.00</v>
      </c>
      <c r="M40" s="10" t="str">
        <f>IFERROR(__xludf.DUMMYFUNCTION("TEXT(VALUE(REGEXEXTRACT(E40,""^[+-]?[0-9]*\.?[0-9]+""))*100,""0.00"")&amp;"" +/- ""&amp;TEXT(VALUE(REGEXEXTRACT(E40,""[0-9]*\.?[0-9]+$""))*100,""0.00"")"),"66.52 +/- 0.58")</f>
        <v>66.52 +/- 0.58</v>
      </c>
      <c r="N40" s="9" t="str">
        <f>IFERROR(__xludf.DUMMYFUNCTION("TEXT(VALUE(REGEXEXTRACT(F40,""^[+-]?[0-9]*\.?[0-9]+""))*100,""0.00"")&amp;"" +/- ""&amp;TEXT(VALUE(REGEXEXTRACT(F40,""[0-9]*\.?[0-9]+$""))*100,""0.00"")"),"66.30 +/- 0.76")</f>
        <v>66.30 +/- 0.76</v>
      </c>
      <c r="O40" s="9" t="str">
        <f>IFERROR(__xludf.DUMMYFUNCTION("TEXT(VALUE(REGEXEXTRACT(G40,""^[+-]?[0-9]*\.?[0-9]+""))*100,""0.00"")&amp;"" +/- ""&amp;TEXT(VALUE(REGEXEXTRACT(G40,""[0-9]*\.?[0-9]+$""))*100,""0.00"")"),"66.50 +/- 0.62")</f>
        <v>66.50 +/- 0.62</v>
      </c>
      <c r="P40" s="9" t="str">
        <f>IFERROR(__xludf.DUMMYFUNCTION("TEXT(VALUE(REGEXEXTRACT(H40,""^[+-]?[0-9]*\.?[0-9]+""))*100,""0.00"")&amp;"" +/- ""&amp;TEXT(VALUE(REGEXEXTRACT(H40,""[0-9]*\.?[0-9]+$""))*100,""0.00"")"),"64.07 +/- 2.01")</f>
        <v>64.07 +/- 2.01</v>
      </c>
    </row>
    <row r="41">
      <c r="A41" s="6" t="s">
        <v>771</v>
      </c>
      <c r="B41" s="16" t="s">
        <v>2109</v>
      </c>
      <c r="C41" s="16" t="s">
        <v>2110</v>
      </c>
      <c r="D41" s="16" t="s">
        <v>2111</v>
      </c>
      <c r="E41" s="16" t="s">
        <v>2112</v>
      </c>
      <c r="F41" s="16" t="s">
        <v>2113</v>
      </c>
      <c r="G41" s="16" t="s">
        <v>2114</v>
      </c>
      <c r="H41" s="16" t="s">
        <v>2115</v>
      </c>
      <c r="I41" s="8" t="str">
        <f t="shared" si="3"/>
        <v>AR3→AR5</v>
      </c>
      <c r="J41" s="9" t="str">
        <f>IFERROR(__xludf.DUMMYFUNCTION("TEXT(VALUE(REGEXEXTRACT(B41,""^[+-]?[0-9]*\.?[0-9]+""))*100,""0.00"")&amp;"" +/- ""&amp;TEXT(VALUE(REGEXEXTRACT(B41,""[0-9]*\.?[0-9]+$""))*100,""0.00"")"),"92.35 +/- 0.49")</f>
        <v>92.35 +/- 0.49</v>
      </c>
      <c r="K41" s="9" t="str">
        <f>IFERROR(__xludf.DUMMYFUNCTION("TEXT(VALUE(REGEXEXTRACT(C41,""^[+-]?[0-9]*\.?[0-9]+""))*100,""0.00"")&amp;"" +/- ""&amp;TEXT(VALUE(REGEXEXTRACT(C41,""[0-9]*\.?[0-9]+$""))*100,""0.00"")"),"89.29 +/- 0.00")</f>
        <v>89.29 +/- 0.00</v>
      </c>
      <c r="L41" s="9" t="str">
        <f>IFERROR(__xludf.DUMMYFUNCTION("TEXT(VALUE(REGEXEXTRACT(D41,""^[+-]?[0-9]*\.?[0-9]+""))*100,""0.00"")&amp;"" +/- ""&amp;TEXT(VALUE(REGEXEXTRACT(D41,""[0-9]*\.?[0-9]+$""))*100,""0.00"")"),"88.84 +/- 0.00")</f>
        <v>88.84 +/- 0.00</v>
      </c>
      <c r="M41" s="9" t="str">
        <f>IFERROR(__xludf.DUMMYFUNCTION("TEXT(VALUE(REGEXEXTRACT(E41,""^[+-]?[0-9]*\.?[0-9]+""))*100,""0.00"")&amp;"" +/- ""&amp;TEXT(VALUE(REGEXEXTRACT(E41,""[0-9]*\.?[0-9]+$""))*100,""0.00"")"),"92.47 +/- 0.52")</f>
        <v>92.47 +/- 0.52</v>
      </c>
      <c r="N41" s="9" t="str">
        <f>IFERROR(__xludf.DUMMYFUNCTION("TEXT(VALUE(REGEXEXTRACT(F41,""^[+-]?[0-9]*\.?[0-9]+""))*100,""0.00"")&amp;"" +/- ""&amp;TEXT(VALUE(REGEXEXTRACT(F41,""[0-9]*\.?[0-9]+$""))*100,""0.00"")"),"92.26 +/- 0.54")</f>
        <v>92.26 +/- 0.54</v>
      </c>
      <c r="O41" s="10" t="str">
        <f>IFERROR(__xludf.DUMMYFUNCTION("TEXT(VALUE(REGEXEXTRACT(G41,""^[+-]?[0-9]*\.?[0-9]+""))*100,""0.00"")&amp;"" +/- ""&amp;TEXT(VALUE(REGEXEXTRACT(G41,""[0-9]*\.?[0-9]+$""))*100,""0.00"")"),"92.49 +/- 0.33")</f>
        <v>92.49 +/- 0.33</v>
      </c>
      <c r="P41" s="9" t="str">
        <f>IFERROR(__xludf.DUMMYFUNCTION("TEXT(VALUE(REGEXEXTRACT(H41,""^[+-]?[0-9]*\.?[0-9]+""))*100,""0.00"")&amp;"" +/- ""&amp;TEXT(VALUE(REGEXEXTRACT(H41,""[0-9]*\.?[0-9]+$""))*100,""0.00"")"),"85.67 +/- 2.94")</f>
        <v>85.67 +/- 2.94</v>
      </c>
    </row>
    <row r="42">
      <c r="A42" s="6" t="s">
        <v>798</v>
      </c>
      <c r="B42" s="16" t="s">
        <v>2116</v>
      </c>
      <c r="C42" s="16" t="s">
        <v>2117</v>
      </c>
      <c r="D42" s="16" t="s">
        <v>2118</v>
      </c>
      <c r="E42" s="16" t="s">
        <v>2119</v>
      </c>
      <c r="F42" s="16" t="s">
        <v>2120</v>
      </c>
      <c r="G42" s="16" t="s">
        <v>2121</v>
      </c>
      <c r="H42" s="16" t="s">
        <v>2122</v>
      </c>
      <c r="I42" s="8" t="str">
        <f t="shared" si="3"/>
        <v>AR3→AR6</v>
      </c>
      <c r="J42" s="10" t="str">
        <f>IFERROR(__xludf.DUMMYFUNCTION("TEXT(VALUE(REGEXEXTRACT(B42,""^[+-]?[0-9]*\.?[0-9]+""))*100,""0.00"")&amp;"" +/- ""&amp;TEXT(VALUE(REGEXEXTRACT(B42,""[0-9]*\.?[0-9]+$""))*100,""0.00"")"),"76.10 +/- 0.82")</f>
        <v>76.10 +/- 0.82</v>
      </c>
      <c r="K42" s="9" t="str">
        <f>IFERROR(__xludf.DUMMYFUNCTION("TEXT(VALUE(REGEXEXTRACT(C42,""^[+-]?[0-9]*\.?[0-9]+""))*100,""0.00"")&amp;"" +/- ""&amp;TEXT(VALUE(REGEXEXTRACT(C42,""[0-9]*\.?[0-9]+$""))*100,""0.00"")"),"70.93 +/- 0.00")</f>
        <v>70.93 +/- 0.00</v>
      </c>
      <c r="L42" s="9" t="str">
        <f>IFERROR(__xludf.DUMMYFUNCTION("TEXT(VALUE(REGEXEXTRACT(D42,""^[+-]?[0-9]*\.?[0-9]+""))*100,""0.00"")&amp;"" +/- ""&amp;TEXT(VALUE(REGEXEXTRACT(D42,""[0-9]*\.?[0-9]+$""))*100,""0.00"")"),"52.25 +/- 0.00")</f>
        <v>52.25 +/- 0.00</v>
      </c>
      <c r="M42" s="9" t="str">
        <f>IFERROR(__xludf.DUMMYFUNCTION("TEXT(VALUE(REGEXEXTRACT(E42,""^[+-]?[0-9]*\.?[0-9]+""))*100,""0.00"")&amp;"" +/- ""&amp;TEXT(VALUE(REGEXEXTRACT(E42,""[0-9]*\.?[0-9]+$""))*100,""0.00"")"),"73.74 +/- 0.94")</f>
        <v>73.74 +/- 0.94</v>
      </c>
      <c r="N42" s="9" t="str">
        <f>IFERROR(__xludf.DUMMYFUNCTION("TEXT(VALUE(REGEXEXTRACT(F42,""^[+-]?[0-9]*\.?[0-9]+""))*100,""0.00"")&amp;"" +/- ""&amp;TEXT(VALUE(REGEXEXTRACT(F42,""[0-9]*\.?[0-9]+$""))*100,""0.00"")"),"75.57 +/- 1.00")</f>
        <v>75.57 +/- 1.00</v>
      </c>
      <c r="O42" s="9" t="str">
        <f>IFERROR(__xludf.DUMMYFUNCTION("TEXT(VALUE(REGEXEXTRACT(G42,""^[+-]?[0-9]*\.?[0-9]+""))*100,""0.00"")&amp;"" +/- ""&amp;TEXT(VALUE(REGEXEXTRACT(G42,""[0-9]*\.?[0-9]+$""))*100,""0.00"")"),"75.80 +/- 1.10")</f>
        <v>75.80 +/- 1.10</v>
      </c>
      <c r="P42" s="9" t="str">
        <f>IFERROR(__xludf.DUMMYFUNCTION("TEXT(VALUE(REGEXEXTRACT(H42,""^[+-]?[0-9]*\.?[0-9]+""))*100,""0.00"")&amp;"" +/- ""&amp;TEXT(VALUE(REGEXEXTRACT(H42,""[0-9]*\.?[0-9]+$""))*100,""0.00"")"),"66.96 +/- 1.85")</f>
        <v>66.96 +/- 1.85</v>
      </c>
    </row>
    <row r="43">
      <c r="A43" s="6" t="s">
        <v>806</v>
      </c>
      <c r="B43" s="16" t="s">
        <v>2123</v>
      </c>
      <c r="C43" s="16" t="s">
        <v>2124</v>
      </c>
      <c r="D43" s="16" t="s">
        <v>2125</v>
      </c>
      <c r="E43" s="16" t="s">
        <v>2126</v>
      </c>
      <c r="F43" s="16" t="s">
        <v>2127</v>
      </c>
      <c r="G43" s="16" t="s">
        <v>2128</v>
      </c>
      <c r="H43" s="16" t="s">
        <v>2129</v>
      </c>
      <c r="I43" s="8" t="str">
        <f t="shared" si="3"/>
        <v>AR4→AR1</v>
      </c>
      <c r="J43" s="10" t="str">
        <f>IFERROR(__xludf.DUMMYFUNCTION("TEXT(VALUE(REGEXEXTRACT(B43,""^[+-]?[0-9]*\.?[0-9]+""))*100,""0.00"")&amp;"" +/- ""&amp;TEXT(VALUE(REGEXEXTRACT(B43,""[0-9]*\.?[0-9]+$""))*100,""0.00"")"),"80.32 +/- 0.67")</f>
        <v>80.32 +/- 0.67</v>
      </c>
      <c r="K43" s="9" t="str">
        <f>IFERROR(__xludf.DUMMYFUNCTION("TEXT(VALUE(REGEXEXTRACT(C43,""^[+-]?[0-9]*\.?[0-9]+""))*100,""0.00"")&amp;"" +/- ""&amp;TEXT(VALUE(REGEXEXTRACT(C43,""[0-9]*\.?[0-9]+$""))*100,""0.00"")"),"78.12 +/- 0.00")</f>
        <v>78.12 +/- 0.00</v>
      </c>
      <c r="L43" s="9" t="str">
        <f>IFERROR(__xludf.DUMMYFUNCTION("TEXT(VALUE(REGEXEXTRACT(D43,""^[+-]?[0-9]*\.?[0-9]+""))*100,""0.00"")&amp;"" +/- ""&amp;TEXT(VALUE(REGEXEXTRACT(D43,""[0-9]*\.?[0-9]+$""))*100,""0.00"")"),"67.71 +/- 0.00")</f>
        <v>67.71 +/- 0.00</v>
      </c>
      <c r="M43" s="9" t="str">
        <f>IFERROR(__xludf.DUMMYFUNCTION("TEXT(VALUE(REGEXEXTRACT(E43,""^[+-]?[0-9]*\.?[0-9]+""))*100,""0.00"")&amp;"" +/- ""&amp;TEXT(VALUE(REGEXEXTRACT(E43,""[0-9]*\.?[0-9]+$""))*100,""0.00"")"),"78.89 +/- 1.02")</f>
        <v>78.89 +/- 1.02</v>
      </c>
      <c r="N43" s="9" t="str">
        <f>IFERROR(__xludf.DUMMYFUNCTION("TEXT(VALUE(REGEXEXTRACT(F43,""^[+-]?[0-9]*\.?[0-9]+""))*100,""0.00"")&amp;"" +/- ""&amp;TEXT(VALUE(REGEXEXTRACT(F43,""[0-9]*\.?[0-9]+$""))*100,""0.00"")"),"76.34 +/- 0.97")</f>
        <v>76.34 +/- 0.97</v>
      </c>
      <c r="O43" s="9" t="str">
        <f>IFERROR(__xludf.DUMMYFUNCTION("TEXT(VALUE(REGEXEXTRACT(G43,""^[+-]?[0-9]*\.?[0-9]+""))*100,""0.00"")&amp;"" +/- ""&amp;TEXT(VALUE(REGEXEXTRACT(G43,""[0-9]*\.?[0-9]+$""))*100,""0.00"")"),"79.57 +/- 0.69")</f>
        <v>79.57 +/- 0.69</v>
      </c>
      <c r="P43" s="9" t="str">
        <f>IFERROR(__xludf.DUMMYFUNCTION("TEXT(VALUE(REGEXEXTRACT(H43,""^[+-]?[0-9]*\.?[0-9]+""))*100,""0.00"")&amp;"" +/- ""&amp;TEXT(VALUE(REGEXEXTRACT(H43,""[0-9]*\.?[0-9]+$""))*100,""0.00"")"),"75.27 +/- 1.44")</f>
        <v>75.27 +/- 1.44</v>
      </c>
    </row>
    <row r="44">
      <c r="A44" s="6" t="s">
        <v>819</v>
      </c>
      <c r="B44" s="16" t="s">
        <v>2130</v>
      </c>
      <c r="C44" s="16" t="s">
        <v>2131</v>
      </c>
      <c r="D44" s="16" t="s">
        <v>2132</v>
      </c>
      <c r="E44" s="16" t="s">
        <v>2133</v>
      </c>
      <c r="F44" s="16" t="s">
        <v>2134</v>
      </c>
      <c r="G44" s="16" t="s">
        <v>2135</v>
      </c>
      <c r="H44" s="16" t="s">
        <v>2136</v>
      </c>
      <c r="I44" s="8" t="str">
        <f t="shared" si="3"/>
        <v>AR4→AR3</v>
      </c>
      <c r="J44" s="10" t="str">
        <f>IFERROR(__xludf.DUMMYFUNCTION("TEXT(VALUE(REGEXEXTRACT(B44,""^[+-]?[0-9]*\.?[0-9]+""))*100,""0.00"")&amp;"" +/- ""&amp;TEXT(VALUE(REGEXEXTRACT(B44,""[0-9]*\.?[0-9]+$""))*100,""0.00"")"),"78.72 +/- 0.83")</f>
        <v>78.72 +/- 0.83</v>
      </c>
      <c r="K44" s="9" t="str">
        <f>IFERROR(__xludf.DUMMYFUNCTION("TEXT(VALUE(REGEXEXTRACT(C44,""^[+-]?[0-9]*\.?[0-9]+""))*100,""0.00"")&amp;"" +/- ""&amp;TEXT(VALUE(REGEXEXTRACT(C44,""[0-9]*\.?[0-9]+$""))*100,""0.00"")"),"66.59 +/- 0.00")</f>
        <v>66.59 +/- 0.00</v>
      </c>
      <c r="L44" s="9" t="str">
        <f>IFERROR(__xludf.DUMMYFUNCTION("TEXT(VALUE(REGEXEXTRACT(D44,""^[+-]?[0-9]*\.?[0-9]+""))*100,""0.00"")&amp;"" +/- ""&amp;TEXT(VALUE(REGEXEXTRACT(D44,""[0-9]*\.?[0-9]+$""))*100,""0.00"")"),"67.95 +/- 0.00")</f>
        <v>67.95 +/- 0.00</v>
      </c>
      <c r="M44" s="9" t="str">
        <f>IFERROR(__xludf.DUMMYFUNCTION("TEXT(VALUE(REGEXEXTRACT(E44,""^[+-]?[0-9]*\.?[0-9]+""))*100,""0.00"")&amp;"" +/- ""&amp;TEXT(VALUE(REGEXEXTRACT(E44,""[0-9]*\.?[0-9]+$""))*100,""0.00"")"),"70.84 +/- 1.87")</f>
        <v>70.84 +/- 1.87</v>
      </c>
      <c r="N44" s="9" t="str">
        <f>IFERROR(__xludf.DUMMYFUNCTION("TEXT(VALUE(REGEXEXTRACT(F44,""^[+-]?[0-9]*\.?[0-9]+""))*100,""0.00"")&amp;"" +/- ""&amp;TEXT(VALUE(REGEXEXTRACT(F44,""[0-9]*\.?[0-9]+$""))*100,""0.00"")"),"63.13 +/- 1.11")</f>
        <v>63.13 +/- 1.11</v>
      </c>
      <c r="O44" s="9" t="str">
        <f>IFERROR(__xludf.DUMMYFUNCTION("TEXT(VALUE(REGEXEXTRACT(G44,""^[+-]?[0-9]*\.?[0-9]+""))*100,""0.00"")&amp;"" +/- ""&amp;TEXT(VALUE(REGEXEXTRACT(G44,""[0-9]*\.?[0-9]+$""))*100,""0.00"")"),"69.65 +/- 2.05")</f>
        <v>69.65 +/- 2.05</v>
      </c>
      <c r="P44" s="9" t="str">
        <f>IFERROR(__xludf.DUMMYFUNCTION("TEXT(VALUE(REGEXEXTRACT(H44,""^[+-]?[0-9]*\.?[0-9]+""))*100,""0.00"")&amp;"" +/- ""&amp;TEXT(VALUE(REGEXEXTRACT(H44,""[0-9]*\.?[0-9]+$""))*100,""0.00"")"),"58.81 +/- 1.53")</f>
        <v>58.81 +/- 1.53</v>
      </c>
    </row>
    <row r="45">
      <c r="A45" s="6" t="s">
        <v>833</v>
      </c>
      <c r="B45" s="16" t="s">
        <v>2137</v>
      </c>
      <c r="C45" s="16" t="s">
        <v>2138</v>
      </c>
      <c r="D45" s="16" t="s">
        <v>2139</v>
      </c>
      <c r="E45" s="16" t="s">
        <v>2140</v>
      </c>
      <c r="F45" s="16" t="s">
        <v>2141</v>
      </c>
      <c r="G45" s="16" t="s">
        <v>2142</v>
      </c>
      <c r="H45" s="16" t="s">
        <v>2143</v>
      </c>
      <c r="I45" s="8" t="str">
        <f t="shared" si="3"/>
        <v>AR4→AR5</v>
      </c>
      <c r="J45" s="9" t="str">
        <f>IFERROR(__xludf.DUMMYFUNCTION("TEXT(VALUE(REGEXEXTRACT(B45,""^[+-]?[0-9]*\.?[0-9]+""))*100,""0.00"")&amp;"" +/- ""&amp;TEXT(VALUE(REGEXEXTRACT(B45,""[0-9]*\.?[0-9]+$""))*100,""0.00"")"),"88.54 +/- 0.93")</f>
        <v>88.54 +/- 0.93</v>
      </c>
      <c r="K45" s="9" t="str">
        <f>IFERROR(__xludf.DUMMYFUNCTION("TEXT(VALUE(REGEXEXTRACT(C45,""^[+-]?[0-9]*\.?[0-9]+""))*100,""0.00"")&amp;"" +/- ""&amp;TEXT(VALUE(REGEXEXTRACT(C45,""[0-9]*\.?[0-9]+$""))*100,""0.00"")"),"88.39 +/- 0.00")</f>
        <v>88.39 +/- 0.00</v>
      </c>
      <c r="L45" s="10" t="str">
        <f>IFERROR(__xludf.DUMMYFUNCTION("TEXT(VALUE(REGEXEXTRACT(D45,""^[+-]?[0-9]*\.?[0-9]+""))*100,""0.00"")&amp;"" +/- ""&amp;TEXT(VALUE(REGEXEXTRACT(D45,""[0-9]*\.?[0-9]+$""))*100,""0.00"")"),"92.86 +/- 0.00")</f>
        <v>92.86 +/- 0.00</v>
      </c>
      <c r="M45" s="9" t="str">
        <f>IFERROR(__xludf.DUMMYFUNCTION("TEXT(VALUE(REGEXEXTRACT(E45,""^[+-]?[0-9]*\.?[0-9]+""))*100,""0.00"")&amp;"" +/- ""&amp;TEXT(VALUE(REGEXEXTRACT(E45,""[0-9]*\.?[0-9]+$""))*100,""0.00"")"),"87.77 +/- 1.81")</f>
        <v>87.77 +/- 1.81</v>
      </c>
      <c r="N45" s="9" t="str">
        <f>IFERROR(__xludf.DUMMYFUNCTION("TEXT(VALUE(REGEXEXTRACT(F45,""^[+-]?[0-9]*\.?[0-9]+""))*100,""0.00"")&amp;"" +/- ""&amp;TEXT(VALUE(REGEXEXTRACT(F45,""[0-9]*\.?[0-9]+$""))*100,""0.00"")"),"85.25 +/- 1.39")</f>
        <v>85.25 +/- 1.39</v>
      </c>
      <c r="O45" s="9" t="str">
        <f>IFERROR(__xludf.DUMMYFUNCTION("TEXT(VALUE(REGEXEXTRACT(G45,""^[+-]?[0-9]*\.?[0-9]+""))*100,""0.00"")&amp;"" +/- ""&amp;TEXT(VALUE(REGEXEXTRACT(G45,""[0-9]*\.?[0-9]+$""))*100,""0.00"")"),"87.56 +/- 1.47")</f>
        <v>87.56 +/- 1.47</v>
      </c>
      <c r="P45" s="9" t="str">
        <f>IFERROR(__xludf.DUMMYFUNCTION("TEXT(VALUE(REGEXEXTRACT(H45,""^[+-]?[0-9]*\.?[0-9]+""))*100,""0.00"")&amp;"" +/- ""&amp;TEXT(VALUE(REGEXEXTRACT(H45,""[0-9]*\.?[0-9]+$""))*100,""0.00"")"),"84.78 +/- 0.90")</f>
        <v>84.78 +/- 0.90</v>
      </c>
    </row>
    <row r="46">
      <c r="A46" s="6" t="s">
        <v>849</v>
      </c>
      <c r="B46" s="16" t="s">
        <v>2172</v>
      </c>
      <c r="C46" s="16" t="s">
        <v>2173</v>
      </c>
      <c r="D46" s="16" t="s">
        <v>2174</v>
      </c>
      <c r="E46" s="16" t="s">
        <v>2175</v>
      </c>
      <c r="F46" s="16" t="s">
        <v>2176</v>
      </c>
      <c r="G46" s="16" t="s">
        <v>2177</v>
      </c>
      <c r="H46" s="16" t="s">
        <v>2179</v>
      </c>
      <c r="I46" s="8" t="str">
        <f t="shared" si="3"/>
        <v>AR4→AR6</v>
      </c>
      <c r="J46" s="9" t="str">
        <f>IFERROR(__xludf.DUMMYFUNCTION("TEXT(VALUE(REGEXEXTRACT(B46,""^[+-]?[0-9]*\.?[0-9]+""))*100,""0.00"")&amp;"" +/- ""&amp;TEXT(VALUE(REGEXEXTRACT(B46,""[0-9]*\.?[0-9]+$""))*100,""0.00"")"),"57.60 +/- 1.25")</f>
        <v>57.60 +/- 1.25</v>
      </c>
      <c r="K46" s="10" t="str">
        <f>IFERROR(__xludf.DUMMYFUNCTION("TEXT(VALUE(REGEXEXTRACT(C46,""^[+-]?[0-9]*\.?[0-9]+""))*100,""0.00"")&amp;"" +/- ""&amp;TEXT(VALUE(REGEXEXTRACT(C46,""[0-9]*\.?[0-9]+$""))*100,""0.00"")"),"58.06 +/- 0.00")</f>
        <v>58.06 +/- 0.00</v>
      </c>
      <c r="L46" s="9" t="str">
        <f>IFERROR(__xludf.DUMMYFUNCTION("TEXT(VALUE(REGEXEXTRACT(D46,""^[+-]?[0-9]*\.?[0-9]+""))*100,""0.00"")&amp;"" +/- ""&amp;TEXT(VALUE(REGEXEXTRACT(D46,""[0-9]*\.?[0-9]+$""))*100,""0.00"")"),"40.70 +/- 0.00")</f>
        <v>40.70 +/- 0.00</v>
      </c>
      <c r="M46" s="9" t="str">
        <f>IFERROR(__xludf.DUMMYFUNCTION("TEXT(VALUE(REGEXEXTRACT(E46,""^[+-]?[0-9]*\.?[0-9]+""))*100,""0.00"")&amp;"" +/- ""&amp;TEXT(VALUE(REGEXEXTRACT(E46,""[0-9]*\.?[0-9]+$""))*100,""0.00"")"),"54.91 +/- 1.22")</f>
        <v>54.91 +/- 1.22</v>
      </c>
      <c r="N46" s="9" t="str">
        <f>IFERROR(__xludf.DUMMYFUNCTION("TEXT(VALUE(REGEXEXTRACT(F46,""^[+-]?[0-9]*\.?[0-9]+""))*100,""0.00"")&amp;"" +/- ""&amp;TEXT(VALUE(REGEXEXTRACT(F46,""[0-9]*\.?[0-9]+$""))*100,""0.00"")"),"54.70 +/- 1.02")</f>
        <v>54.70 +/- 1.02</v>
      </c>
      <c r="O46" s="9" t="str">
        <f>IFERROR(__xludf.DUMMYFUNCTION("TEXT(VALUE(REGEXEXTRACT(G46,""^[+-]?[0-9]*\.?[0-9]+""))*100,""0.00"")&amp;"" +/- ""&amp;TEXT(VALUE(REGEXEXTRACT(G46,""[0-9]*\.?[0-9]+$""))*100,""0.00"")"),"55.68 +/- 1.22")</f>
        <v>55.68 +/- 1.22</v>
      </c>
      <c r="P46" s="9" t="str">
        <f>IFERROR(__xludf.DUMMYFUNCTION("TEXT(VALUE(REGEXEXTRACT(H46,""^[+-]?[0-9]*\.?[0-9]+""))*100,""0.00"")&amp;"" +/- ""&amp;TEXT(VALUE(REGEXEXTRACT(H46,""[0-9]*\.?[0-9]+$""))*100,""0.00"")"),"52.28 +/- 2.17")</f>
        <v>52.28 +/- 2.17</v>
      </c>
    </row>
    <row r="47">
      <c r="A47" s="6" t="s">
        <v>864</v>
      </c>
      <c r="B47" s="16" t="s">
        <v>2186</v>
      </c>
      <c r="C47" s="16" t="s">
        <v>2188</v>
      </c>
      <c r="D47" s="16" t="s">
        <v>2190</v>
      </c>
      <c r="E47" s="16" t="s">
        <v>2192</v>
      </c>
      <c r="F47" s="16" t="s">
        <v>2194</v>
      </c>
      <c r="G47" s="16" t="s">
        <v>2196</v>
      </c>
      <c r="H47" s="16" t="s">
        <v>2198</v>
      </c>
      <c r="I47" s="8" t="str">
        <f t="shared" si="3"/>
        <v>AR5→AR1</v>
      </c>
      <c r="J47" s="9" t="str">
        <f>IFERROR(__xludf.DUMMYFUNCTION("TEXT(VALUE(REGEXEXTRACT(B47,""^[+-]?[0-9]*\.?[0-9]+""))*100,""0.00"")&amp;"" +/- ""&amp;TEXT(VALUE(REGEXEXTRACT(B47,""[0-9]*\.?[0-9]+$""))*100,""0.00"")"),"69.62 +/- 0.55")</f>
        <v>69.62 +/- 0.55</v>
      </c>
      <c r="K47" s="10" t="str">
        <f>IFERROR(__xludf.DUMMYFUNCTION("TEXT(VALUE(REGEXEXTRACT(C47,""^[+-]?[0-9]*\.?[0-9]+""))*100,""0.00"")&amp;"" +/- ""&amp;TEXT(VALUE(REGEXEXTRACT(C47,""[0-9]*\.?[0-9]+$""))*100,""0.00"")"),"70.49 +/- 0.00")</f>
        <v>70.49 +/- 0.00</v>
      </c>
      <c r="L47" s="9" t="str">
        <f>IFERROR(__xludf.DUMMYFUNCTION("TEXT(VALUE(REGEXEXTRACT(D47,""^[+-]?[0-9]*\.?[0-9]+""))*100,""0.00"")&amp;"" +/- ""&amp;TEXT(VALUE(REGEXEXTRACT(D47,""[0-9]*\.?[0-9]+$""))*100,""0.00"")"),"67.86 +/- 0.00")</f>
        <v>67.86 +/- 0.00</v>
      </c>
      <c r="M47" s="9" t="str">
        <f>IFERROR(__xludf.DUMMYFUNCTION("TEXT(VALUE(REGEXEXTRACT(E47,""^[+-]?[0-9]*\.?[0-9]+""))*100,""0.00"")&amp;"" +/- ""&amp;TEXT(VALUE(REGEXEXTRACT(E47,""[0-9]*\.?[0-9]+$""))*100,""0.00"")"),"69.90 +/- 0.96")</f>
        <v>69.90 +/- 0.96</v>
      </c>
      <c r="N47" s="9" t="str">
        <f>IFERROR(__xludf.DUMMYFUNCTION("TEXT(VALUE(REGEXEXTRACT(F47,""^[+-]?[0-9]*\.?[0-9]+""))*100,""0.00"")&amp;"" +/- ""&amp;TEXT(VALUE(REGEXEXTRACT(F47,""[0-9]*\.?[0-9]+$""))*100,""0.00"")"),"70.13 +/- 0.69")</f>
        <v>70.13 +/- 0.69</v>
      </c>
      <c r="O47" s="9" t="str">
        <f>IFERROR(__xludf.DUMMYFUNCTION("TEXT(VALUE(REGEXEXTRACT(G47,""^[+-]?[0-9]*\.?[0-9]+""))*100,""0.00"")&amp;"" +/- ""&amp;TEXT(VALUE(REGEXEXTRACT(G47,""[0-9]*\.?[0-9]+$""))*100,""0.00"")"),"69.57 +/- 0.71")</f>
        <v>69.57 +/- 0.71</v>
      </c>
      <c r="P47" s="9" t="str">
        <f>IFERROR(__xludf.DUMMYFUNCTION("TEXT(VALUE(REGEXEXTRACT(H47,""^[+-]?[0-9]*\.?[0-9]+""))*100,""0.00"")&amp;"" +/- ""&amp;TEXT(VALUE(REGEXEXTRACT(H47,""[0-9]*\.?[0-9]+$""))*100,""0.00"")"),"69.48 +/- 1.26")</f>
        <v>69.48 +/- 1.26</v>
      </c>
    </row>
    <row r="48">
      <c r="A48" s="6" t="s">
        <v>878</v>
      </c>
      <c r="B48" s="16" t="s">
        <v>2200</v>
      </c>
      <c r="C48" s="16" t="s">
        <v>2201</v>
      </c>
      <c r="D48" s="16" t="s">
        <v>2202</v>
      </c>
      <c r="E48" s="16" t="s">
        <v>2203</v>
      </c>
      <c r="F48" s="16" t="s">
        <v>2204</v>
      </c>
      <c r="G48" s="16" t="s">
        <v>2205</v>
      </c>
      <c r="H48" s="16" t="s">
        <v>2206</v>
      </c>
      <c r="I48" s="8" t="str">
        <f t="shared" si="3"/>
        <v>AR5→AR3</v>
      </c>
      <c r="J48" s="10" t="str">
        <f>IFERROR(__xludf.DUMMYFUNCTION("TEXT(VALUE(REGEXEXTRACT(B48,""^[+-]?[0-9]*\.?[0-9]+""))*100,""0.00"")&amp;"" +/- ""&amp;TEXT(VALUE(REGEXEXTRACT(B48,""[0-9]*\.?[0-9]+$""))*100,""0.00"")"),"85.14 +/- 0.24")</f>
        <v>85.14 +/- 0.24</v>
      </c>
      <c r="K48" s="9" t="str">
        <f>IFERROR(__xludf.DUMMYFUNCTION("TEXT(VALUE(REGEXEXTRACT(C48,""^[+-]?[0-9]*\.?[0-9]+""))*100,""0.00"")&amp;"" +/- ""&amp;TEXT(VALUE(REGEXEXTRACT(C48,""[0-9]*\.?[0-9]+$""))*100,""0.00"")"),"84.77 +/- 0.00")</f>
        <v>84.77 +/- 0.00</v>
      </c>
      <c r="L48" s="9" t="str">
        <f>IFERROR(__xludf.DUMMYFUNCTION("TEXT(VALUE(REGEXEXTRACT(D48,""^[+-]?[0-9]*\.?[0-9]+""))*100,""0.00"")&amp;"" +/- ""&amp;TEXT(VALUE(REGEXEXTRACT(D48,""[0-9]*\.?[0-9]+$""))*100,""0.00"")"),"69.77 +/- 0.00")</f>
        <v>69.77 +/- 0.00</v>
      </c>
      <c r="M48" s="9" t="str">
        <f>IFERROR(__xludf.DUMMYFUNCTION("TEXT(VALUE(REGEXEXTRACT(E48,""^[+-]?[0-9]*\.?[0-9]+""))*100,""0.00"")&amp;"" +/- ""&amp;TEXT(VALUE(REGEXEXTRACT(E48,""[0-9]*\.?[0-9]+$""))*100,""0.00"")"),"85.05 +/- 0.22")</f>
        <v>85.05 +/- 0.22</v>
      </c>
      <c r="N48" s="9" t="str">
        <f>IFERROR(__xludf.DUMMYFUNCTION("TEXT(VALUE(REGEXEXTRACT(F48,""^[+-]?[0-9]*\.?[0-9]+""))*100,""0.00"")&amp;"" +/- ""&amp;TEXT(VALUE(REGEXEXTRACT(F48,""[0-9]*\.?[0-9]+$""))*100,""0.00"")"),"85.06 +/- 0.21")</f>
        <v>85.06 +/- 0.21</v>
      </c>
      <c r="O48" s="9" t="str">
        <f>IFERROR(__xludf.DUMMYFUNCTION("TEXT(VALUE(REGEXEXTRACT(G48,""^[+-]?[0-9]*\.?[0-9]+""))*100,""0.00"")&amp;"" +/- ""&amp;TEXT(VALUE(REGEXEXTRACT(G48,""[0-9]*\.?[0-9]+$""))*100,""0.00"")"),"85.08 +/- 0.23")</f>
        <v>85.08 +/- 0.23</v>
      </c>
      <c r="P48" s="9" t="str">
        <f>IFERROR(__xludf.DUMMYFUNCTION("TEXT(VALUE(REGEXEXTRACT(H48,""^[+-]?[0-9]*\.?[0-9]+""))*100,""0.00"")&amp;"" +/- ""&amp;TEXT(VALUE(REGEXEXTRACT(H48,""[0-9]*\.?[0-9]+$""))*100,""0.00"")"),"77.12 +/- 4.74")</f>
        <v>77.12 +/- 4.74</v>
      </c>
    </row>
    <row r="49">
      <c r="A49" s="6" t="s">
        <v>892</v>
      </c>
      <c r="B49" s="16" t="s">
        <v>2207</v>
      </c>
      <c r="C49" s="16" t="s">
        <v>2208</v>
      </c>
      <c r="D49" s="16" t="s">
        <v>2209</v>
      </c>
      <c r="E49" s="16" t="s">
        <v>2210</v>
      </c>
      <c r="F49" s="16" t="s">
        <v>2211</v>
      </c>
      <c r="G49" s="16" t="s">
        <v>2212</v>
      </c>
      <c r="H49" s="16" t="s">
        <v>2213</v>
      </c>
      <c r="I49" s="8" t="str">
        <f t="shared" si="3"/>
        <v>AR5→AR4</v>
      </c>
      <c r="J49" s="10" t="str">
        <f>IFERROR(__xludf.DUMMYFUNCTION("TEXT(VALUE(REGEXEXTRACT(B49,""^[+-]?[0-9]*\.?[0-9]+""))*100,""0.00"")&amp;"" +/- ""&amp;TEXT(VALUE(REGEXEXTRACT(B49,""[0-9]*\.?[0-9]+$""))*100,""0.00"")"),"81.59 +/- 0.72")</f>
        <v>81.59 +/- 0.72</v>
      </c>
      <c r="K49" s="9" t="str">
        <f>IFERROR(__xludf.DUMMYFUNCTION("TEXT(VALUE(REGEXEXTRACT(C49,""^[+-]?[0-9]*\.?[0-9]+""))*100,""0.00"")&amp;"" +/- ""&amp;TEXT(VALUE(REGEXEXTRACT(C49,""[0-9]*\.?[0-9]+$""))*100,""0.00"")"),"79.02 +/- 0.00")</f>
        <v>79.02 +/- 0.00</v>
      </c>
      <c r="L49" s="9" t="str">
        <f>IFERROR(__xludf.DUMMYFUNCTION("TEXT(VALUE(REGEXEXTRACT(D49,""^[+-]?[0-9]*\.?[0-9]+""))*100,""0.00"")&amp;"" +/- ""&amp;TEXT(VALUE(REGEXEXTRACT(D49,""[0-9]*\.?[0-9]+$""))*100,""0.00"")"),"72.18 +/- 0.00")</f>
        <v>72.18 +/- 0.00</v>
      </c>
      <c r="M49" s="9" t="str">
        <f>IFERROR(__xludf.DUMMYFUNCTION("TEXT(VALUE(REGEXEXTRACT(E49,""^[+-]?[0-9]*\.?[0-9]+""))*100,""0.00"")&amp;"" +/- ""&amp;TEXT(VALUE(REGEXEXTRACT(E49,""[0-9]*\.?[0-9]+$""))*100,""0.00"")"),"80.93 +/- 0.89")</f>
        <v>80.93 +/- 0.89</v>
      </c>
      <c r="N49" s="9" t="str">
        <f>IFERROR(__xludf.DUMMYFUNCTION("TEXT(VALUE(REGEXEXTRACT(F49,""^[+-]?[0-9]*\.?[0-9]+""))*100,""0.00"")&amp;"" +/- ""&amp;TEXT(VALUE(REGEXEXTRACT(F49,""[0-9]*\.?[0-9]+$""))*100,""0.00"")"),"80.84 +/- 0.60")</f>
        <v>80.84 +/- 0.60</v>
      </c>
      <c r="O49" s="9" t="str">
        <f>IFERROR(__xludf.DUMMYFUNCTION("TEXT(VALUE(REGEXEXTRACT(G49,""^[+-]?[0-9]*\.?[0-9]+""))*100,""0.00"")&amp;"" +/- ""&amp;TEXT(VALUE(REGEXEXTRACT(G49,""[0-9]*\.?[0-9]+$""))*100,""0.00"")"),"81.37 +/- 0.52")</f>
        <v>81.37 +/- 0.52</v>
      </c>
      <c r="P49" s="9" t="str">
        <f>IFERROR(__xludf.DUMMYFUNCTION("TEXT(VALUE(REGEXEXTRACT(H49,""^[+-]?[0-9]*\.?[0-9]+""))*100,""0.00"")&amp;"" +/- ""&amp;TEXT(VALUE(REGEXEXTRACT(H49,""[0-9]*\.?[0-9]+$""))*100,""0.00"")"),"77.48 +/- 1.60")</f>
        <v>77.48 +/- 1.60</v>
      </c>
    </row>
    <row r="50">
      <c r="A50" s="6" t="s">
        <v>907</v>
      </c>
      <c r="B50" s="16" t="s">
        <v>2214</v>
      </c>
      <c r="C50" s="16" t="s">
        <v>2215</v>
      </c>
      <c r="D50" s="16" t="s">
        <v>2216</v>
      </c>
      <c r="E50" s="16" t="s">
        <v>2217</v>
      </c>
      <c r="F50" s="16" t="s">
        <v>2218</v>
      </c>
      <c r="G50" s="16" t="s">
        <v>2219</v>
      </c>
      <c r="H50" s="16" t="s">
        <v>2220</v>
      </c>
      <c r="I50" s="8" t="str">
        <f t="shared" si="3"/>
        <v>AR5→AR6</v>
      </c>
      <c r="J50" s="9" t="str">
        <f>IFERROR(__xludf.DUMMYFUNCTION("TEXT(VALUE(REGEXEXTRACT(B50,""^[+-]?[0-9]*\.?[0-9]+""))*100,""0.00"")&amp;"" +/- ""&amp;TEXT(VALUE(REGEXEXTRACT(B50,""[0-9]*\.?[0-9]+$""))*100,""0.00"")"),"74.09 +/- 0.53")</f>
        <v>74.09 +/- 0.53</v>
      </c>
      <c r="K50" s="9" t="str">
        <f>IFERROR(__xludf.DUMMYFUNCTION("TEXT(VALUE(REGEXEXTRACT(C50,""^[+-]?[0-9]*\.?[0-9]+""))*100,""0.00"")&amp;"" +/- ""&amp;TEXT(VALUE(REGEXEXTRACT(C50,""[0-9]*\.?[0-9]+$""))*100,""0.00"")"),"73.18 +/- 0.00")</f>
        <v>73.18 +/- 0.00</v>
      </c>
      <c r="L50" s="9" t="str">
        <f>IFERROR(__xludf.DUMMYFUNCTION("TEXT(VALUE(REGEXEXTRACT(D50,""^[+-]?[0-9]*\.?[0-9]+""))*100,""0.00"")&amp;"" +/- ""&amp;TEXT(VALUE(REGEXEXTRACT(D50,""[0-9]*\.?[0-9]+$""))*100,""0.00"")"),"48.99 +/- 0.00")</f>
        <v>48.99 +/- 0.00</v>
      </c>
      <c r="M50" s="9" t="str">
        <f>IFERROR(__xludf.DUMMYFUNCTION("TEXT(VALUE(REGEXEXTRACT(E50,""^[+-]?[0-9]*\.?[0-9]+""))*100,""0.00"")&amp;"" +/- ""&amp;TEXT(VALUE(REGEXEXTRACT(E50,""[0-9]*\.?[0-9]+$""))*100,""0.00"")"),"74.40 +/- 0.67")</f>
        <v>74.40 +/- 0.67</v>
      </c>
      <c r="N50" s="9" t="str">
        <f>IFERROR(__xludf.DUMMYFUNCTION("TEXT(VALUE(REGEXEXTRACT(F50,""^[+-]?[0-9]*\.?[0-9]+""))*100,""0.00"")&amp;"" +/- ""&amp;TEXT(VALUE(REGEXEXTRACT(F50,""[0-9]*\.?[0-9]+$""))*100,""0.00"")"),"74.38 +/- 0.48")</f>
        <v>74.38 +/- 0.48</v>
      </c>
      <c r="O50" s="9" t="str">
        <f>IFERROR(__xludf.DUMMYFUNCTION("TEXT(VALUE(REGEXEXTRACT(G50,""^[+-]?[0-9]*\.?[0-9]+""))*100,""0.00"")&amp;"" +/- ""&amp;TEXT(VALUE(REGEXEXTRACT(G50,""[0-9]*\.?[0-9]+$""))*100,""0.00"")"),"74.21 +/- 0.51")</f>
        <v>74.21 +/- 0.51</v>
      </c>
      <c r="P50" s="10" t="str">
        <f>IFERROR(__xludf.DUMMYFUNCTION("TEXT(VALUE(REGEXEXTRACT(H50,""^[+-]?[0-9]*\.?[0-9]+""))*100,""0.00"")&amp;"" +/- ""&amp;TEXT(VALUE(REGEXEXTRACT(H50,""[0-9]*\.?[0-9]+$""))*100,""0.00"")"),"76.39 +/- 1.57")</f>
        <v>76.39 +/- 1.57</v>
      </c>
    </row>
    <row r="51">
      <c r="A51" s="6" t="s">
        <v>922</v>
      </c>
      <c r="B51" s="16" t="s">
        <v>2221</v>
      </c>
      <c r="C51" s="16" t="s">
        <v>2222</v>
      </c>
      <c r="D51" s="16" t="s">
        <v>2223</v>
      </c>
      <c r="E51" s="16" t="s">
        <v>2224</v>
      </c>
      <c r="F51" s="16" t="s">
        <v>2225</v>
      </c>
      <c r="G51" s="16" t="s">
        <v>2226</v>
      </c>
      <c r="H51" s="16" t="s">
        <v>2227</v>
      </c>
      <c r="I51" s="8" t="str">
        <f t="shared" si="3"/>
        <v>AR6→AR1</v>
      </c>
      <c r="J51" s="9" t="str">
        <f>IFERROR(__xludf.DUMMYFUNCTION("TEXT(VALUE(REGEXEXTRACT(B51,""^[+-]?[0-9]*\.?[0-9]+""))*100,""0.00"")&amp;"" +/- ""&amp;TEXT(VALUE(REGEXEXTRACT(B51,""[0-9]*\.?[0-9]+$""))*100,""0.00"")"),"57.36 +/- 1.20")</f>
        <v>57.36 +/- 1.20</v>
      </c>
      <c r="K51" s="9" t="str">
        <f>IFERROR(__xludf.DUMMYFUNCTION("TEXT(VALUE(REGEXEXTRACT(C51,""^[+-]?[0-9]*\.?[0-9]+""))*100,""0.00"")&amp;"" +/- ""&amp;TEXT(VALUE(REGEXEXTRACT(C51,""[0-9]*\.?[0-9]+$""))*100,""0.00"")"),"54.41 +/- 0.00")</f>
        <v>54.41 +/- 0.00</v>
      </c>
      <c r="L51" s="10" t="str">
        <f>IFERROR(__xludf.DUMMYFUNCTION("TEXT(VALUE(REGEXEXTRACT(D51,""^[+-]?[0-9]*\.?[0-9]+""))*100,""0.00"")&amp;"" +/- ""&amp;TEXT(VALUE(REGEXEXTRACT(D51,""[0-9]*\.?[0-9]+$""))*100,""0.00"")"),"64.14 +/- 0.00")</f>
        <v>64.14 +/- 0.00</v>
      </c>
      <c r="M51" s="9" t="str">
        <f>IFERROR(__xludf.DUMMYFUNCTION("TEXT(VALUE(REGEXEXTRACT(E51,""^[+-]?[0-9]*\.?[0-9]+""))*100,""0.00"")&amp;"" +/- ""&amp;TEXT(VALUE(REGEXEXTRACT(E51,""[0-9]*\.?[0-9]+$""))*100,""0.00"")"),"55.49 +/- 1.91")</f>
        <v>55.49 +/- 1.91</v>
      </c>
      <c r="N51" s="9" t="str">
        <f>IFERROR(__xludf.DUMMYFUNCTION("TEXT(VALUE(REGEXEXTRACT(F51,""^[+-]?[0-9]*\.?[0-9]+""))*100,""0.00"")&amp;"" +/- ""&amp;TEXT(VALUE(REGEXEXTRACT(F51,""[0-9]*\.?[0-9]+$""))*100,""0.00"")"),"55.55 +/- 1.68")</f>
        <v>55.55 +/- 1.68</v>
      </c>
      <c r="O51" s="9" t="str">
        <f>IFERROR(__xludf.DUMMYFUNCTION("TEXT(VALUE(REGEXEXTRACT(G51,""^[+-]?[0-9]*\.?[0-9]+""))*100,""0.00"")&amp;"" +/- ""&amp;TEXT(VALUE(REGEXEXTRACT(G51,""[0-9]*\.?[0-9]+$""))*100,""0.00"")"),"55.14 +/- 1.38")</f>
        <v>55.14 +/- 1.38</v>
      </c>
      <c r="P51" s="9" t="str">
        <f>IFERROR(__xludf.DUMMYFUNCTION("TEXT(VALUE(REGEXEXTRACT(H51,""^[+-]?[0-9]*\.?[0-9]+""))*100,""0.00"")&amp;"" +/- ""&amp;TEXT(VALUE(REGEXEXTRACT(H51,""[0-9]*\.?[0-9]+$""))*100,""0.00"")"),"56.93 +/- 1.22")</f>
        <v>56.93 +/- 1.22</v>
      </c>
    </row>
    <row r="52">
      <c r="A52" s="6" t="s">
        <v>944</v>
      </c>
      <c r="B52" s="16" t="s">
        <v>2228</v>
      </c>
      <c r="C52" s="16" t="s">
        <v>2033</v>
      </c>
      <c r="D52" s="16" t="s">
        <v>2229</v>
      </c>
      <c r="E52" s="16" t="s">
        <v>2230</v>
      </c>
      <c r="F52" s="16" t="s">
        <v>2231</v>
      </c>
      <c r="G52" s="16" t="s">
        <v>2232</v>
      </c>
      <c r="H52" s="16" t="s">
        <v>2233</v>
      </c>
      <c r="I52" s="8" t="str">
        <f t="shared" si="3"/>
        <v>AR6→AR3</v>
      </c>
      <c r="J52" s="10" t="str">
        <f>IFERROR(__xludf.DUMMYFUNCTION("TEXT(VALUE(REGEXEXTRACT(B52,""^[+-]?[0-9]*\.?[0-9]+""))*100,""0.00"")&amp;"" +/- ""&amp;TEXT(VALUE(REGEXEXTRACT(B52,""[0-9]*\.?[0-9]+$""))*100,""0.00"")"),"74.20 +/- 0.59")</f>
        <v>74.20 +/- 0.59</v>
      </c>
      <c r="K52" s="9" t="str">
        <f>IFERROR(__xludf.DUMMYFUNCTION("TEXT(VALUE(REGEXEXTRACT(C52,""^[+-]?[0-9]*\.?[0-9]+""))*100,""0.00"")&amp;"" +/- ""&amp;TEXT(VALUE(REGEXEXTRACT(C52,""[0-9]*\.?[0-9]+$""))*100,""0.00"")"),"70.45 +/- 0.00")</f>
        <v>70.45 +/- 0.00</v>
      </c>
      <c r="L52" s="9" t="str">
        <f>IFERROR(__xludf.DUMMYFUNCTION("TEXT(VALUE(REGEXEXTRACT(D52,""^[+-]?[0-9]*\.?[0-9]+""))*100,""0.00"")&amp;"" +/- ""&amp;TEXT(VALUE(REGEXEXTRACT(D52,""[0-9]*\.?[0-9]+$""))*100,""0.00"")"),"39.55 +/- 0.00")</f>
        <v>39.55 +/- 0.00</v>
      </c>
      <c r="M52" s="9" t="str">
        <f>IFERROR(__xludf.DUMMYFUNCTION("TEXT(VALUE(REGEXEXTRACT(E52,""^[+-]?[0-9]*\.?[0-9]+""))*100,""0.00"")&amp;"" +/- ""&amp;TEXT(VALUE(REGEXEXTRACT(E52,""[0-9]*\.?[0-9]+$""))*100,""0.00"")"),"74.41 +/- 0.91")</f>
        <v>74.41 +/- 0.91</v>
      </c>
      <c r="N52" s="9" t="str">
        <f>IFERROR(__xludf.DUMMYFUNCTION("TEXT(VALUE(REGEXEXTRACT(F52,""^[+-]?[0-9]*\.?[0-9]+""))*100,""0.00"")&amp;"" +/- ""&amp;TEXT(VALUE(REGEXEXTRACT(F52,""[0-9]*\.?[0-9]+$""))*100,""0.00"")"),"71.77 +/- 1.08")</f>
        <v>71.77 +/- 1.08</v>
      </c>
      <c r="O52" s="9" t="str">
        <f>IFERROR(__xludf.DUMMYFUNCTION("TEXT(VALUE(REGEXEXTRACT(G52,""^[+-]?[0-9]*\.?[0-9]+""))*100,""0.00"")&amp;"" +/- ""&amp;TEXT(VALUE(REGEXEXTRACT(G52,""[0-9]*\.?[0-9]+$""))*100,""0.00"")"),"72.37 +/- 0.91")</f>
        <v>72.37 +/- 0.91</v>
      </c>
      <c r="P52" s="9" t="str">
        <f>IFERROR(__xludf.DUMMYFUNCTION("TEXT(VALUE(REGEXEXTRACT(H52,""^[+-]?[0-9]*\.?[0-9]+""))*100,""0.00"")&amp;"" +/- ""&amp;TEXT(VALUE(REGEXEXTRACT(H52,""[0-9]*\.?[0-9]+$""))*100,""0.00"")"),"73.92 +/- 1.69")</f>
        <v>73.92 +/- 1.69</v>
      </c>
    </row>
    <row r="53">
      <c r="A53" s="6" t="s">
        <v>959</v>
      </c>
      <c r="B53" s="16" t="s">
        <v>2238</v>
      </c>
      <c r="C53" s="16" t="s">
        <v>2240</v>
      </c>
      <c r="D53" s="16" t="s">
        <v>2005</v>
      </c>
      <c r="E53" s="16" t="s">
        <v>2243</v>
      </c>
      <c r="F53" s="16" t="s">
        <v>2244</v>
      </c>
      <c r="G53" s="16" t="s">
        <v>2245</v>
      </c>
      <c r="H53" s="16" t="s">
        <v>2246</v>
      </c>
      <c r="I53" s="8" t="str">
        <f t="shared" si="3"/>
        <v>AR6→AR4</v>
      </c>
      <c r="J53" s="10" t="str">
        <f>IFERROR(__xludf.DUMMYFUNCTION("TEXT(VALUE(REGEXEXTRACT(B53,""^[+-]?[0-9]*\.?[0-9]+""))*100,""0.00"")&amp;"" +/- ""&amp;TEXT(VALUE(REGEXEXTRACT(B53,""[0-9]*\.?[0-9]+$""))*100,""0.00"")"),"69.00 +/- 0.75")</f>
        <v>69.00 +/- 0.75</v>
      </c>
      <c r="K53" s="9" t="str">
        <f>IFERROR(__xludf.DUMMYFUNCTION("TEXT(VALUE(REGEXEXTRACT(C53,""^[+-]?[0-9]*\.?[0-9]+""))*100,""0.00"")&amp;"" +/- ""&amp;TEXT(VALUE(REGEXEXTRACT(C53,""[0-9]*\.?[0-9]+$""))*100,""0.00"")"),"58.45 +/- 0.00")</f>
        <v>58.45 +/- 0.00</v>
      </c>
      <c r="L53" s="9" t="str">
        <f>IFERROR(__xludf.DUMMYFUNCTION("TEXT(VALUE(REGEXEXTRACT(D53,""^[+-]?[0-9]*\.?[0-9]+""))*100,""0.00"")&amp;"" +/- ""&amp;TEXT(VALUE(REGEXEXTRACT(D53,""[0-9]*\.?[0-9]+$""))*100,""0.00"")"),"61.38 +/- 0.00")</f>
        <v>61.38 +/- 0.00</v>
      </c>
      <c r="M53" s="9" t="str">
        <f>IFERROR(__xludf.DUMMYFUNCTION("TEXT(VALUE(REGEXEXTRACT(E53,""^[+-]?[0-9]*\.?[0-9]+""))*100,""0.00"")&amp;"" +/- ""&amp;TEXT(VALUE(REGEXEXTRACT(E53,""[0-9]*\.?[0-9]+$""))*100,""0.00"")"),"65.93 +/- 1.62")</f>
        <v>65.93 +/- 1.62</v>
      </c>
      <c r="N53" s="9" t="str">
        <f>IFERROR(__xludf.DUMMYFUNCTION("TEXT(VALUE(REGEXEXTRACT(F53,""^[+-]?[0-9]*\.?[0-9]+""))*100,""0.00"")&amp;"" +/- ""&amp;TEXT(VALUE(REGEXEXTRACT(F53,""[0-9]*\.?[0-9]+$""))*100,""0.00"")"),"61.62 +/- 1.48")</f>
        <v>61.62 +/- 1.48</v>
      </c>
      <c r="O53" s="9" t="str">
        <f>IFERROR(__xludf.DUMMYFUNCTION("TEXT(VALUE(REGEXEXTRACT(G53,""^[+-]?[0-9]*\.?[0-9]+""))*100,""0.00"")&amp;"" +/- ""&amp;TEXT(VALUE(REGEXEXTRACT(G53,""[0-9]*\.?[0-9]+$""))*100,""0.00"")"),"62.72 +/- 1.78")</f>
        <v>62.72 +/- 1.78</v>
      </c>
      <c r="P53" s="9" t="str">
        <f>IFERROR(__xludf.DUMMYFUNCTION("TEXT(VALUE(REGEXEXTRACT(H53,""^[+-]?[0-9]*\.?[0-9]+""))*100,""0.00"")&amp;"" +/- ""&amp;TEXT(VALUE(REGEXEXTRACT(H53,""[0-9]*\.?[0-9]+$""))*100,""0.00"")"),"47.06 +/- 2.21")</f>
        <v>47.06 +/- 2.21</v>
      </c>
    </row>
    <row r="54">
      <c r="A54" s="6" t="s">
        <v>974</v>
      </c>
      <c r="B54" s="16" t="s">
        <v>2247</v>
      </c>
      <c r="C54" s="16" t="s">
        <v>2248</v>
      </c>
      <c r="D54" s="16" t="s">
        <v>2249</v>
      </c>
      <c r="E54" s="16" t="s">
        <v>2250</v>
      </c>
      <c r="F54" s="16" t="s">
        <v>2251</v>
      </c>
      <c r="G54" s="16" t="s">
        <v>2252</v>
      </c>
      <c r="H54" s="16" t="s">
        <v>2253</v>
      </c>
      <c r="I54" s="8" t="str">
        <f t="shared" si="3"/>
        <v>AR6→AR5</v>
      </c>
      <c r="J54" s="10" t="str">
        <f>IFERROR(__xludf.DUMMYFUNCTION("TEXT(VALUE(REGEXEXTRACT(B54,""^[+-]?[0-9]*\.?[0-9]+""))*100,""0.00"")&amp;"" +/- ""&amp;TEXT(VALUE(REGEXEXTRACT(B54,""[0-9]*\.?[0-9]+$""))*100,""0.00"")"),"87.57 +/- 1.21")</f>
        <v>87.57 +/- 1.21</v>
      </c>
      <c r="K54" s="9" t="str">
        <f>IFERROR(__xludf.DUMMYFUNCTION("TEXT(VALUE(REGEXEXTRACT(C54,""^[+-]?[0-9]*\.?[0-9]+""))*100,""0.00"")&amp;"" +/- ""&amp;TEXT(VALUE(REGEXEXTRACT(C54,""[0-9]*\.?[0-9]+$""))*100,""0.00"")"),"81.25 +/- 0.00")</f>
        <v>81.25 +/- 0.00</v>
      </c>
      <c r="L54" s="9" t="str">
        <f>IFERROR(__xludf.DUMMYFUNCTION("TEXT(VALUE(REGEXEXTRACT(D54,""^[+-]?[0-9]*\.?[0-9]+""))*100,""0.00"")&amp;"" +/- ""&amp;TEXT(VALUE(REGEXEXTRACT(D54,""[0-9]*\.?[0-9]+$""))*100,""0.00"")"),"58.48 +/- 0.00")</f>
        <v>58.48 +/- 0.00</v>
      </c>
      <c r="M54" s="9" t="str">
        <f>IFERROR(__xludf.DUMMYFUNCTION("TEXT(VALUE(REGEXEXTRACT(E54,""^[+-]?[0-9]*\.?[0-9]+""))*100,""0.00"")&amp;"" +/- ""&amp;TEXT(VALUE(REGEXEXTRACT(E54,""[0-9]*\.?[0-9]+$""))*100,""0.00"")"),"86.09 +/- 1.69")</f>
        <v>86.09 +/- 1.69</v>
      </c>
      <c r="N54" s="9" t="str">
        <f>IFERROR(__xludf.DUMMYFUNCTION("TEXT(VALUE(REGEXEXTRACT(F54,""^[+-]?[0-9]*\.?[0-9]+""))*100,""0.00"")&amp;"" +/- ""&amp;TEXT(VALUE(REGEXEXTRACT(F54,""[0-9]*\.?[0-9]+$""))*100,""0.00"")"),"84.06 +/- 1.46")</f>
        <v>84.06 +/- 1.46</v>
      </c>
      <c r="O54" s="9" t="str">
        <f>IFERROR(__xludf.DUMMYFUNCTION("TEXT(VALUE(REGEXEXTRACT(G54,""^[+-]?[0-9]*\.?[0-9]+""))*100,""0.00"")&amp;"" +/- ""&amp;TEXT(VALUE(REGEXEXTRACT(G54,""[0-9]*\.?[0-9]+$""))*100,""0.00"")"),"85.00 +/- 1.38")</f>
        <v>85.00 +/- 1.38</v>
      </c>
      <c r="P54" s="9" t="str">
        <f>IFERROR(__xludf.DUMMYFUNCTION("TEXT(VALUE(REGEXEXTRACT(H54,""^[+-]?[0-9]*\.?[0-9]+""))*100,""0.00"")&amp;"" +/- ""&amp;TEXT(VALUE(REGEXEXTRACT(H54,""[0-9]*\.?[0-9]+$""))*100,""0.00"")"),"80.94 +/- 1.84")</f>
        <v>80.94 +/- 1.84</v>
      </c>
    </row>
    <row r="55">
      <c r="A55" s="6" t="s">
        <v>371</v>
      </c>
      <c r="B55" s="14"/>
      <c r="C55" s="21" t="s">
        <v>1096</v>
      </c>
      <c r="D55" s="21" t="s">
        <v>990</v>
      </c>
      <c r="E55" s="21" t="s">
        <v>392</v>
      </c>
      <c r="F55" s="21" t="s">
        <v>388</v>
      </c>
      <c r="G55" s="21" t="s">
        <v>488</v>
      </c>
      <c r="H55" s="21" t="s">
        <v>388</v>
      </c>
      <c r="I55" s="8" t="str">
        <f t="shared" si="3"/>
        <v>W/T/L</v>
      </c>
      <c r="K55" s="20" t="str">
        <f>IFERROR(__xludf.DUMMYFUNCTION("SUM(ARRAYFORMULA(IFERROR(
  (VALUE(REGEXEXTRACT($J$35:$J$54,""^[+-]?[0-9]*\.?[0-9]+""))&gt;
   VALUE(REGEXEXTRACT(K$35:K$54,""^[+-]?[0-9]*\.?[0-9]+"")))*1,0)))
&amp;""/""&amp;
SUM(ARRAYFORMULA(IFERROR(
  (VALUE(REGEXEXTRACT($J$35:$J$54,""^[+-]?[0-9]*\.?[0-9]+""))=
 "&amp;"  VALUE(REGEXEXTRACT(K$35:K$54,""^[+-]?[0-9]*\.?[0-9]+"")))*1,0)))
&amp;""/""&amp;
SUM(ARRAYFORMULA(IFERROR(
  (VALUE(REGEXEXTRACT($J$35:$J$54,""^[+-]?[0-9]*\.?[0-9]+""))&lt;
   VALUE(REGEXEXTRACT(K$35:K$54,""^[+-]?[0-9]*\.?[0-9]+"")))*1,0)))"),"15/0/5")</f>
        <v>15/0/5</v>
      </c>
      <c r="L55" s="20" t="str">
        <f>IFERROR(__xludf.DUMMYFUNCTION("SUM(ARRAYFORMULA(IFERROR(
  (VALUE(REGEXEXTRACT($J$35:$J$54,""^[+-]?[0-9]*\.?[0-9]+""))&gt;
   VALUE(REGEXEXTRACT(L$35:L$54,""^[+-]?[0-9]*\.?[0-9]+"")))*1,0)))
&amp;""/""&amp;
SUM(ARRAYFORMULA(IFERROR(
  (VALUE(REGEXEXTRACT($J$35:$J$54,""^[+-]?[0-9]*\.?[0-9]+""))=
 "&amp;"  VALUE(REGEXEXTRACT(L$35:L$54,""^[+-]?[0-9]*\.?[0-9]+"")))*1,0)))
&amp;""/""&amp;
SUM(ARRAYFORMULA(IFERROR(
  (VALUE(REGEXEXTRACT($J$35:$J$54,""^[+-]?[0-9]*\.?[0-9]+""))&lt;
   VALUE(REGEXEXTRACT(L$35:L$54,""^[+-]?[0-9]*\.?[0-9]+"")))*1,0)))"),"17/0/3")</f>
        <v>17/0/3</v>
      </c>
      <c r="M55" s="20" t="str">
        <f>IFERROR(__xludf.DUMMYFUNCTION("SUM(ARRAYFORMULA(IFERROR(
  (VALUE(REGEXEXTRACT($J$35:$J$54,""^[+-]?[0-9]*\.?[0-9]+""))&gt;
   VALUE(REGEXEXTRACT(M$35:M$54,""^[+-]?[0-9]*\.?[0-9]+"")))*1,0)))
&amp;""/""&amp;
SUM(ARRAYFORMULA(IFERROR(
  (VALUE(REGEXEXTRACT($J$35:$J$54,""^[+-]?[0-9]*\.?[0-9]+""))=
 "&amp;"  VALUE(REGEXEXTRACT(M$35:M$54,""^[+-]?[0-9]*\.?[0-9]+"")))*1,0)))
&amp;""/""&amp;
SUM(ARRAYFORMULA(IFERROR(
  (VALUE(REGEXEXTRACT($J$35:$J$54,""^[+-]?[0-9]*\.?[0-9]+""))&lt;
   VALUE(REGEXEXTRACT(M$35:M$54,""^[+-]?[0-9]*\.?[0-9]+"")))*1,0)))"),"14/0/6")</f>
        <v>14/0/6</v>
      </c>
      <c r="N55" s="20" t="str">
        <f>IFERROR(__xludf.DUMMYFUNCTION("SUM(ARRAYFORMULA(IFERROR(
  (VALUE(REGEXEXTRACT($J$35:$J$54,""^[+-]?[0-9]*\.?[0-9]+""))&gt;
   VALUE(REGEXEXTRACT(N$35:N$54,""^[+-]?[0-9]*\.?[0-9]+"")))*1,0)))
&amp;""/""&amp;
SUM(ARRAYFORMULA(IFERROR(
  (VALUE(REGEXEXTRACT($J$35:$J$54,""^[+-]?[0-9]*\.?[0-9]+""))=
 "&amp;"  VALUE(REGEXEXTRACT(N$35:N$54,""^[+-]?[0-9]*\.?[0-9]+"")))*1,0)))
&amp;""/""&amp;
SUM(ARRAYFORMULA(IFERROR(
  (VALUE(REGEXEXTRACT($J$35:$J$54,""^[+-]?[0-9]*\.?[0-9]+""))&lt;
   VALUE(REGEXEXTRACT(N$35:N$54,""^[+-]?[0-9]*\.?[0-9]+"")))*1,0)))"),"16/0/4")</f>
        <v>16/0/4</v>
      </c>
      <c r="O55" s="20" t="str">
        <f>IFERROR(__xludf.DUMMYFUNCTION("SUM(ARRAYFORMULA(IFERROR(
  (VALUE(REGEXEXTRACT($J$35:$J$54,""^[+-]?[0-9]*\.?[0-9]+""))&gt;
   VALUE(REGEXEXTRACT(O$35:O$54,""^[+-]?[0-9]*\.?[0-9]+"")))*1,0)))
&amp;""/""&amp;
SUM(ARRAYFORMULA(IFERROR(
  (VALUE(REGEXEXTRACT($J$35:$J$54,""^[+-]?[0-9]*\.?[0-9]+""))=
 "&amp;"  VALUE(REGEXEXTRACT(O$35:O$54,""^[+-]?[0-9]*\.?[0-9]+"")))*1,0)))
&amp;""/""&amp;
SUM(ARRAYFORMULA(IFERROR(
  (VALUE(REGEXEXTRACT($J$35:$J$54,""^[+-]?[0-9]*\.?[0-9]+""))&lt;
   VALUE(REGEXEXTRACT(O$35:O$54,""^[+-]?[0-9]*\.?[0-9]+"")))*1,0)))"),"13/0/7")</f>
        <v>13/0/7</v>
      </c>
      <c r="P55" s="20" t="str">
        <f>IFERROR(__xludf.DUMMYFUNCTION("SUM(ARRAYFORMULA(IFERROR(
  (VALUE(REGEXEXTRACT($J$35:$J$54,""^[+-]?[0-9]*\.?[0-9]+""))&gt;
   VALUE(REGEXEXTRACT(P$35:P$54,""^[+-]?[0-9]*\.?[0-9]+"")))*1,0)))
&amp;""/""&amp;
SUM(ARRAYFORMULA(IFERROR(
  (VALUE(REGEXEXTRACT($J$35:$J$54,""^[+-]?[0-9]*\.?[0-9]+""))=
 "&amp;"  VALUE(REGEXEXTRACT(P$35:P$54,""^[+-]?[0-9]*\.?[0-9]+"")))*1,0)))
&amp;""/""&amp;
SUM(ARRAYFORMULA(IFERROR(
  (VALUE(REGEXEXTRACT($J$35:$J$54,""^[+-]?[0-9]*\.?[0-9]+""))&lt;
   VALUE(REGEXEXTRACT(P$35:P$54,""^[+-]?[0-9]*\.?[0-9]+"")))*1,0)))"),"16/0/4")</f>
        <v>16/0/4</v>
      </c>
    </row>
    <row r="56">
      <c r="A56" s="6" t="s">
        <v>489</v>
      </c>
      <c r="B56" s="14" t="s">
        <v>2275</v>
      </c>
      <c r="C56" s="14" t="s">
        <v>2281</v>
      </c>
      <c r="D56" s="14" t="s">
        <v>2284</v>
      </c>
      <c r="E56" s="14" t="s">
        <v>2285</v>
      </c>
      <c r="F56" s="14" t="s">
        <v>2286</v>
      </c>
      <c r="G56" s="14" t="s">
        <v>2287</v>
      </c>
      <c r="H56" s="14" t="s">
        <v>2288</v>
      </c>
      <c r="I56" s="8" t="str">
        <f t="shared" si="3"/>
        <v>Average (%)</v>
      </c>
      <c r="J56" s="9">
        <f>IFERROR(__xludf.DUMMYFUNCTION("ROUND(AVERAGE(ARRAYFORMULA(IFERROR(VALUE(REGEXEXTRACT(J$35:J$54,""^[+-]?[0-9]*\.?[0-9]+"")),""""))),2)"),73.15)</f>
        <v>73.15</v>
      </c>
      <c r="K56" s="9">
        <f>IFERROR(__xludf.DUMMYFUNCTION("ROUND(AVERAGE(ARRAYFORMULA(IFERROR(VALUE(REGEXEXTRACT(K$35:K$54,""^[+-]?[0-9]*\.?[0-9]+"")),""""))),2)"),70.17)</f>
        <v>70.17</v>
      </c>
      <c r="L56" s="9">
        <f>IFERROR(__xludf.DUMMYFUNCTION("ROUND(AVERAGE(ARRAYFORMULA(IFERROR(VALUE(REGEXEXTRACT(L$35:L$54,""^[+-]?[0-9]*\.?[0-9]+"")),""""))),2)"),58.93)</f>
        <v>58.93</v>
      </c>
      <c r="M56" s="9">
        <f>IFERROR(__xludf.DUMMYFUNCTION("ROUND(AVERAGE(ARRAYFORMULA(IFERROR(VALUE(REGEXEXTRACT(M$35:M$54,""^[+-]?[0-9]*\.?[0-9]+"")),""""))),2)"),71.95)</f>
        <v>71.95</v>
      </c>
      <c r="N56" s="9">
        <f>IFERROR(__xludf.DUMMYFUNCTION("ROUND(AVERAGE(ARRAYFORMULA(IFERROR(VALUE(REGEXEXTRACT(N$35:N$54,""^[+-]?[0-9]*\.?[0-9]+"")),""""))),2)"),70.96)</f>
        <v>70.96</v>
      </c>
      <c r="O56" s="9">
        <f>IFERROR(__xludf.DUMMYFUNCTION("ROUND(AVERAGE(ARRAYFORMULA(IFERROR(VALUE(REGEXEXTRACT(O$35:O$54,""^[+-]?[0-9]*\.?[0-9]+"")),""""))),2)"),71.85)</f>
        <v>71.85</v>
      </c>
      <c r="P56" s="9">
        <f>IFERROR(__xludf.DUMMYFUNCTION("ROUND(AVERAGE(ARRAYFORMULA(IFERROR(VALUE(REGEXEXTRACT(P$35:P$54,""^[+-]?[0-9]*\.?[0-9]+"")),""""))),2)"),68.43)</f>
        <v>68.43</v>
      </c>
    </row>
    <row r="57">
      <c r="A57" s="4" t="s">
        <v>1013</v>
      </c>
      <c r="B57" s="41"/>
      <c r="C57" s="41"/>
      <c r="D57" s="41"/>
      <c r="E57" s="41"/>
      <c r="F57" s="41"/>
      <c r="G57" s="41"/>
      <c r="H57" s="41"/>
      <c r="I57" s="4" t="s">
        <v>1013</v>
      </c>
    </row>
    <row r="58">
      <c r="A58" s="6" t="s">
        <v>1014</v>
      </c>
      <c r="B58" s="16" t="s">
        <v>2296</v>
      </c>
      <c r="C58" s="16" t="s">
        <v>2297</v>
      </c>
      <c r="D58" s="16" t="s">
        <v>2298</v>
      </c>
      <c r="E58" s="16" t="s">
        <v>2299</v>
      </c>
      <c r="F58" s="16" t="s">
        <v>2300</v>
      </c>
      <c r="G58" s="16" t="s">
        <v>2301</v>
      </c>
      <c r="H58" s="16" t="s">
        <v>2302</v>
      </c>
      <c r="I58" s="8" t="str">
        <f t="shared" ref="I58:I81" si="4">A58</f>
        <v>EQ→JDT</v>
      </c>
      <c r="J58" s="10" t="str">
        <f>IFERROR(__xludf.DUMMYFUNCTION("TEXT(VALUE(REGEXEXTRACT(B58,""^[+-]?[0-9]*\.?[0-9]+""))*100,""0.00"")&amp;"" +/- ""&amp;TEXT(VALUE(REGEXEXTRACT(B58,""[0-9]*\.?[0-9]+$""))*100,""0.00"")"),"73.95 +/- 0.41")</f>
        <v>73.95 +/- 0.41</v>
      </c>
      <c r="K58" s="9" t="str">
        <f>IFERROR(__xludf.DUMMYFUNCTION("TEXT(VALUE(REGEXEXTRACT(C58,""^[+-]?[0-9]*\.?[0-9]+""))*100,""0.00"")&amp;"" +/- ""&amp;TEXT(VALUE(REGEXEXTRACT(C58,""[0-9]*\.?[0-9]+$""))*100,""0.00"")"),"72.11 +/- 0.00")</f>
        <v>72.11 +/- 0.00</v>
      </c>
      <c r="L58" s="9" t="str">
        <f>IFERROR(__xludf.DUMMYFUNCTION("TEXT(VALUE(REGEXEXTRACT(D58,""^[+-]?[0-9]*\.?[0-9]+""))*100,""0.00"")&amp;"" +/- ""&amp;TEXT(VALUE(REGEXEXTRACT(D58,""[0-9]*\.?[0-9]+$""))*100,""0.00"")"),"44.29 +/- 0.00")</f>
        <v>44.29 +/- 0.00</v>
      </c>
      <c r="M58" s="9" t="str">
        <f>IFERROR(__xludf.DUMMYFUNCTION("TEXT(VALUE(REGEXEXTRACT(E58,""^[+-]?[0-9]*\.?[0-9]+""))*100,""0.00"")&amp;"" +/- ""&amp;TEXT(VALUE(REGEXEXTRACT(E58,""[0-9]*\.?[0-9]+$""))*100,""0.00"")"),"71.85 +/- 0.66")</f>
        <v>71.85 +/- 0.66</v>
      </c>
      <c r="N58" s="9" t="str">
        <f>IFERROR(__xludf.DUMMYFUNCTION("TEXT(VALUE(REGEXEXTRACT(F58,""^[+-]?[0-9]*\.?[0-9]+""))*100,""0.00"")&amp;"" +/- ""&amp;TEXT(VALUE(REGEXEXTRACT(F58,""[0-9]*\.?[0-9]+$""))*100,""0.00"")"),"71.37 +/- 0.50")</f>
        <v>71.37 +/- 0.50</v>
      </c>
      <c r="O58" s="9" t="str">
        <f>IFERROR(__xludf.DUMMYFUNCTION("TEXT(VALUE(REGEXEXTRACT(G58,""^[+-]?[0-9]*\.?[0-9]+""))*100,""0.00"")&amp;"" +/- ""&amp;TEXT(VALUE(REGEXEXTRACT(G58,""[0-9]*\.?[0-9]+$""))*100,""0.00"")"),"72.04 +/- 0.79")</f>
        <v>72.04 +/- 0.79</v>
      </c>
      <c r="P58" s="9" t="str">
        <f>IFERROR(__xludf.DUMMYFUNCTION("TEXT(VALUE(REGEXEXTRACT(H58,""^[+-]?[0-9]*\.?[0-9]+""))*100,""0.00"")&amp;"" +/- ""&amp;TEXT(VALUE(REGEXEXTRACT(H58,""[0-9]*\.?[0-9]+$""))*100,""0.00"")"),"69.02 +/- 1.01")</f>
        <v>69.02 +/- 1.01</v>
      </c>
    </row>
    <row r="59">
      <c r="A59" s="6" t="s">
        <v>1026</v>
      </c>
      <c r="B59" s="16" t="s">
        <v>2310</v>
      </c>
      <c r="C59" s="16" t="s">
        <v>2311</v>
      </c>
      <c r="D59" s="16" t="s">
        <v>2312</v>
      </c>
      <c r="E59" s="16" t="s">
        <v>2313</v>
      </c>
      <c r="F59" s="16" t="s">
        <v>2314</v>
      </c>
      <c r="G59" s="16" t="s">
        <v>2315</v>
      </c>
      <c r="H59" s="16" t="s">
        <v>2316</v>
      </c>
      <c r="I59" s="8" t="str">
        <f t="shared" si="4"/>
        <v>EQ→LC</v>
      </c>
      <c r="J59" s="10" t="str">
        <f>IFERROR(__xludf.DUMMYFUNCTION("TEXT(VALUE(REGEXEXTRACT(B59,""^[+-]?[0-9]*\.?[0-9]+""))*100,""0.00"")&amp;"" +/- ""&amp;TEXT(VALUE(REGEXEXTRACT(B59,""[0-9]*\.?[0-9]+$""))*100,""0.00"")"),"71.20 +/- 0.66")</f>
        <v>71.20 +/- 0.66</v>
      </c>
      <c r="K59" s="9" t="str">
        <f>IFERROR(__xludf.DUMMYFUNCTION("TEXT(VALUE(REGEXEXTRACT(C59,""^[+-]?[0-9]*\.?[0-9]+""))*100,""0.00"")&amp;"" +/- ""&amp;TEXT(VALUE(REGEXEXTRACT(C59,""[0-9]*\.?[0-9]+$""))*100,""0.00"")"),"69.71 +/- 0.00")</f>
        <v>69.71 +/- 0.00</v>
      </c>
      <c r="L59" s="9" t="str">
        <f>IFERROR(__xludf.DUMMYFUNCTION("TEXT(VALUE(REGEXEXTRACT(D59,""^[+-]?[0-9]*\.?[0-9]+""))*100,""0.00"")&amp;"" +/- ""&amp;TEXT(VALUE(REGEXEXTRACT(D59,""[0-9]*\.?[0-9]+$""))*100,""0.00"")"),"30.25 +/- 0.00")</f>
        <v>30.25 +/- 0.00</v>
      </c>
      <c r="M59" s="9" t="str">
        <f>IFERROR(__xludf.DUMMYFUNCTION("TEXT(VALUE(REGEXEXTRACT(E59,""^[+-]?[0-9]*\.?[0-9]+""))*100,""0.00"")&amp;"" +/- ""&amp;TEXT(VALUE(REGEXEXTRACT(E59,""[0-9]*\.?[0-9]+$""))*100,""0.00"")"),"68.77 +/- 1.14")</f>
        <v>68.77 +/- 1.14</v>
      </c>
      <c r="N59" s="9" t="str">
        <f>IFERROR(__xludf.DUMMYFUNCTION("TEXT(VALUE(REGEXEXTRACT(F59,""^[+-]?[0-9]*\.?[0-9]+""))*100,""0.00"")&amp;"" +/- ""&amp;TEXT(VALUE(REGEXEXTRACT(F59,""[0-9]*\.?[0-9]+$""))*100,""0.00"")"),"66.67 +/- 0.49")</f>
        <v>66.67 +/- 0.49</v>
      </c>
      <c r="O59" s="9" t="str">
        <f>IFERROR(__xludf.DUMMYFUNCTION("TEXT(VALUE(REGEXEXTRACT(G59,""^[+-]?[0-9]*\.?[0-9]+""))*100,""0.00"")&amp;"" +/- ""&amp;TEXT(VALUE(REGEXEXTRACT(G59,""[0-9]*\.?[0-9]+$""))*100,""0.00"")"),"67.96 +/- 0.96")</f>
        <v>67.96 +/- 0.96</v>
      </c>
      <c r="P59" s="9" t="str">
        <f>IFERROR(__xludf.DUMMYFUNCTION("TEXT(VALUE(REGEXEXTRACT(H59,""^[+-]?[0-9]*\.?[0-9]+""))*100,""0.00"")&amp;"" +/- ""&amp;TEXT(VALUE(REGEXEXTRACT(H59,""[0-9]*\.?[0-9]+$""))*100,""0.00"")"),"64.06 +/- 1.49")</f>
        <v>64.06 +/- 1.49</v>
      </c>
    </row>
    <row r="60">
      <c r="A60" s="6" t="s">
        <v>1036</v>
      </c>
      <c r="B60" s="16" t="s">
        <v>2324</v>
      </c>
      <c r="C60" s="16" t="s">
        <v>2325</v>
      </c>
      <c r="D60" s="16" t="s">
        <v>2326</v>
      </c>
      <c r="E60" s="16" t="s">
        <v>2327</v>
      </c>
      <c r="F60" s="16" t="s">
        <v>2328</v>
      </c>
      <c r="G60" s="16" t="s">
        <v>2329</v>
      </c>
      <c r="H60" s="16" t="s">
        <v>2330</v>
      </c>
      <c r="I60" s="8" t="str">
        <f t="shared" si="4"/>
        <v>EQ→ML</v>
      </c>
      <c r="J60" s="10" t="str">
        <f>IFERROR(__xludf.DUMMYFUNCTION("TEXT(VALUE(REGEXEXTRACT(B60,""^[+-]?[0-9]*\.?[0-9]+""))*100,""0.00"")&amp;"" +/- ""&amp;TEXT(VALUE(REGEXEXTRACT(B60,""[0-9]*\.?[0-9]+$""))*100,""0.00"")"),"56.58 +/- 0.43")</f>
        <v>56.58 +/- 0.43</v>
      </c>
      <c r="K60" s="9" t="str">
        <f>IFERROR(__xludf.DUMMYFUNCTION("TEXT(VALUE(REGEXEXTRACT(C60,""^[+-]?[0-9]*\.?[0-9]+""))*100,""0.00"")&amp;"" +/- ""&amp;TEXT(VALUE(REGEXEXTRACT(C60,""[0-9]*\.?[0-9]+$""))*100,""0.00"")"),"54.95 +/- 0.00")</f>
        <v>54.95 +/- 0.00</v>
      </c>
      <c r="L60" s="9" t="str">
        <f>IFERROR(__xludf.DUMMYFUNCTION("TEXT(VALUE(REGEXEXTRACT(D60,""^[+-]?[0-9]*\.?[0-9]+""))*100,""0.00"")&amp;"" +/- ""&amp;TEXT(VALUE(REGEXEXTRACT(D60,""[0-9]*\.?[0-9]+$""))*100,""0.00"")"),"42.30 +/- 0.00")</f>
        <v>42.30 +/- 0.00</v>
      </c>
      <c r="M60" s="9" t="str">
        <f>IFERROR(__xludf.DUMMYFUNCTION("TEXT(VALUE(REGEXEXTRACT(E60,""^[+-]?[0-9]*\.?[0-9]+""))*100,""0.00"")&amp;"" +/- ""&amp;TEXT(VALUE(REGEXEXTRACT(E60,""[0-9]*\.?[0-9]+$""))*100,""0.00"")"),"54.62 +/- 0.92")</f>
        <v>54.62 +/- 0.92</v>
      </c>
      <c r="N60" s="9" t="str">
        <f>IFERROR(__xludf.DUMMYFUNCTION("TEXT(VALUE(REGEXEXTRACT(F60,""^[+-]?[0-9]*\.?[0-9]+""))*100,""0.00"")&amp;"" +/- ""&amp;TEXT(VALUE(REGEXEXTRACT(F60,""[0-9]*\.?[0-9]+$""))*100,""0.00"")"),"52.95 +/- 0.72")</f>
        <v>52.95 +/- 0.72</v>
      </c>
      <c r="O60" s="9" t="str">
        <f>IFERROR(__xludf.DUMMYFUNCTION("TEXT(VALUE(REGEXEXTRACT(G60,""^[+-]?[0-9]*\.?[0-9]+""))*100,""0.00"")&amp;"" +/- ""&amp;TEXT(VALUE(REGEXEXTRACT(G60,""[0-9]*\.?[0-9]+$""))*100,""0.00"")"),"54.43 +/- 0.79")</f>
        <v>54.43 +/- 0.79</v>
      </c>
      <c r="P60" s="9" t="str">
        <f>IFERROR(__xludf.DUMMYFUNCTION("TEXT(VALUE(REGEXEXTRACT(H60,""^[+-]?[0-9]*\.?[0-9]+""))*100,""0.00"")&amp;"" +/- ""&amp;TEXT(VALUE(REGEXEXTRACT(H60,""[0-9]*\.?[0-9]+$""))*100,""0.00"")"),"53.06 +/- 0.97")</f>
        <v>53.06 +/- 0.97</v>
      </c>
    </row>
    <row r="61">
      <c r="A61" s="6" t="s">
        <v>1044</v>
      </c>
      <c r="B61" s="16" t="s">
        <v>2352</v>
      </c>
      <c r="C61" s="16" t="s">
        <v>2353</v>
      </c>
      <c r="D61" s="16" t="s">
        <v>2354</v>
      </c>
      <c r="E61" s="16" t="s">
        <v>2355</v>
      </c>
      <c r="F61" s="16" t="s">
        <v>2356</v>
      </c>
      <c r="G61" s="16" t="s">
        <v>2357</v>
      </c>
      <c r="H61" s="16" t="s">
        <v>2358</v>
      </c>
      <c r="I61" s="8" t="str">
        <f t="shared" si="4"/>
        <v>EQ→PDE</v>
      </c>
      <c r="J61" s="10" t="str">
        <f>IFERROR(__xludf.DUMMYFUNCTION("TEXT(VALUE(REGEXEXTRACT(B61,""^[+-]?[0-9]*\.?[0-9]+""))*100,""0.00"")&amp;"" +/- ""&amp;TEXT(VALUE(REGEXEXTRACT(B61,""[0-9]*\.?[0-9]+$""))*100,""0.00"")"),"69.13 +/- 0.37")</f>
        <v>69.13 +/- 0.37</v>
      </c>
      <c r="K61" s="9" t="str">
        <f>IFERROR(__xludf.DUMMYFUNCTION("TEXT(VALUE(REGEXEXTRACT(C61,""^[+-]?[0-9]*\.?[0-9]+""))*100,""0.00"")&amp;"" +/- ""&amp;TEXT(VALUE(REGEXEXTRACT(C61,""[0-9]*\.?[0-9]+$""))*100,""0.00"")"),"68.16 +/- 0.00")</f>
        <v>68.16 +/- 0.00</v>
      </c>
      <c r="L61" s="9" t="str">
        <f>IFERROR(__xludf.DUMMYFUNCTION("TEXT(VALUE(REGEXEXTRACT(D61,""^[+-]?[0-9]*\.?[0-9]+""))*100,""0.00"")&amp;"" +/- ""&amp;TEXT(VALUE(REGEXEXTRACT(D61,""[0-9]*\.?[0-9]+$""))*100,""0.00"")"),"36.64 +/- 0.00")</f>
        <v>36.64 +/- 0.00</v>
      </c>
      <c r="M61" s="9" t="str">
        <f>IFERROR(__xludf.DUMMYFUNCTION("TEXT(VALUE(REGEXEXTRACT(E61,""^[+-]?[0-9]*\.?[0-9]+""))*100,""0.00"")&amp;"" +/- ""&amp;TEXT(VALUE(REGEXEXTRACT(E61,""[0-9]*\.?[0-9]+$""))*100,""0.00"")"),"67.87 +/- 0.97")</f>
        <v>67.87 +/- 0.97</v>
      </c>
      <c r="N61" s="9" t="str">
        <f>IFERROR(__xludf.DUMMYFUNCTION("TEXT(VALUE(REGEXEXTRACT(F61,""^[+-]?[0-9]*\.?[0-9]+""))*100,""0.00"")&amp;"" +/- ""&amp;TEXT(VALUE(REGEXEXTRACT(F61,""[0-9]*\.?[0-9]+$""))*100,""0.00"")"),"66.02 +/- 0.57")</f>
        <v>66.02 +/- 0.57</v>
      </c>
      <c r="O61" s="9" t="str">
        <f>IFERROR(__xludf.DUMMYFUNCTION("TEXT(VALUE(REGEXEXTRACT(G61,""^[+-]?[0-9]*\.?[0-9]+""))*100,""0.00"")&amp;"" +/- ""&amp;TEXT(VALUE(REGEXEXTRACT(G61,""[0-9]*\.?[0-9]+$""))*100,""0.00"")"),"67.45 +/- 0.86")</f>
        <v>67.45 +/- 0.86</v>
      </c>
      <c r="P61" s="9" t="str">
        <f>IFERROR(__xludf.DUMMYFUNCTION("TEXT(VALUE(REGEXEXTRACT(H61,""^[+-]?[0-9]*\.?[0-9]+""))*100,""0.00"")&amp;"" +/- ""&amp;TEXT(VALUE(REGEXEXTRACT(H61,""[0-9]*\.?[0-9]+$""))*100,""0.00"")"),"62.41 +/- 0.98")</f>
        <v>62.41 +/- 0.98</v>
      </c>
    </row>
    <row r="62">
      <c r="A62" s="6" t="s">
        <v>1051</v>
      </c>
      <c r="B62" s="16" t="s">
        <v>2371</v>
      </c>
      <c r="C62" s="16" t="s">
        <v>2372</v>
      </c>
      <c r="D62" s="16" t="s">
        <v>2373</v>
      </c>
      <c r="E62" s="16" t="s">
        <v>2374</v>
      </c>
      <c r="F62" s="16" t="s">
        <v>2375</v>
      </c>
      <c r="G62" s="16" t="s">
        <v>2376</v>
      </c>
      <c r="H62" s="16" t="s">
        <v>2377</v>
      </c>
      <c r="I62" s="8" t="str">
        <f t="shared" si="4"/>
        <v>JDT→EQ</v>
      </c>
      <c r="J62" s="9" t="str">
        <f>IFERROR(__xludf.DUMMYFUNCTION("TEXT(VALUE(REGEXEXTRACT(B62,""^[+-]?[0-9]*\.?[0-9]+""))*100,""0.00"")&amp;"" +/- ""&amp;TEXT(VALUE(REGEXEXTRACT(B62,""[0-9]*\.?[0-9]+$""))*100,""0.00"")"),"62.06 +/- 1.03")</f>
        <v>62.06 +/- 1.03</v>
      </c>
      <c r="K62" s="9" t="str">
        <f>IFERROR(__xludf.DUMMYFUNCTION("TEXT(VALUE(REGEXEXTRACT(C62,""^[+-]?[0-9]*\.?[0-9]+""))*100,""0.00"")&amp;"" +/- ""&amp;TEXT(VALUE(REGEXEXTRACT(C62,""[0-9]*\.?[0-9]+$""))*100,""0.00"")"),"59.13 +/- 0.00")</f>
        <v>59.13 +/- 0.00</v>
      </c>
      <c r="L62" s="10" t="str">
        <f>IFERROR(__xludf.DUMMYFUNCTION("TEXT(VALUE(REGEXEXTRACT(D62,""^[+-]?[0-9]*\.?[0-9]+""))*100,""0.00"")&amp;"" +/- ""&amp;TEXT(VALUE(REGEXEXTRACT(D62,""[0-9]*\.?[0-9]+$""))*100,""0.00"")"),"70.94 +/- 0.00")</f>
        <v>70.94 +/- 0.00</v>
      </c>
      <c r="M62" s="9" t="str">
        <f>IFERROR(__xludf.DUMMYFUNCTION("TEXT(VALUE(REGEXEXTRACT(E62,""^[+-]?[0-9]*\.?[0-9]+""))*100,""0.00"")&amp;"" +/- ""&amp;TEXT(VALUE(REGEXEXTRACT(E62,""[0-9]*\.?[0-9]+$""))*100,""0.00"")"),"58.12 +/- 1.48")</f>
        <v>58.12 +/- 1.48</v>
      </c>
      <c r="N62" s="9" t="str">
        <f>IFERROR(__xludf.DUMMYFUNCTION("TEXT(VALUE(REGEXEXTRACT(F62,""^[+-]?[0-9]*\.?[0-9]+""))*100,""0.00"")&amp;"" +/- ""&amp;TEXT(VALUE(REGEXEXTRACT(F62,""[0-9]*\.?[0-9]+$""))*100,""0.00"")"),"56.70 +/- 0.67")</f>
        <v>56.70 +/- 0.67</v>
      </c>
      <c r="O62" s="9" t="str">
        <f>IFERROR(__xludf.DUMMYFUNCTION("TEXT(VALUE(REGEXEXTRACT(G62,""^[+-]?[0-9]*\.?[0-9]+""))*100,""0.00"")&amp;"" +/- ""&amp;TEXT(VALUE(REGEXEXTRACT(G62,""[0-9]*\.?[0-9]+$""))*100,""0.00"")"),"58.38 +/- 1.30")</f>
        <v>58.38 +/- 1.30</v>
      </c>
      <c r="P62" s="9" t="str">
        <f>IFERROR(__xludf.DUMMYFUNCTION("TEXT(VALUE(REGEXEXTRACT(H62,""^[+-]?[0-9]*\.?[0-9]+""))*100,""0.00"")&amp;"" +/- ""&amp;TEXT(VALUE(REGEXEXTRACT(H62,""[0-9]*\.?[0-9]+$""))*100,""0.00"")"),"58.93 +/- 0.94")</f>
        <v>58.93 +/- 0.94</v>
      </c>
    </row>
    <row r="63">
      <c r="A63" s="6" t="s">
        <v>1059</v>
      </c>
      <c r="B63" s="16" t="s">
        <v>2378</v>
      </c>
      <c r="C63" s="16" t="s">
        <v>2379</v>
      </c>
      <c r="D63" s="16" t="s">
        <v>2380</v>
      </c>
      <c r="E63" s="16" t="s">
        <v>2381</v>
      </c>
      <c r="F63" s="16" t="s">
        <v>2382</v>
      </c>
      <c r="G63" s="16" t="s">
        <v>2383</v>
      </c>
      <c r="H63" s="16" t="s">
        <v>2384</v>
      </c>
      <c r="I63" s="8" t="str">
        <f t="shared" si="4"/>
        <v>JDT→LC</v>
      </c>
      <c r="J63" s="9" t="str">
        <f>IFERROR(__xludf.DUMMYFUNCTION("TEXT(VALUE(REGEXEXTRACT(B63,""^[+-]?[0-9]*\.?[0-9]+""))*100,""0.00"")&amp;"" +/- ""&amp;TEXT(VALUE(REGEXEXTRACT(B63,""[0-9]*\.?[0-9]+$""))*100,""0.00"")"),"70.99 +/- 0.76")</f>
        <v>70.99 +/- 0.76</v>
      </c>
      <c r="K63" s="9" t="str">
        <f>IFERROR(__xludf.DUMMYFUNCTION("TEXT(VALUE(REGEXEXTRACT(C63,""^[+-]?[0-9]*\.?[0-9]+""))*100,""0.00"")&amp;"" +/- ""&amp;TEXT(VALUE(REGEXEXTRACT(C63,""[0-9]*\.?[0-9]+$""))*100,""0.00"")"),"67.79 +/- 0.00")</f>
        <v>67.79 +/- 0.00</v>
      </c>
      <c r="L63" s="10" t="str">
        <f>IFERROR(__xludf.DUMMYFUNCTION("TEXT(VALUE(REGEXEXTRACT(D63,""^[+-]?[0-9]*\.?[0-9]+""))*100,""0.00"")&amp;"" +/- ""&amp;TEXT(VALUE(REGEXEXTRACT(D63,""[0-9]*\.?[0-9]+$""))*100,""0.00"")"),"73.31 +/- 0.00")</f>
        <v>73.31 +/- 0.00</v>
      </c>
      <c r="M63" s="9" t="str">
        <f>IFERROR(__xludf.DUMMYFUNCTION("TEXT(VALUE(REGEXEXTRACT(E63,""^[+-]?[0-9]*\.?[0-9]+""))*100,""0.00"")&amp;"" +/- ""&amp;TEXT(VALUE(REGEXEXTRACT(E63,""[0-9]*\.?[0-9]+$""))*100,""0.00"")"),"68.47 +/- 1.22")</f>
        <v>68.47 +/- 1.22</v>
      </c>
      <c r="N63" s="9" t="str">
        <f>IFERROR(__xludf.DUMMYFUNCTION("TEXT(VALUE(REGEXEXTRACT(F63,""^[+-]?[0-9]*\.?[0-9]+""))*100,""0.00"")&amp;"" +/- ""&amp;TEXT(VALUE(REGEXEXTRACT(F63,""[0-9]*\.?[0-9]+$""))*100,""0.00"")"),"64.42 +/- 0.82")</f>
        <v>64.42 +/- 0.82</v>
      </c>
      <c r="O63" s="9" t="str">
        <f>IFERROR(__xludf.DUMMYFUNCTION("TEXT(VALUE(REGEXEXTRACT(G63,""^[+-]?[0-9]*\.?[0-9]+""))*100,""0.00"")&amp;"" +/- ""&amp;TEXT(VALUE(REGEXEXTRACT(G63,""[0-9]*\.?[0-9]+$""))*100,""0.00"")"),"68.64 +/- 1.15")</f>
        <v>68.64 +/- 1.15</v>
      </c>
      <c r="P63" s="9" t="str">
        <f>IFERROR(__xludf.DUMMYFUNCTION("TEXT(VALUE(REGEXEXTRACT(H63,""^[+-]?[0-9]*\.?[0-9]+""))*100,""0.00"")&amp;"" +/- ""&amp;TEXT(VALUE(REGEXEXTRACT(H63,""[0-9]*\.?[0-9]+$""))*100,""0.00"")"),"65.48 +/- 0.63")</f>
        <v>65.48 +/- 0.63</v>
      </c>
    </row>
    <row r="64">
      <c r="A64" s="6" t="s">
        <v>1088</v>
      </c>
      <c r="B64" s="16" t="s">
        <v>2385</v>
      </c>
      <c r="C64" s="16" t="s">
        <v>2386</v>
      </c>
      <c r="D64" s="16" t="s">
        <v>2387</v>
      </c>
      <c r="E64" s="16" t="s">
        <v>2388</v>
      </c>
      <c r="F64" s="16" t="s">
        <v>2389</v>
      </c>
      <c r="G64" s="16" t="s">
        <v>2390</v>
      </c>
      <c r="H64" s="16" t="s">
        <v>2391</v>
      </c>
      <c r="I64" s="8" t="str">
        <f t="shared" si="4"/>
        <v>JDT→ML</v>
      </c>
      <c r="J64" s="10" t="str">
        <f>IFERROR(__xludf.DUMMYFUNCTION("TEXT(VALUE(REGEXEXTRACT(B64,""^[+-]?[0-9]*\.?[0-9]+""))*100,""0.00"")&amp;"" +/- ""&amp;TEXT(VALUE(REGEXEXTRACT(B64,""[0-9]*\.?[0-9]+$""))*100,""0.00"")"),"66.10 +/- 0.48")</f>
        <v>66.10 +/- 0.48</v>
      </c>
      <c r="K64" s="9" t="str">
        <f>IFERROR(__xludf.DUMMYFUNCTION("TEXT(VALUE(REGEXEXTRACT(C64,""^[+-]?[0-9]*\.?[0-9]+""))*100,""0.00"")&amp;"" +/- ""&amp;TEXT(VALUE(REGEXEXTRACT(C64,""[0-9]*\.?[0-9]+$""))*100,""0.00"")"),"63.68 +/- 0.00")</f>
        <v>63.68 +/- 0.00</v>
      </c>
      <c r="L64" s="9" t="str">
        <f>IFERROR(__xludf.DUMMYFUNCTION("TEXT(VALUE(REGEXEXTRACT(D64,""^[+-]?[0-9]*\.?[0-9]+""))*100,""0.00"")&amp;"" +/- ""&amp;TEXT(VALUE(REGEXEXTRACT(D64,""[0-9]*\.?[0-9]+$""))*100,""0.00"")"),"66.39 +/- 0.00")</f>
        <v>66.39 +/- 0.00</v>
      </c>
      <c r="M64" s="9" t="str">
        <f>IFERROR(__xludf.DUMMYFUNCTION("TEXT(VALUE(REGEXEXTRACT(E64,""^[+-]?[0-9]*\.?[0-9]+""))*100,""0.00"")&amp;"" +/- ""&amp;TEXT(VALUE(REGEXEXTRACT(E64,""[0-9]*\.?[0-9]+$""))*100,""0.00"")"),"64.85 +/- 1.14")</f>
        <v>64.85 +/- 1.14</v>
      </c>
      <c r="N64" s="9" t="str">
        <f>IFERROR(__xludf.DUMMYFUNCTION("TEXT(VALUE(REGEXEXTRACT(F64,""^[+-]?[0-9]*\.?[0-9]+""))*100,""0.00"")&amp;"" +/- ""&amp;TEXT(VALUE(REGEXEXTRACT(F64,""[0-9]*\.?[0-9]+$""))*100,""0.00"")"),"64.39 +/- 0.46")</f>
        <v>64.39 +/- 0.46</v>
      </c>
      <c r="O64" s="9" t="str">
        <f>IFERROR(__xludf.DUMMYFUNCTION("TEXT(VALUE(REGEXEXTRACT(G64,""^[+-]?[0-9]*\.?[0-9]+""))*100,""0.00"")&amp;"" +/- ""&amp;TEXT(VALUE(REGEXEXTRACT(G64,""[0-9]*\.?[0-9]+$""))*100,""0.00"")"),"65.23 +/- 0.93")</f>
        <v>65.23 +/- 0.93</v>
      </c>
      <c r="P64" s="9" t="str">
        <f>IFERROR(__xludf.DUMMYFUNCTION("TEXT(VALUE(REGEXEXTRACT(H64,""^[+-]?[0-9]*\.?[0-9]+""))*100,""0.00"")&amp;"" +/- ""&amp;TEXT(VALUE(REGEXEXTRACT(H64,""[0-9]*\.?[0-9]+$""))*100,""0.00"")"),"56.11 +/- 0.57")</f>
        <v>56.11 +/- 0.57</v>
      </c>
    </row>
    <row r="65">
      <c r="A65" s="6" t="s">
        <v>1097</v>
      </c>
      <c r="B65" s="16" t="s">
        <v>2392</v>
      </c>
      <c r="C65" s="16" t="s">
        <v>2470</v>
      </c>
      <c r="D65" s="16" t="s">
        <v>2471</v>
      </c>
      <c r="E65" s="16" t="s">
        <v>2473</v>
      </c>
      <c r="F65" s="16" t="s">
        <v>2475</v>
      </c>
      <c r="G65" s="16" t="s">
        <v>2477</v>
      </c>
      <c r="H65" s="16" t="s">
        <v>2479</v>
      </c>
      <c r="I65" s="8" t="str">
        <f t="shared" si="4"/>
        <v>JDT→PDE</v>
      </c>
      <c r="J65" s="10" t="str">
        <f>IFERROR(__xludf.DUMMYFUNCTION("TEXT(VALUE(REGEXEXTRACT(B65,""^[+-]?[0-9]*\.?[0-9]+""))*100,""0.00"")&amp;"" +/- ""&amp;TEXT(VALUE(REGEXEXTRACT(B65,""[0-9]*\.?[0-9]+$""))*100,""0.00"")"),"73.10 +/- 0.29")</f>
        <v>73.10 +/- 0.29</v>
      </c>
      <c r="K65" s="9" t="str">
        <f>IFERROR(__xludf.DUMMYFUNCTION("TEXT(VALUE(REGEXEXTRACT(C65,""^[+-]?[0-9]*\.?[0-9]+""))*100,""0.00"")&amp;"" +/- ""&amp;TEXT(VALUE(REGEXEXTRACT(C65,""[0-9]*\.?[0-9]+$""))*100,""0.00"")"),"68.68 +/- 0.00")</f>
        <v>68.68 +/- 0.00</v>
      </c>
      <c r="L65" s="9" t="str">
        <f>IFERROR(__xludf.DUMMYFUNCTION("TEXT(VALUE(REGEXEXTRACT(D65,""^[+-]?[0-9]*\.?[0-9]+""))*100,""0.00"")&amp;"" +/- ""&amp;TEXT(VALUE(REGEXEXTRACT(D65,""[0-9]*\.?[0-9]+$""))*100,""0.00"")"),"71.35 +/- 0.00")</f>
        <v>71.35 +/- 0.00</v>
      </c>
      <c r="M65" s="9" t="str">
        <f>IFERROR(__xludf.DUMMYFUNCTION("TEXT(VALUE(REGEXEXTRACT(E65,""^[+-]?[0-9]*\.?[0-9]+""))*100,""0.00"")&amp;"" +/- ""&amp;TEXT(VALUE(REGEXEXTRACT(E65,""[0-9]*\.?[0-9]+$""))*100,""0.00"")"),"69.20 +/- 0.68")</f>
        <v>69.20 +/- 0.68</v>
      </c>
      <c r="N65" s="9" t="str">
        <f>IFERROR(__xludf.DUMMYFUNCTION("TEXT(VALUE(REGEXEXTRACT(F65,""^[+-]?[0-9]*\.?[0-9]+""))*100,""0.00"")&amp;"" +/- ""&amp;TEXT(VALUE(REGEXEXTRACT(F65,""[0-9]*\.?[0-9]+$""))*100,""0.00"")"),"68.76 +/- 0.36")</f>
        <v>68.76 +/- 0.36</v>
      </c>
      <c r="O65" s="9" t="str">
        <f>IFERROR(__xludf.DUMMYFUNCTION("TEXT(VALUE(REGEXEXTRACT(G65,""^[+-]?[0-9]*\.?[0-9]+""))*100,""0.00"")&amp;"" +/- ""&amp;TEXT(VALUE(REGEXEXTRACT(G65,""[0-9]*\.?[0-9]+$""))*100,""0.00"")"),"70.35 +/- 0.71")</f>
        <v>70.35 +/- 0.71</v>
      </c>
      <c r="P65" s="9" t="str">
        <f>IFERROR(__xludf.DUMMYFUNCTION("TEXT(VALUE(REGEXEXTRACT(H65,""^[+-]?[0-9]*\.?[0-9]+""))*100,""0.00"")&amp;"" +/- ""&amp;TEXT(VALUE(REGEXEXTRACT(H65,""[0-9]*\.?[0-9]+$""))*100,""0.00"")"),"60.94 +/- 0.42")</f>
        <v>60.94 +/- 0.42</v>
      </c>
    </row>
    <row r="66">
      <c r="A66" s="6" t="s">
        <v>1105</v>
      </c>
      <c r="B66" s="16" t="s">
        <v>2590</v>
      </c>
      <c r="C66" s="16" t="s">
        <v>2591</v>
      </c>
      <c r="D66" s="16" t="s">
        <v>2592</v>
      </c>
      <c r="E66" s="16" t="s">
        <v>2593</v>
      </c>
      <c r="F66" s="16" t="s">
        <v>2594</v>
      </c>
      <c r="G66" s="16" t="s">
        <v>2595</v>
      </c>
      <c r="H66" s="16" t="s">
        <v>2596</v>
      </c>
      <c r="I66" s="8" t="str">
        <f t="shared" si="4"/>
        <v>LC→EQ</v>
      </c>
      <c r="J66" s="9" t="str">
        <f>IFERROR(__xludf.DUMMYFUNCTION("TEXT(VALUE(REGEXEXTRACT(B66,""^[+-]?[0-9]*\.?[0-9]+""))*100,""0.00"")&amp;"" +/- ""&amp;TEXT(VALUE(REGEXEXTRACT(B66,""[0-9]*\.?[0-9]+$""))*100,""0.00"")"),"67.18 +/- 0.76")</f>
        <v>67.18 +/- 0.76</v>
      </c>
      <c r="K66" s="9" t="str">
        <f>IFERROR(__xludf.DUMMYFUNCTION("TEXT(VALUE(REGEXEXTRACT(C66,""^[+-]?[0-9]*\.?[0-9]+""))*100,""0.00"")&amp;"" +/- ""&amp;TEXT(VALUE(REGEXEXTRACT(C66,""[0-9]*\.?[0-9]+$""))*100,""0.00"")"),"59.30 +/- 0.00")</f>
        <v>59.30 +/- 0.00</v>
      </c>
      <c r="L66" s="10" t="str">
        <f>IFERROR(__xludf.DUMMYFUNCTION("TEXT(VALUE(REGEXEXTRACT(D66,""^[+-]?[0-9]*\.?[0-9]+""))*100,""0.00"")&amp;"" +/- ""&amp;TEXT(VALUE(REGEXEXTRACT(D66,""[0-9]*\.?[0-9]+$""))*100,""0.00"")"),"69.57 +/- 0.00")</f>
        <v>69.57 +/- 0.00</v>
      </c>
      <c r="M66" s="9" t="str">
        <f>IFERROR(__xludf.DUMMYFUNCTION("TEXT(VALUE(REGEXEXTRACT(E66,""^[+-]?[0-9]*\.?[0-9]+""))*100,""0.00"")&amp;"" +/- ""&amp;TEXT(VALUE(REGEXEXTRACT(E66,""[0-9]*\.?[0-9]+$""))*100,""0.00"")"),"64.76 +/- 1.05")</f>
        <v>64.76 +/- 1.05</v>
      </c>
      <c r="N66" s="9" t="str">
        <f>IFERROR(__xludf.DUMMYFUNCTION("TEXT(VALUE(REGEXEXTRACT(F66,""^[+-]?[0-9]*\.?[0-9]+""))*100,""0.00"")&amp;"" +/- ""&amp;TEXT(VALUE(REGEXEXTRACT(F66,""[0-9]*\.?[0-9]+$""))*100,""0.00"")"),"62.54 +/- 0.57")</f>
        <v>62.54 +/- 0.57</v>
      </c>
      <c r="O66" s="9" t="str">
        <f>IFERROR(__xludf.DUMMYFUNCTION("TEXT(VALUE(REGEXEXTRACT(G66,""^[+-]?[0-9]*\.?[0-9]+""))*100,""0.00"")&amp;"" +/- ""&amp;TEXT(VALUE(REGEXEXTRACT(G66,""[0-9]*\.?[0-9]+$""))*100,""0.00"")"),"63.40 +/- 0.94")</f>
        <v>63.40 +/- 0.94</v>
      </c>
      <c r="P66" s="9" t="str">
        <f>IFERROR(__xludf.DUMMYFUNCTION("TEXT(VALUE(REGEXEXTRACT(H66,""^[+-]?[0-9]*\.?[0-9]+""))*100,""0.00"")&amp;"" +/- ""&amp;TEXT(VALUE(REGEXEXTRACT(H66,""[0-9]*\.?[0-9]+$""))*100,""0.00"")"),"58.58 +/- 1.01")</f>
        <v>58.58 +/- 1.01</v>
      </c>
    </row>
    <row r="67">
      <c r="A67" s="6" t="s">
        <v>1115</v>
      </c>
      <c r="B67" s="16" t="s">
        <v>2600</v>
      </c>
      <c r="C67" s="16" t="s">
        <v>2602</v>
      </c>
      <c r="D67" s="16" t="s">
        <v>2604</v>
      </c>
      <c r="E67" s="16" t="s">
        <v>2607</v>
      </c>
      <c r="F67" s="16" t="s">
        <v>2608</v>
      </c>
      <c r="G67" s="16" t="s">
        <v>2609</v>
      </c>
      <c r="H67" s="16" t="s">
        <v>2611</v>
      </c>
      <c r="I67" s="8" t="str">
        <f t="shared" si="4"/>
        <v>LC→JDT</v>
      </c>
      <c r="J67" s="10" t="str">
        <f>IFERROR(__xludf.DUMMYFUNCTION("TEXT(VALUE(REGEXEXTRACT(B67,""^[+-]?[0-9]*\.?[0-9]+""))*100,""0.00"")&amp;"" +/- ""&amp;TEXT(VALUE(REGEXEXTRACT(B67,""[0-9]*\.?[0-9]+$""))*100,""0.00"")"),"77.91 +/- 0.25")</f>
        <v>77.91 +/- 0.25</v>
      </c>
      <c r="K67" s="9" t="str">
        <f>IFERROR(__xludf.DUMMYFUNCTION("TEXT(VALUE(REGEXEXTRACT(C67,""^[+-]?[0-9]*\.?[0-9]+""))*100,""0.00"")&amp;"" +/- ""&amp;TEXT(VALUE(REGEXEXTRACT(C67,""[0-9]*\.?[0-9]+$""))*100,""0.00"")"),"71.24 +/- 0.00")</f>
        <v>71.24 +/- 0.00</v>
      </c>
      <c r="L67" s="9" t="str">
        <f>IFERROR(__xludf.DUMMYFUNCTION("TEXT(VALUE(REGEXEXTRACT(D67,""^[+-]?[0-9]*\.?[0-9]+""))*100,""0.00"")&amp;"" +/- ""&amp;TEXT(VALUE(REGEXEXTRACT(D67,""[0-9]*\.?[0-9]+$""))*100,""0.00"")"),"42.75 +/- 0.00")</f>
        <v>42.75 +/- 0.00</v>
      </c>
      <c r="M67" s="9" t="str">
        <f>IFERROR(__xludf.DUMMYFUNCTION("TEXT(VALUE(REGEXEXTRACT(E67,""^[+-]?[0-9]*\.?[0-9]+""))*100,""0.00"")&amp;"" +/- ""&amp;TEXT(VALUE(REGEXEXTRACT(E67,""[0-9]*\.?[0-9]+$""))*100,""0.00"")"),"74.62 +/- 0.34")</f>
        <v>74.62 +/- 0.34</v>
      </c>
      <c r="N67" s="9" t="str">
        <f>IFERROR(__xludf.DUMMYFUNCTION("TEXT(VALUE(REGEXEXTRACT(F67,""^[+-]?[0-9]*\.?[0-9]+""))*100,""0.00"")&amp;"" +/- ""&amp;TEXT(VALUE(REGEXEXTRACT(F67,""[0-9]*\.?[0-9]+$""))*100,""0.00"")"),"73.03 +/- 0.35")</f>
        <v>73.03 +/- 0.35</v>
      </c>
      <c r="O67" s="9" t="str">
        <f>IFERROR(__xludf.DUMMYFUNCTION("TEXT(VALUE(REGEXEXTRACT(G67,""^[+-]?[0-9]*\.?[0-9]+""))*100,""0.00"")&amp;"" +/- ""&amp;TEXT(VALUE(REGEXEXTRACT(G67,""[0-9]*\.?[0-9]+$""))*100,""0.00"")"),"74.32 +/- 0.48")</f>
        <v>74.32 +/- 0.48</v>
      </c>
      <c r="P67" s="9" t="str">
        <f>IFERROR(__xludf.DUMMYFUNCTION("TEXT(VALUE(REGEXEXTRACT(H67,""^[+-]?[0-9]*\.?[0-9]+""))*100,""0.00"")&amp;"" +/- ""&amp;TEXT(VALUE(REGEXEXTRACT(H67,""[0-9]*\.?[0-9]+$""))*100,""0.00"")"),"68.28 +/- 0.46")</f>
        <v>68.28 +/- 0.46</v>
      </c>
    </row>
    <row r="68">
      <c r="A68" s="6" t="s">
        <v>1125</v>
      </c>
      <c r="B68" s="16" t="s">
        <v>2646</v>
      </c>
      <c r="C68" s="16" t="s">
        <v>2647</v>
      </c>
      <c r="D68" s="16" t="s">
        <v>2648</v>
      </c>
      <c r="E68" s="16" t="s">
        <v>2649</v>
      </c>
      <c r="F68" s="16" t="s">
        <v>2650</v>
      </c>
      <c r="G68" s="16" t="s">
        <v>2651</v>
      </c>
      <c r="H68" s="16" t="s">
        <v>2652</v>
      </c>
      <c r="I68" s="8" t="str">
        <f t="shared" si="4"/>
        <v>LC→ML</v>
      </c>
      <c r="J68" s="9" t="str">
        <f>IFERROR(__xludf.DUMMYFUNCTION("TEXT(VALUE(REGEXEXTRACT(B68,""^[+-]?[0-9]*\.?[0-9]+""))*100,""0.00"")&amp;"" +/- ""&amp;TEXT(VALUE(REGEXEXTRACT(B68,""[0-9]*\.?[0-9]+$""))*100,""0.00"")"),"56.72 +/- 0.42")</f>
        <v>56.72 +/- 0.42</v>
      </c>
      <c r="K68" s="9" t="str">
        <f>IFERROR(__xludf.DUMMYFUNCTION("TEXT(VALUE(REGEXEXTRACT(C68,""^[+-]?[0-9]*\.?[0-9]+""))*100,""0.00"")&amp;"" +/- ""&amp;TEXT(VALUE(REGEXEXTRACT(C68,""[0-9]*\.?[0-9]+$""))*100,""0.00"")"),"56.34 +/- 0.00")</f>
        <v>56.34 +/- 0.00</v>
      </c>
      <c r="L68" s="10" t="str">
        <f>IFERROR(__xludf.DUMMYFUNCTION("TEXT(VALUE(REGEXEXTRACT(D68,""^[+-]?[0-9]*\.?[0-9]+""))*100,""0.00"")&amp;"" +/- ""&amp;TEXT(VALUE(REGEXEXTRACT(D68,""[0-9]*\.?[0-9]+$""))*100,""0.00"")"),"59.51 +/- 0.00")</f>
        <v>59.51 +/- 0.00</v>
      </c>
      <c r="M68" s="9" t="str">
        <f>IFERROR(__xludf.DUMMYFUNCTION("TEXT(VALUE(REGEXEXTRACT(E68,""^[+-]?[0-9]*\.?[0-9]+""))*100,""0.00"")&amp;"" +/- ""&amp;TEXT(VALUE(REGEXEXTRACT(E68,""[0-9]*\.?[0-9]+$""))*100,""0.00"")"),"55.35 +/- 0.84")</f>
        <v>55.35 +/- 0.84</v>
      </c>
      <c r="N68" s="9" t="str">
        <f>IFERROR(__xludf.DUMMYFUNCTION("TEXT(VALUE(REGEXEXTRACT(F68,""^[+-]?[0-9]*\.?[0-9]+""))*100,""0.00"")&amp;"" +/- ""&amp;TEXT(VALUE(REGEXEXTRACT(F68,""[0-9]*\.?[0-9]+$""))*100,""0.00"")"),"53.88 +/- 0.62")</f>
        <v>53.88 +/- 0.62</v>
      </c>
      <c r="O68" s="9" t="str">
        <f>IFERROR(__xludf.DUMMYFUNCTION("TEXT(VALUE(REGEXEXTRACT(G68,""^[+-]?[0-9]*\.?[0-9]+""))*100,""0.00"")&amp;"" +/- ""&amp;TEXT(VALUE(REGEXEXTRACT(G68,""[0-9]*\.?[0-9]+$""))*100,""0.00"")"),"55.92 +/- 0.91")</f>
        <v>55.92 +/- 0.91</v>
      </c>
      <c r="P68" s="9" t="str">
        <f>IFERROR(__xludf.DUMMYFUNCTION("TEXT(VALUE(REGEXEXTRACT(H68,""^[+-]?[0-9]*\.?[0-9]+""))*100,""0.00"")&amp;"" +/- ""&amp;TEXT(VALUE(REGEXEXTRACT(H68,""[0-9]*\.?[0-9]+$""))*100,""0.00"")"),"56.54 +/- 0.44")</f>
        <v>56.54 +/- 0.44</v>
      </c>
    </row>
    <row r="69">
      <c r="A69" s="6" t="s">
        <v>1136</v>
      </c>
      <c r="B69" s="16" t="s">
        <v>2660</v>
      </c>
      <c r="C69" s="16" t="s">
        <v>2661</v>
      </c>
      <c r="D69" s="16" t="s">
        <v>2662</v>
      </c>
      <c r="E69" s="16" t="s">
        <v>2663</v>
      </c>
      <c r="F69" s="16" t="s">
        <v>2664</v>
      </c>
      <c r="G69" s="16" t="s">
        <v>2665</v>
      </c>
      <c r="H69" s="16" t="s">
        <v>2666</v>
      </c>
      <c r="I69" s="8" t="str">
        <f t="shared" si="4"/>
        <v>LC→PDE</v>
      </c>
      <c r="J69" s="9" t="str">
        <f>IFERROR(__xludf.DUMMYFUNCTION("TEXT(VALUE(REGEXEXTRACT(B69,""^[+-]?[0-9]*\.?[0-9]+""))*100,""0.00"")&amp;"" +/- ""&amp;TEXT(VALUE(REGEXEXTRACT(B69,""[0-9]*\.?[0-9]+$""))*100,""0.00"")"),"67.05 +/- 0.43")</f>
        <v>67.05 +/- 0.43</v>
      </c>
      <c r="K69" s="9" t="str">
        <f>IFERROR(__xludf.DUMMYFUNCTION("TEXT(VALUE(REGEXEXTRACT(C69,""^[+-]?[0-9]*\.?[0-9]+""))*100,""0.00"")&amp;"" +/- ""&amp;TEXT(VALUE(REGEXEXTRACT(C69,""[0-9]*\.?[0-9]+$""))*100,""0.00"")"),"63.12 +/- 0.00")</f>
        <v>63.12 +/- 0.00</v>
      </c>
      <c r="L69" s="10" t="str">
        <f>IFERROR(__xludf.DUMMYFUNCTION("TEXT(VALUE(REGEXEXTRACT(D69,""^[+-]?[0-9]*\.?[0-9]+""))*100,""0.00"")&amp;"" +/- ""&amp;TEXT(VALUE(REGEXEXTRACT(D69,""[0-9]*\.?[0-9]+$""))*100,""0.00"")"),"72.09 +/- 0.00")</f>
        <v>72.09 +/- 0.00</v>
      </c>
      <c r="M69" s="9" t="str">
        <f>IFERROR(__xludf.DUMMYFUNCTION("TEXT(VALUE(REGEXEXTRACT(E69,""^[+-]?[0-9]*\.?[0-9]+""))*100,""0.00"")&amp;"" +/- ""&amp;TEXT(VALUE(REGEXEXTRACT(E69,""[0-9]*\.?[0-9]+$""))*100,""0.00"")"),"65.30 +/- 0.73")</f>
        <v>65.30 +/- 0.73</v>
      </c>
      <c r="N69" s="9" t="str">
        <f>IFERROR(__xludf.DUMMYFUNCTION("TEXT(VALUE(REGEXEXTRACT(F69,""^[+-]?[0-9]*\.?[0-9]+""))*100,""0.00"")&amp;"" +/- ""&amp;TEXT(VALUE(REGEXEXTRACT(F69,""[0-9]*\.?[0-9]+$""))*100,""0.00"")"),"61.72 +/- 0.39")</f>
        <v>61.72 +/- 0.39</v>
      </c>
      <c r="O69" s="9" t="str">
        <f>IFERROR(__xludf.DUMMYFUNCTION("TEXT(VALUE(REGEXEXTRACT(G69,""^[+-]?[0-9]*\.?[0-9]+""))*100,""0.00"")&amp;"" +/- ""&amp;TEXT(VALUE(REGEXEXTRACT(G69,""[0-9]*\.?[0-9]+$""))*100,""0.00"")"),"64.35 +/- 0.57")</f>
        <v>64.35 +/- 0.57</v>
      </c>
      <c r="P69" s="9" t="str">
        <f>IFERROR(__xludf.DUMMYFUNCTION("TEXT(VALUE(REGEXEXTRACT(H69,""^[+-]?[0-9]*\.?[0-9]+""))*100,""0.00"")&amp;"" +/- ""&amp;TEXT(VALUE(REGEXEXTRACT(H69,""[0-9]*\.?[0-9]+$""))*100,""0.00"")"),"62.91 +/- 0.40")</f>
        <v>62.91 +/- 0.40</v>
      </c>
    </row>
    <row r="70">
      <c r="A70" s="6" t="s">
        <v>1235</v>
      </c>
      <c r="B70" s="16" t="s">
        <v>2667</v>
      </c>
      <c r="C70" s="16" t="s">
        <v>2668</v>
      </c>
      <c r="D70" s="16" t="s">
        <v>2669</v>
      </c>
      <c r="E70" s="16" t="s">
        <v>2670</v>
      </c>
      <c r="F70" s="16" t="s">
        <v>2671</v>
      </c>
      <c r="G70" s="16" t="s">
        <v>2672</v>
      </c>
      <c r="H70" s="16" t="s">
        <v>2673</v>
      </c>
      <c r="I70" s="8" t="str">
        <f t="shared" si="4"/>
        <v>ML→EQ</v>
      </c>
      <c r="J70" s="10" t="str">
        <f>IFERROR(__xludf.DUMMYFUNCTION("TEXT(VALUE(REGEXEXTRACT(B70,""^[+-]?[0-9]*\.?[0-9]+""))*100,""0.00"")&amp;"" +/- ""&amp;TEXT(VALUE(REGEXEXTRACT(B70,""[0-9]*\.?[0-9]+$""))*100,""0.00"")"),"54.34 +/- 0.59")</f>
        <v>54.34 +/- 0.59</v>
      </c>
      <c r="K70" s="9" t="str">
        <f>IFERROR(__xludf.DUMMYFUNCTION("TEXT(VALUE(REGEXEXTRACT(C70,""^[+-]?[0-9]*\.?[0-9]+""))*100,""0.00"")&amp;"" +/- ""&amp;TEXT(VALUE(REGEXEXTRACT(C70,""[0-9]*\.?[0-9]+$""))*100,""0.00"")"),"46.56 +/- 0.00")</f>
        <v>46.56 +/- 0.00</v>
      </c>
      <c r="L70" s="9" t="str">
        <f>IFERROR(__xludf.DUMMYFUNCTION("TEXT(VALUE(REGEXEXTRACT(D70,""^[+-]?[0-9]*\.?[0-9]+""))*100,""0.00"")&amp;"" +/- ""&amp;TEXT(VALUE(REGEXEXTRACT(D70,""[0-9]*\.?[0-9]+$""))*100,""0.00"")"),"41.17 +/- 0.00")</f>
        <v>41.17 +/- 0.00</v>
      </c>
      <c r="M70" s="9" t="str">
        <f>IFERROR(__xludf.DUMMYFUNCTION("TEXT(VALUE(REGEXEXTRACT(E70,""^[+-]?[0-9]*\.?[0-9]+""))*100,""0.00"")&amp;"" +/- ""&amp;TEXT(VALUE(REGEXEXTRACT(E70,""[0-9]*\.?[0-9]+$""))*100,""0.00"")"),"53.20 +/- 1.14")</f>
        <v>53.20 +/- 1.14</v>
      </c>
      <c r="N70" s="9" t="str">
        <f>IFERROR(__xludf.DUMMYFUNCTION("TEXT(VALUE(REGEXEXTRACT(F70,""^[+-]?[0-9]*\.?[0-9]+""))*100,""0.00"")&amp;"" +/- ""&amp;TEXT(VALUE(REGEXEXTRACT(F70,""[0-9]*\.?[0-9]+$""))*100,""0.00"")"),"48.30 +/- 0.47")</f>
        <v>48.30 +/- 0.47</v>
      </c>
      <c r="O70" s="9" t="str">
        <f>IFERROR(__xludf.DUMMYFUNCTION("TEXT(VALUE(REGEXEXTRACT(G70,""^[+-]?[0-9]*\.?[0-9]+""))*100,""0.00"")&amp;"" +/- ""&amp;TEXT(VALUE(REGEXEXTRACT(G70,""[0-9]*\.?[0-9]+$""))*100,""0.00"")"),"48.84 +/- 0.88")</f>
        <v>48.84 +/- 0.88</v>
      </c>
      <c r="P70" s="9" t="str">
        <f>IFERROR(__xludf.DUMMYFUNCTION("TEXT(VALUE(REGEXEXTRACT(H70,""^[+-]?[0-9]*\.?[0-9]+""))*100,""0.00"")&amp;"" +/- ""&amp;TEXT(VALUE(REGEXEXTRACT(H70,""[0-9]*\.?[0-9]+$""))*100,""0.00"")"),"51.79 +/- 0.39")</f>
        <v>51.79 +/- 0.39</v>
      </c>
    </row>
    <row r="71">
      <c r="A71" s="6" t="s">
        <v>1243</v>
      </c>
      <c r="B71" s="16" t="s">
        <v>2681</v>
      </c>
      <c r="C71" s="16" t="s">
        <v>2682</v>
      </c>
      <c r="D71" s="16" t="s">
        <v>2683</v>
      </c>
      <c r="E71" s="16" t="s">
        <v>2684</v>
      </c>
      <c r="F71" s="16" t="s">
        <v>2685</v>
      </c>
      <c r="G71" s="16" t="s">
        <v>2686</v>
      </c>
      <c r="H71" s="16" t="s">
        <v>2687</v>
      </c>
      <c r="I71" s="8" t="str">
        <f t="shared" si="4"/>
        <v>ML→JDT</v>
      </c>
      <c r="J71" s="9" t="str">
        <f>IFERROR(__xludf.DUMMYFUNCTION("TEXT(VALUE(REGEXEXTRACT(B71,""^[+-]?[0-9]*\.?[0-9]+""))*100,""0.00"")&amp;"" +/- ""&amp;TEXT(VALUE(REGEXEXTRACT(B71,""[0-9]*\.?[0-9]+$""))*100,""0.00"")"),"68.41 +/- 0.49")</f>
        <v>68.41 +/- 0.49</v>
      </c>
      <c r="K71" s="9" t="str">
        <f>IFERROR(__xludf.DUMMYFUNCTION("TEXT(VALUE(REGEXEXTRACT(C71,""^[+-]?[0-9]*\.?[0-9]+""))*100,""0.00"")&amp;"" +/- ""&amp;TEXT(VALUE(REGEXEXTRACT(C71,""[0-9]*\.?[0-9]+$""))*100,""0.00"")"),"58.64 +/- 0.00")</f>
        <v>58.64 +/- 0.00</v>
      </c>
      <c r="L71" s="10" t="str">
        <f>IFERROR(__xludf.DUMMYFUNCTION("TEXT(VALUE(REGEXEXTRACT(D71,""^[+-]?[0-9]*\.?[0-9]+""))*100,""0.00"")&amp;"" +/- ""&amp;TEXT(VALUE(REGEXEXTRACT(D71,""[0-9]*\.?[0-9]+$""))*100,""0.00"")"),"80.36 +/- 0.00")</f>
        <v>80.36 +/- 0.00</v>
      </c>
      <c r="M71" s="9" t="str">
        <f>IFERROR(__xludf.DUMMYFUNCTION("TEXT(VALUE(REGEXEXTRACT(E71,""^[+-]?[0-9]*\.?[0-9]+""))*100,""0.00"")&amp;"" +/- ""&amp;TEXT(VALUE(REGEXEXTRACT(E71,""[0-9]*\.?[0-9]+$""))*100,""0.00"")"),"64.96 +/- 0.77")</f>
        <v>64.96 +/- 0.77</v>
      </c>
      <c r="N71" s="9" t="str">
        <f>IFERROR(__xludf.DUMMYFUNCTION("TEXT(VALUE(REGEXEXTRACT(F71,""^[+-]?[0-9]*\.?[0-9]+""))*100,""0.00"")&amp;"" +/- ""&amp;TEXT(VALUE(REGEXEXTRACT(F71,""[0-9]*\.?[0-9]+$""))*100,""0.00"")"),"60.25 +/- 0.46")</f>
        <v>60.25 +/- 0.46</v>
      </c>
      <c r="O71" s="9" t="str">
        <f>IFERROR(__xludf.DUMMYFUNCTION("TEXT(VALUE(REGEXEXTRACT(G71,""^[+-]?[0-9]*\.?[0-9]+""))*100,""0.00"")&amp;"" +/- ""&amp;TEXT(VALUE(REGEXEXTRACT(G71,""[0-9]*\.?[0-9]+$""))*100,""0.00"")"),"62.35 +/- 0.75")</f>
        <v>62.35 +/- 0.75</v>
      </c>
      <c r="P71" s="9" t="str">
        <f>IFERROR(__xludf.DUMMYFUNCTION("TEXT(VALUE(REGEXEXTRACT(H71,""^[+-]?[0-9]*\.?[0-9]+""))*100,""0.00"")&amp;"" +/- ""&amp;TEXT(VALUE(REGEXEXTRACT(H71,""[0-9]*\.?[0-9]+$""))*100,""0.00"")"),"55.23 +/- 0.45")</f>
        <v>55.23 +/- 0.45</v>
      </c>
    </row>
    <row r="72">
      <c r="A72" s="6" t="s">
        <v>1258</v>
      </c>
      <c r="B72" s="16" t="s">
        <v>2688</v>
      </c>
      <c r="C72" s="16" t="s">
        <v>2689</v>
      </c>
      <c r="D72" s="16" t="s">
        <v>2690</v>
      </c>
      <c r="E72" s="16" t="s">
        <v>2691</v>
      </c>
      <c r="F72" s="16" t="s">
        <v>2692</v>
      </c>
      <c r="G72" s="16" t="s">
        <v>2693</v>
      </c>
      <c r="H72" s="16" t="s">
        <v>2694</v>
      </c>
      <c r="I72" s="8" t="str">
        <f t="shared" si="4"/>
        <v>ML→LC</v>
      </c>
      <c r="J72" s="10" t="str">
        <f>IFERROR(__xludf.DUMMYFUNCTION("TEXT(VALUE(REGEXEXTRACT(B72,""^[+-]?[0-9]*\.?[0-9]+""))*100,""0.00"")&amp;"" +/- ""&amp;TEXT(VALUE(REGEXEXTRACT(B72,""[0-9]*\.?[0-9]+$""))*100,""0.00"")"),"66.85 +/- 0.40")</f>
        <v>66.85 +/- 0.40</v>
      </c>
      <c r="K72" s="9" t="str">
        <f>IFERROR(__xludf.DUMMYFUNCTION("TEXT(VALUE(REGEXEXTRACT(C72,""^[+-]?[0-9]*\.?[0-9]+""))*100,""0.00"")&amp;"" +/- ""&amp;TEXT(VALUE(REGEXEXTRACT(C72,""[0-9]*\.?[0-9]+$""))*100,""0.00"")"),"60.62 +/- 0.00")</f>
        <v>60.62 +/- 0.00</v>
      </c>
      <c r="L72" s="9" t="str">
        <f>IFERROR(__xludf.DUMMYFUNCTION("TEXT(VALUE(REGEXEXTRACT(D72,""^[+-]?[0-9]*\.?[0-9]+""))*100,""0.00"")&amp;"" +/- ""&amp;TEXT(VALUE(REGEXEXTRACT(D72,""[0-9]*\.?[0-9]+$""))*100,""0.00"")"),"62.20 +/- 0.00")</f>
        <v>62.20 +/- 0.00</v>
      </c>
      <c r="M72" s="9" t="str">
        <f>IFERROR(__xludf.DUMMYFUNCTION("TEXT(VALUE(REGEXEXTRACT(E72,""^[+-]?[0-9]*\.?[0-9]+""))*100,""0.00"")&amp;"" +/- ""&amp;TEXT(VALUE(REGEXEXTRACT(E72,""[0-9]*\.?[0-9]+$""))*100,""0.00"")"),"66.10 +/- 0.78")</f>
        <v>66.10 +/- 0.78</v>
      </c>
      <c r="N72" s="9" t="str">
        <f>IFERROR(__xludf.DUMMYFUNCTION("TEXT(VALUE(REGEXEXTRACT(F72,""^[+-]?[0-9]*\.?[0-9]+""))*100,""0.00"")&amp;"" +/- ""&amp;TEXT(VALUE(REGEXEXTRACT(F72,""[0-9]*\.?[0-9]+$""))*100,""0.00"")"),"63.41 +/- 0.48")</f>
        <v>63.41 +/- 0.48</v>
      </c>
      <c r="O72" s="9" t="str">
        <f>IFERROR(__xludf.DUMMYFUNCTION("TEXT(VALUE(REGEXEXTRACT(G72,""^[+-]?[0-9]*\.?[0-9]+""))*100,""0.00"")&amp;"" +/- ""&amp;TEXT(VALUE(REGEXEXTRACT(G72,""[0-9]*\.?[0-9]+$""))*100,""0.00"")"),"62.72 +/- 0.94")</f>
        <v>62.72 +/- 0.94</v>
      </c>
      <c r="P72" s="9" t="str">
        <f>IFERROR(__xludf.DUMMYFUNCTION("TEXT(VALUE(REGEXEXTRACT(H72,""^[+-]?[0-9]*\.?[0-9]+""))*100,""0.00"")&amp;"" +/- ""&amp;TEXT(VALUE(REGEXEXTRACT(H72,""[0-9]*\.?[0-9]+$""))*100,""0.00"")"),"54.31 +/- 0.58")</f>
        <v>54.31 +/- 0.58</v>
      </c>
    </row>
    <row r="73">
      <c r="A73" s="6" t="s">
        <v>1273</v>
      </c>
      <c r="B73" s="16" t="s">
        <v>2709</v>
      </c>
      <c r="C73" s="16" t="s">
        <v>2710</v>
      </c>
      <c r="D73" s="16" t="s">
        <v>2711</v>
      </c>
      <c r="E73" s="16" t="s">
        <v>2712</v>
      </c>
      <c r="F73" s="16" t="s">
        <v>2713</v>
      </c>
      <c r="G73" s="16" t="s">
        <v>2714</v>
      </c>
      <c r="H73" s="16" t="s">
        <v>2715</v>
      </c>
      <c r="I73" s="8" t="str">
        <f t="shared" si="4"/>
        <v>ML→PDE</v>
      </c>
      <c r="J73" s="9" t="str">
        <f>IFERROR(__xludf.DUMMYFUNCTION("TEXT(VALUE(REGEXEXTRACT(B73,""^[+-]?[0-9]*\.?[0-9]+""))*100,""0.00"")&amp;"" +/- ""&amp;TEXT(VALUE(REGEXEXTRACT(B73,""[0-9]*\.?[0-9]+$""))*100,""0.00"")"),"62.97 +/- 0.27")</f>
        <v>62.97 +/- 0.27</v>
      </c>
      <c r="K73" s="9" t="str">
        <f>IFERROR(__xludf.DUMMYFUNCTION("TEXT(VALUE(REGEXEXTRACT(C73,""^[+-]?[0-9]*\.?[0-9]+""))*100,""0.00"")&amp;"" +/- ""&amp;TEXT(VALUE(REGEXEXTRACT(C73,""[0-9]*\.?[0-9]+$""))*100,""0.00"")"),"58.40 +/- 0.00")</f>
        <v>58.40 +/- 0.00</v>
      </c>
      <c r="L73" s="10" t="str">
        <f>IFERROR(__xludf.DUMMYFUNCTION("TEXT(VALUE(REGEXEXTRACT(D73,""^[+-]?[0-9]*\.?[0-9]+""))*100,""0.00"")&amp;"" +/- ""&amp;TEXT(VALUE(REGEXEXTRACT(D73,""[0-9]*\.?[0-9]+$""))*100,""0.00"")"),"74.21 +/- 0.00")</f>
        <v>74.21 +/- 0.00</v>
      </c>
      <c r="M73" s="9" t="str">
        <f>IFERROR(__xludf.DUMMYFUNCTION("TEXT(VALUE(REGEXEXTRACT(E73,""^[+-]?[0-9]*\.?[0-9]+""))*100,""0.00"")&amp;"" +/- ""&amp;TEXT(VALUE(REGEXEXTRACT(E73,""[0-9]*\.?[0-9]+$""))*100,""0.00"")"),"63.60 +/- 0.62")</f>
        <v>63.60 +/- 0.62</v>
      </c>
      <c r="N73" s="9" t="str">
        <f>IFERROR(__xludf.DUMMYFUNCTION("TEXT(VALUE(REGEXEXTRACT(F73,""^[+-]?[0-9]*\.?[0-9]+""))*100,""0.00"")&amp;"" +/- ""&amp;TEXT(VALUE(REGEXEXTRACT(F73,""[0-9]*\.?[0-9]+$""))*100,""0.00"")"),"60.15 +/- 0.28")</f>
        <v>60.15 +/- 0.28</v>
      </c>
      <c r="O73" s="9" t="str">
        <f>IFERROR(__xludf.DUMMYFUNCTION("TEXT(VALUE(REGEXEXTRACT(G73,""^[+-]?[0-9]*\.?[0-9]+""))*100,""0.00"")&amp;"" +/- ""&amp;TEXT(VALUE(REGEXEXTRACT(G73,""[0-9]*\.?[0-9]+$""))*100,""0.00"")"),"62.00 +/- 0.50")</f>
        <v>62.00 +/- 0.50</v>
      </c>
      <c r="P73" s="9" t="str">
        <f>IFERROR(__xludf.DUMMYFUNCTION("TEXT(VALUE(REGEXEXTRACT(H73,""^[+-]?[0-9]*\.?[0-9]+""))*100,""0.00"")&amp;"" +/- ""&amp;TEXT(VALUE(REGEXEXTRACT(H73,""[0-9]*\.?[0-9]+$""))*100,""0.00"")"),"61.36 +/- 0.24")</f>
        <v>61.36 +/- 0.24</v>
      </c>
    </row>
    <row r="74">
      <c r="A74" s="6" t="s">
        <v>1288</v>
      </c>
      <c r="B74" s="16" t="s">
        <v>2716</v>
      </c>
      <c r="C74" s="16" t="s">
        <v>2717</v>
      </c>
      <c r="D74" s="16" t="s">
        <v>2718</v>
      </c>
      <c r="E74" s="16" t="s">
        <v>2719</v>
      </c>
      <c r="F74" s="16" t="s">
        <v>2720</v>
      </c>
      <c r="G74" s="16" t="s">
        <v>2721</v>
      </c>
      <c r="H74" s="16" t="s">
        <v>2722</v>
      </c>
      <c r="I74" s="8" t="str">
        <f t="shared" si="4"/>
        <v>PDE→EQ</v>
      </c>
      <c r="J74" s="9" t="str">
        <f>IFERROR(__xludf.DUMMYFUNCTION("TEXT(VALUE(REGEXEXTRACT(B74,""^[+-]?[0-9]*\.?[0-9]+""))*100,""0.00"")&amp;"" +/- ""&amp;TEXT(VALUE(REGEXEXTRACT(B74,""[0-9]*\.?[0-9]+$""))*100,""0.00"")"),"65.59 +/- 0.97")</f>
        <v>65.59 +/- 0.97</v>
      </c>
      <c r="K74" s="9" t="str">
        <f>IFERROR(__xludf.DUMMYFUNCTION("TEXT(VALUE(REGEXEXTRACT(C74,""^[+-]?[0-9]*\.?[0-9]+""))*100,""0.00"")&amp;"" +/- ""&amp;TEXT(VALUE(REGEXEXTRACT(C74,""[0-9]*\.?[0-9]+$""))*100,""0.00"")"),"61.24 +/- 0.00")</f>
        <v>61.24 +/- 0.00</v>
      </c>
      <c r="L74" s="10" t="str">
        <f>IFERROR(__xludf.DUMMYFUNCTION("TEXT(VALUE(REGEXEXTRACT(D74,""^[+-]?[0-9]*\.?[0-9]+""))*100,""0.00"")&amp;"" +/- ""&amp;TEXT(VALUE(REGEXEXTRACT(D74,""[0-9]*\.?[0-9]+$""))*100,""0.00"")"),"68.37 +/- 0.00")</f>
        <v>68.37 +/- 0.00</v>
      </c>
      <c r="M74" s="9" t="str">
        <f>IFERROR(__xludf.DUMMYFUNCTION("TEXT(VALUE(REGEXEXTRACT(E74,""^[+-]?[0-9]*\.?[0-9]+""))*100,""0.00"")&amp;"" +/- ""&amp;TEXT(VALUE(REGEXEXTRACT(E74,""[0-9]*\.?[0-9]+$""))*100,""0.00"")"),"63.26 +/- 1.25")</f>
        <v>63.26 +/- 1.25</v>
      </c>
      <c r="N74" s="9" t="str">
        <f>IFERROR(__xludf.DUMMYFUNCTION("TEXT(VALUE(REGEXEXTRACT(F74,""^[+-]?[0-9]*\.?[0-9]+""))*100,""0.00"")&amp;"" +/- ""&amp;TEXT(VALUE(REGEXEXTRACT(F74,""[0-9]*\.?[0-9]+$""))*100,""0.00"")"),"59.18 +/- 0.92")</f>
        <v>59.18 +/- 0.92</v>
      </c>
      <c r="O74" s="9" t="str">
        <f>IFERROR(__xludf.DUMMYFUNCTION("TEXT(VALUE(REGEXEXTRACT(G74,""^[+-]?[0-9]*\.?[0-9]+""))*100,""0.00"")&amp;"" +/- ""&amp;TEXT(VALUE(REGEXEXTRACT(G74,""[0-9]*\.?[0-9]+$""))*100,""0.00"")"),"60.64 +/- 1.14")</f>
        <v>60.64 +/- 1.14</v>
      </c>
      <c r="P74" s="9" t="str">
        <f>IFERROR(__xludf.DUMMYFUNCTION("TEXT(VALUE(REGEXEXTRACT(H74,""^[+-]?[0-9]*\.?[0-9]+""))*100,""0.00"")&amp;"" +/- ""&amp;TEXT(VALUE(REGEXEXTRACT(H74,""[0-9]*\.?[0-9]+$""))*100,""0.00"")"),"56.29 +/- 0.55")</f>
        <v>56.29 +/- 0.55</v>
      </c>
    </row>
    <row r="75">
      <c r="A75" s="6" t="s">
        <v>1303</v>
      </c>
      <c r="B75" s="16" t="s">
        <v>2725</v>
      </c>
      <c r="C75" s="16" t="s">
        <v>2726</v>
      </c>
      <c r="D75" s="16" t="s">
        <v>2727</v>
      </c>
      <c r="E75" s="16" t="s">
        <v>2728</v>
      </c>
      <c r="F75" s="16" t="s">
        <v>2729</v>
      </c>
      <c r="G75" s="16" t="s">
        <v>2730</v>
      </c>
      <c r="H75" s="16" t="s">
        <v>2731</v>
      </c>
      <c r="I75" s="8" t="str">
        <f t="shared" si="4"/>
        <v>PDE→JDT</v>
      </c>
      <c r="J75" s="9" t="str">
        <f>IFERROR(__xludf.DUMMYFUNCTION("TEXT(VALUE(REGEXEXTRACT(B75,""^[+-]?[0-9]*\.?[0-9]+""))*100,""0.00"")&amp;"" +/- ""&amp;TEXT(VALUE(REGEXEXTRACT(B75,""[0-9]*\.?[0-9]+$""))*100,""0.00"")"),"77.32 +/- 0.34")</f>
        <v>77.32 +/- 0.34</v>
      </c>
      <c r="K75" s="9" t="str">
        <f>IFERROR(__xludf.DUMMYFUNCTION("TEXT(VALUE(REGEXEXTRACT(C75,""^[+-]?[0-9]*\.?[0-9]+""))*100,""0.00"")&amp;"" +/- ""&amp;TEXT(VALUE(REGEXEXTRACT(C75,""[0-9]*\.?[0-9]+$""))*100,""0.00"")"),"75.37 +/- 0.00")</f>
        <v>75.37 +/- 0.00</v>
      </c>
      <c r="L75" s="10" t="str">
        <f>IFERROR(__xludf.DUMMYFUNCTION("TEXT(VALUE(REGEXEXTRACT(D75,""^[+-]?[0-9]*\.?[0-9]+""))*100,""0.00"")&amp;"" +/- ""&amp;TEXT(VALUE(REGEXEXTRACT(D75,""[0-9]*\.?[0-9]+$""))*100,""0.00"")"),"81.64 +/- 0.00")</f>
        <v>81.64 +/- 0.00</v>
      </c>
      <c r="M75" s="9" t="str">
        <f>IFERROR(__xludf.DUMMYFUNCTION("TEXT(VALUE(REGEXEXTRACT(E75,""^[+-]?[0-9]*\.?[0-9]+""))*100,""0.00"")&amp;"" +/- ""&amp;TEXT(VALUE(REGEXEXTRACT(E75,""[0-9]*\.?[0-9]+$""))*100,""0.00"")"),"74.19 +/- 1.04")</f>
        <v>74.19 +/- 1.04</v>
      </c>
      <c r="N75" s="9" t="str">
        <f>IFERROR(__xludf.DUMMYFUNCTION("TEXT(VALUE(REGEXEXTRACT(F75,""^[+-]?[0-9]*\.?[0-9]+""))*100,""0.00"")&amp;"" +/- ""&amp;TEXT(VALUE(REGEXEXTRACT(F75,""[0-9]*\.?[0-9]+$""))*100,""0.00"")"),"73.63 +/- 0.50")</f>
        <v>73.63 +/- 0.50</v>
      </c>
      <c r="O75" s="9" t="str">
        <f>IFERROR(__xludf.DUMMYFUNCTION("TEXT(VALUE(REGEXEXTRACT(G75,""^[+-]?[0-9]*\.?[0-9]+""))*100,""0.00"")&amp;"" +/- ""&amp;TEXT(VALUE(REGEXEXTRACT(G75,""[0-9]*\.?[0-9]+$""))*100,""0.00"")"),"74.72 +/- 0.71")</f>
        <v>74.72 +/- 0.71</v>
      </c>
      <c r="P75" s="9" t="str">
        <f>IFERROR(__xludf.DUMMYFUNCTION("TEXT(VALUE(REGEXEXTRACT(H75,""^[+-]?[0-9]*\.?[0-9]+""))*100,""0.00"")&amp;"" +/- ""&amp;TEXT(VALUE(REGEXEXTRACT(H75,""[0-9]*\.?[0-9]+$""))*100,""0.00"")"),"64.82 +/- 0.51")</f>
        <v>64.82 +/- 0.51</v>
      </c>
    </row>
    <row r="76">
      <c r="A76" s="6" t="s">
        <v>1311</v>
      </c>
      <c r="B76" s="16" t="s">
        <v>2734</v>
      </c>
      <c r="C76" s="16" t="s">
        <v>2735</v>
      </c>
      <c r="D76" s="16" t="s">
        <v>2736</v>
      </c>
      <c r="E76" s="16" t="s">
        <v>2737</v>
      </c>
      <c r="F76" s="16" t="s">
        <v>2738</v>
      </c>
      <c r="G76" s="16" t="s">
        <v>2739</v>
      </c>
      <c r="H76" s="16" t="s">
        <v>2740</v>
      </c>
      <c r="I76" s="8" t="str">
        <f t="shared" si="4"/>
        <v>PDE→LC</v>
      </c>
      <c r="J76" s="10" t="str">
        <f>IFERROR(__xludf.DUMMYFUNCTION("TEXT(VALUE(REGEXEXTRACT(B76,""^[+-]?[0-9]*\.?[0-9]+""))*100,""0.00"")&amp;"" +/- ""&amp;TEXT(VALUE(REGEXEXTRACT(B76,""[0-9]*\.?[0-9]+$""))*100,""0.00"")"),"76.17 +/- 0.86")</f>
        <v>76.17 +/- 0.86</v>
      </c>
      <c r="K76" s="9" t="str">
        <f>IFERROR(__xludf.DUMMYFUNCTION("TEXT(VALUE(REGEXEXTRACT(C76,""^[+-]?[0-9]*\.?[0-9]+""))*100,""0.00"")&amp;"" +/- ""&amp;TEXT(VALUE(REGEXEXTRACT(C76,""[0-9]*\.?[0-9]+$""))*100,""0.00"")"),"68.77 +/- 0.00")</f>
        <v>68.77 +/- 0.00</v>
      </c>
      <c r="L76" s="9" t="str">
        <f>IFERROR(__xludf.DUMMYFUNCTION("TEXT(VALUE(REGEXEXTRACT(D76,""^[+-]?[0-9]*\.?[0-9]+""))*100,""0.00"")&amp;"" +/- ""&amp;TEXT(VALUE(REGEXEXTRACT(D76,""[0-9]*\.?[0-9]+$""))*100,""0.00"")"),"66.48 +/- 0.00")</f>
        <v>66.48 +/- 0.00</v>
      </c>
      <c r="M76" s="9" t="str">
        <f>IFERROR(__xludf.DUMMYFUNCTION("TEXT(VALUE(REGEXEXTRACT(E76,""^[+-]?[0-9]*\.?[0-9]+""))*100,""0.00"")&amp;"" +/- ""&amp;TEXT(VALUE(REGEXEXTRACT(E76,""[0-9]*\.?[0-9]+$""))*100,""0.00"")"),"69.76 +/- 1.00")</f>
        <v>69.76 +/- 1.00</v>
      </c>
      <c r="N76" s="9" t="str">
        <f>IFERROR(__xludf.DUMMYFUNCTION("TEXT(VALUE(REGEXEXTRACT(F76,""^[+-]?[0-9]*\.?[0-9]+""))*100,""0.00"")&amp;"" +/- ""&amp;TEXT(VALUE(REGEXEXTRACT(F76,""[0-9]*\.?[0-9]+$""))*100,""0.00"")"),"69.23 +/- 0.70")</f>
        <v>69.23 +/- 0.70</v>
      </c>
      <c r="O76" s="9" t="str">
        <f>IFERROR(__xludf.DUMMYFUNCTION("TEXT(VALUE(REGEXEXTRACT(G76,""^[+-]?[0-9]*\.?[0-9]+""))*100,""0.00"")&amp;"" +/- ""&amp;TEXT(VALUE(REGEXEXTRACT(G76,""[0-9]*\.?[0-9]+$""))*100,""0.00"")"),"70.12 +/- 0.64")</f>
        <v>70.12 +/- 0.64</v>
      </c>
      <c r="P76" s="9" t="str">
        <f>IFERROR(__xludf.DUMMYFUNCTION("TEXT(VALUE(REGEXEXTRACT(H76,""^[+-]?[0-9]*\.?[0-9]+""))*100,""0.00"")&amp;"" +/- ""&amp;TEXT(VALUE(REGEXEXTRACT(H76,""[0-9]*\.?[0-9]+$""))*100,""0.00"")"),"53.32 +/- 0.74")</f>
        <v>53.32 +/- 0.74</v>
      </c>
    </row>
    <row r="77">
      <c r="A77" s="6" t="s">
        <v>1319</v>
      </c>
      <c r="B77" s="16" t="s">
        <v>2748</v>
      </c>
      <c r="C77" s="16" t="s">
        <v>2749</v>
      </c>
      <c r="D77" s="16" t="s">
        <v>2750</v>
      </c>
      <c r="E77" s="16" t="s">
        <v>2751</v>
      </c>
      <c r="F77" s="16" t="s">
        <v>2752</v>
      </c>
      <c r="G77" s="16" t="s">
        <v>2753</v>
      </c>
      <c r="H77" s="16" t="s">
        <v>2754</v>
      </c>
      <c r="I77" s="8" t="str">
        <f t="shared" si="4"/>
        <v>PDE→ML</v>
      </c>
      <c r="J77" s="10" t="str">
        <f>IFERROR(__xludf.DUMMYFUNCTION("TEXT(VALUE(REGEXEXTRACT(B77,""^[+-]?[0-9]*\.?[0-9]+""))*100,""0.00"")&amp;"" +/- ""&amp;TEXT(VALUE(REGEXEXTRACT(B77,""[0-9]*\.?[0-9]+$""))*100,""0.00"")"),"60.71 +/- 0.25")</f>
        <v>60.71 +/- 0.25</v>
      </c>
      <c r="K77" s="9" t="str">
        <f>IFERROR(__xludf.DUMMYFUNCTION("TEXT(VALUE(REGEXEXTRACT(C77,""^[+-]?[0-9]*\.?[0-9]+""))*100,""0.00"")&amp;"" +/- ""&amp;TEXT(VALUE(REGEXEXTRACT(C77,""[0-9]*\.?[0-9]+$""))*100,""0.00"")"),"59.16 +/- 0.00")</f>
        <v>59.16 +/- 0.00</v>
      </c>
      <c r="L77" s="9" t="str">
        <f>IFERROR(__xludf.DUMMYFUNCTION("TEXT(VALUE(REGEXEXTRACT(D77,""^[+-]?[0-9]*\.?[0-9]+""))*100,""0.00"")&amp;"" +/- ""&amp;TEXT(VALUE(REGEXEXTRACT(D77,""[0-9]*\.?[0-9]+$""))*100,""0.00"")"),"58.35 +/- 0.00")</f>
        <v>58.35 +/- 0.00</v>
      </c>
      <c r="M77" s="9" t="str">
        <f>IFERROR(__xludf.DUMMYFUNCTION("TEXT(VALUE(REGEXEXTRACT(E77,""^[+-]?[0-9]*\.?[0-9]+""))*100,""0.00"")&amp;"" +/- ""&amp;TEXT(VALUE(REGEXEXTRACT(E77,""[0-9]*\.?[0-9]+$""))*100,""0.00"")"),"58.93 +/- 0.62")</f>
        <v>58.93 +/- 0.62</v>
      </c>
      <c r="N77" s="9" t="str">
        <f>IFERROR(__xludf.DUMMYFUNCTION("TEXT(VALUE(REGEXEXTRACT(F77,""^[+-]?[0-9]*\.?[0-9]+""))*100,""0.00"")&amp;"" +/- ""&amp;TEXT(VALUE(REGEXEXTRACT(F77,""[0-9]*\.?[0-9]+$""))*100,""0.00"")"),"58.40 +/- 0.38")</f>
        <v>58.40 +/- 0.38</v>
      </c>
      <c r="O77" s="9" t="str">
        <f>IFERROR(__xludf.DUMMYFUNCTION("TEXT(VALUE(REGEXEXTRACT(G77,""^[+-]?[0-9]*\.?[0-9]+""))*100,""0.00"")&amp;"" +/- ""&amp;TEXT(VALUE(REGEXEXTRACT(G77,""[0-9]*\.?[0-9]+$""))*100,""0.00"")"),"59.20 +/- 0.47")</f>
        <v>59.20 +/- 0.47</v>
      </c>
      <c r="P77" s="9" t="str">
        <f>IFERROR(__xludf.DUMMYFUNCTION("TEXT(VALUE(REGEXEXTRACT(H77,""^[+-]?[0-9]*\.?[0-9]+""))*100,""0.00"")&amp;"" +/- ""&amp;TEXT(VALUE(REGEXEXTRACT(H77,""[0-9]*\.?[0-9]+$""))*100,""0.00"")"),"53.51 +/- 0.31")</f>
        <v>53.51 +/- 0.31</v>
      </c>
    </row>
    <row r="78">
      <c r="A78" s="6" t="s">
        <v>371</v>
      </c>
      <c r="B78" s="14"/>
      <c r="C78" s="21" t="s">
        <v>487</v>
      </c>
      <c r="D78" s="21" t="s">
        <v>1560</v>
      </c>
      <c r="E78" s="21" t="s">
        <v>400</v>
      </c>
      <c r="F78" s="21" t="s">
        <v>487</v>
      </c>
      <c r="G78" s="21" t="s">
        <v>487</v>
      </c>
      <c r="H78" s="21" t="s">
        <v>487</v>
      </c>
      <c r="I78" s="8" t="str">
        <f t="shared" si="4"/>
        <v>W/T/L</v>
      </c>
      <c r="K78" s="20" t="str">
        <f>IFERROR(__xludf.DUMMYFUNCTION("SUM(ARRAYFORMULA(IFERROR(
  (VALUE(REGEXEXTRACT($J$58:$J$77,""^[+-]?[0-9]*\.?[0-9]+""))&gt;
   VALUE(REGEXEXTRACT(K$58:K$77,""^[+-]?[0-9]*\.?[0-9]+"")))*1,0)))
&amp;""/""&amp;
SUM(ARRAYFORMULA(IFERROR(
  (VALUE(REGEXEXTRACT($J$58:$J$77,""^[+-]?[0-9]*\.?[0-9]+""))=
 "&amp;"  VALUE(REGEXEXTRACT(K$58:K$77,""^[+-]?[0-9]*\.?[0-9]+"")))*1,0)))
&amp;""/""&amp;
SUM(ARRAYFORMULA(IFERROR(
  (VALUE(REGEXEXTRACT($J$58:$J$77,""^[+-]?[0-9]*\.?[0-9]+""))&lt;
   VALUE(REGEXEXTRACT(K$58:K$77,""^[+-]?[0-9]*\.?[0-9]+"")))*1,0)))"),"20/0/0")</f>
        <v>20/0/0</v>
      </c>
      <c r="L78" s="20" t="str">
        <f>IFERROR(__xludf.DUMMYFUNCTION("SUM(ARRAYFORMULA(IFERROR(
  (VALUE(REGEXEXTRACT($J$58:$J$77,""^[+-]?[0-9]*\.?[0-9]+""))&gt;
   VALUE(REGEXEXTRACT(L$58:L$77,""^[+-]?[0-9]*\.?[0-9]+"")))*1,0)))
&amp;""/""&amp;
SUM(ARRAYFORMULA(IFERROR(
  (VALUE(REGEXEXTRACT($J$58:$J$77,""^[+-]?[0-9]*\.?[0-9]+""))=
 "&amp;"  VALUE(REGEXEXTRACT(L$58:L$77,""^[+-]?[0-9]*\.?[0-9]+"")))*1,0)))
&amp;""/""&amp;
SUM(ARRAYFORMULA(IFERROR(
  (VALUE(REGEXEXTRACT($J$58:$J$77,""^[+-]?[0-9]*\.?[0-9]+""))&lt;
   VALUE(REGEXEXTRACT(L$58:L$77,""^[+-]?[0-9]*\.?[0-9]+"")))*1,0)))"),"10/0/10")</f>
        <v>10/0/10</v>
      </c>
      <c r="M78" s="20" t="str">
        <f>IFERROR(__xludf.DUMMYFUNCTION("SUM(ARRAYFORMULA(IFERROR(
  (VALUE(REGEXEXTRACT($J$58:$J$77,""^[+-]?[0-9]*\.?[0-9]+""))&gt;
   VALUE(REGEXEXTRACT(M$58:M$77,""^[+-]?[0-9]*\.?[0-9]+"")))*1,0)))
&amp;""/""&amp;
SUM(ARRAYFORMULA(IFERROR(
  (VALUE(REGEXEXTRACT($J$58:$J$77,""^[+-]?[0-9]*\.?[0-9]+""))=
 "&amp;"  VALUE(REGEXEXTRACT(M$58:M$77,""^[+-]?[0-9]*\.?[0-9]+"")))*1,0)))
&amp;""/""&amp;
SUM(ARRAYFORMULA(IFERROR(
  (VALUE(REGEXEXTRACT($J$58:$J$77,""^[+-]?[0-9]*\.?[0-9]+""))&lt;
   VALUE(REGEXEXTRACT(M$58:M$77,""^[+-]?[0-9]*\.?[0-9]+"")))*1,0)))"),"19/0/1")</f>
        <v>19/0/1</v>
      </c>
      <c r="N78" s="20" t="str">
        <f>IFERROR(__xludf.DUMMYFUNCTION("SUM(ARRAYFORMULA(IFERROR(
  (VALUE(REGEXEXTRACT($J$58:$J$77,""^[+-]?[0-9]*\.?[0-9]+""))&gt;
   VALUE(REGEXEXTRACT(N$58:N$77,""^[+-]?[0-9]*\.?[0-9]+"")))*1,0)))
&amp;""/""&amp;
SUM(ARRAYFORMULA(IFERROR(
  (VALUE(REGEXEXTRACT($J$58:$J$77,""^[+-]?[0-9]*\.?[0-9]+""))=
 "&amp;"  VALUE(REGEXEXTRACT(N$58:N$77,""^[+-]?[0-9]*\.?[0-9]+"")))*1,0)))
&amp;""/""&amp;
SUM(ARRAYFORMULA(IFERROR(
  (VALUE(REGEXEXTRACT($J$58:$J$77,""^[+-]?[0-9]*\.?[0-9]+""))&lt;
   VALUE(REGEXEXTRACT(N$58:N$77,""^[+-]?[0-9]*\.?[0-9]+"")))*1,0)))"),"20/0/0")</f>
        <v>20/0/0</v>
      </c>
      <c r="O78" s="20" t="str">
        <f>IFERROR(__xludf.DUMMYFUNCTION("SUM(ARRAYFORMULA(IFERROR(
  (VALUE(REGEXEXTRACT($J$58:$J$77,""^[+-]?[0-9]*\.?[0-9]+""))&gt;
   VALUE(REGEXEXTRACT(O$58:O$77,""^[+-]?[0-9]*\.?[0-9]+"")))*1,0)))
&amp;""/""&amp;
SUM(ARRAYFORMULA(IFERROR(
  (VALUE(REGEXEXTRACT($J$58:$J$77,""^[+-]?[0-9]*\.?[0-9]+""))=
 "&amp;"  VALUE(REGEXEXTRACT(O$58:O$77,""^[+-]?[0-9]*\.?[0-9]+"")))*1,0)))
&amp;""/""&amp;
SUM(ARRAYFORMULA(IFERROR(
  (VALUE(REGEXEXTRACT($J$58:$J$77,""^[+-]?[0-9]*\.?[0-9]+""))&lt;
   VALUE(REGEXEXTRACT(O$58:O$77,""^[+-]?[0-9]*\.?[0-9]+"")))*1,0)))"),"20/0/0")</f>
        <v>20/0/0</v>
      </c>
      <c r="P78" s="20" t="str">
        <f>IFERROR(__xludf.DUMMYFUNCTION("SUM(ARRAYFORMULA(IFERROR(
  (VALUE(REGEXEXTRACT($J$58:$J$77,""^[+-]?[0-9]*\.?[0-9]+""))&gt;
   VALUE(REGEXEXTRACT(P$58:P$77,""^[+-]?[0-9]*\.?[0-9]+"")))*1,0)))
&amp;""/""&amp;
SUM(ARRAYFORMULA(IFERROR(
  (VALUE(REGEXEXTRACT($J$58:$J$77,""^[+-]?[0-9]*\.?[0-9]+""))=
 "&amp;"  VALUE(REGEXEXTRACT(P$58:P$77,""^[+-]?[0-9]*\.?[0-9]+"")))*1,0)))
&amp;""/""&amp;
SUM(ARRAYFORMULA(IFERROR(
  (VALUE(REGEXEXTRACT($J$58:$J$77,""^[+-]?[0-9]*\.?[0-9]+""))&lt;
   VALUE(REGEXEXTRACT(P$58:P$77,""^[+-]?[0-9]*\.?[0-9]+"")))*1,0)))"),"20/0/0")</f>
        <v>20/0/0</v>
      </c>
    </row>
    <row r="79">
      <c r="A79" s="6" t="s">
        <v>489</v>
      </c>
      <c r="B79" s="14" t="s">
        <v>2780</v>
      </c>
      <c r="C79" s="14" t="s">
        <v>2782</v>
      </c>
      <c r="D79" s="14" t="s">
        <v>2784</v>
      </c>
      <c r="E79" s="14" t="s">
        <v>2786</v>
      </c>
      <c r="F79" s="14" t="s">
        <v>2787</v>
      </c>
      <c r="G79" s="14" t="s">
        <v>2788</v>
      </c>
      <c r="H79" s="14" t="s">
        <v>2789</v>
      </c>
      <c r="I79" s="8" t="str">
        <f t="shared" si="4"/>
        <v>Average (%)</v>
      </c>
      <c r="J79" s="14">
        <f>IFERROR(__xludf.DUMMYFUNCTION("ROUND(AVERAGE(ARRAYFORMULA(IFERROR(VALUE(REGEXEXTRACT(J$58:J$77,""^[+-]?[0-9]*\.?[0-9]+"")),""""))),2)"),67.22)</f>
        <v>67.22</v>
      </c>
      <c r="K79" s="14">
        <f>IFERROR(__xludf.DUMMYFUNCTION("ROUND(AVERAGE(ARRAYFORMULA(IFERROR(VALUE(REGEXEXTRACT(K$58:K$77,""^[+-]?[0-9]*\.?[0-9]+"")),""""))),2)"),63.15)</f>
        <v>63.15</v>
      </c>
      <c r="L79" s="14">
        <f>IFERROR(__xludf.DUMMYFUNCTION("ROUND(AVERAGE(ARRAYFORMULA(IFERROR(VALUE(REGEXEXTRACT(L$58:L$77,""^[+-]?[0-9]*\.?[0-9]+"")),""""))),2)"),60.61)</f>
        <v>60.61</v>
      </c>
      <c r="M79" s="14">
        <f>IFERROR(__xludf.DUMMYFUNCTION("ROUND(AVERAGE(ARRAYFORMULA(IFERROR(VALUE(REGEXEXTRACT(M$58:M$77,""^[+-]?[0-9]*\.?[0-9]+"")),""""))),2)"),64.89)</f>
        <v>64.89</v>
      </c>
      <c r="N79" s="14">
        <f>IFERROR(__xludf.DUMMYFUNCTION("ROUND(AVERAGE(ARRAYFORMULA(IFERROR(VALUE(REGEXEXTRACT(N$58:N$77,""^[+-]?[0-9]*\.?[0-9]+"")),""""))),2)"),62.75)</f>
        <v>62.75</v>
      </c>
      <c r="O79" s="14">
        <f>IFERROR(__xludf.DUMMYFUNCTION("ROUND(AVERAGE(ARRAYFORMULA(IFERROR(VALUE(REGEXEXTRACT(O$58:O$77,""^[+-]?[0-9]*\.?[0-9]+"")),""""))),2)"),64.15)</f>
        <v>64.15</v>
      </c>
      <c r="P79" s="14">
        <f>IFERROR(__xludf.DUMMYFUNCTION("ROUND(AVERAGE(ARRAYFORMULA(IFERROR(VALUE(REGEXEXTRACT(P$58:P$77,""^[+-]?[0-9]*\.?[0-9]+"")),""""))),2)"),59.35)</f>
        <v>59.35</v>
      </c>
    </row>
    <row r="80">
      <c r="A80" s="6" t="s">
        <v>1334</v>
      </c>
      <c r="B80" s="14"/>
      <c r="C80" s="34" t="s">
        <v>2791</v>
      </c>
      <c r="D80" s="34" t="s">
        <v>2792</v>
      </c>
      <c r="E80" s="34" t="s">
        <v>2793</v>
      </c>
      <c r="F80" s="34" t="s">
        <v>1335</v>
      </c>
      <c r="G80" s="34" t="s">
        <v>2794</v>
      </c>
      <c r="H80" s="34" t="s">
        <v>2791</v>
      </c>
      <c r="I80" s="8" t="str">
        <f t="shared" si="4"/>
        <v>Overall W/T/L</v>
      </c>
      <c r="K80" s="34" t="str">
        <f>IFERROR(__xludf.DUMMYFUNCTION("SUM(ARRAYFORMULA(IFERROR(REGEXMATCH($A$3:$A$77,""→"")*(VALUE(REGEXEXTRACT($J$3:$J$77,""^[+-]?[0-9]*\.?[0-9]+""))&gt;VALUE(REGEXEXTRACT(K$3:K$77,""^[+-]?[0-9]*\.?[0-9]+""))),0)))
&amp;""/""&amp;
SUM(ARRAYFORMULA(IFERROR(REGEXMATCH($A$3:$A$77,""→"")*(VALUE(REGEXEXTRAC"&amp;"T($J$3:$J$77,""^[+-]?[0-9]*\.?[0-9]+""))=VALUE(REGEXEXTRACT(K$3:K$77,""^[+-]?[0-9]*\.?[0-9]+""))),0)))
&amp;""/""&amp;
SUM(ARRAYFORMULA(IFERROR(REGEXMATCH($A$3:$A$77,""→"")*(VALUE(REGEXEXTRACT($J$3:$J$77,""^[+-]?[0-9]*\.?[0-9]+""))&lt;VALUE(REGEXEXTRACT(K$3:K$77,""^"&amp;"[+-]?[0-9]*\.?[0-9]+""))),0)))"),"55/2/9")</f>
        <v>55/2/9</v>
      </c>
      <c r="L80" s="34" t="str">
        <f>IFERROR(__xludf.DUMMYFUNCTION("SUM(ARRAYFORMULA(IFERROR(REGEXMATCH($A$3:$A$77,""→"")*(VALUE(REGEXEXTRACT($J$3:$J$77,""^[+-]?[0-9]*\.?[0-9]+""))&gt;VALUE(REGEXEXTRACT(L$3:L$77,""^[+-]?[0-9]*\.?[0-9]+""))),0)))
&amp;""/""&amp;
SUM(ARRAYFORMULA(IFERROR(REGEXMATCH($A$3:$A$77,""→"")*(VALUE(REGEXEXTRAC"&amp;"T($J$3:$J$77,""^[+-]?[0-9]*\.?[0-9]+""))=VALUE(REGEXEXTRACT(L$3:L$77,""^[+-]?[0-9]*\.?[0-9]+""))),0)))
&amp;""/""&amp;
SUM(ARRAYFORMULA(IFERROR(REGEXMATCH($A$3:$A$77,""→"")*(VALUE(REGEXEXTRACT($J$3:$J$77,""^[+-]?[0-9]*\.?[0-9]+""))&lt;VALUE(REGEXEXTRACT(L$3:L$77,""^"&amp;"[+-]?[0-9]*\.?[0-9]+""))),0)))"),"45/0/21")</f>
        <v>45/0/21</v>
      </c>
      <c r="M80" s="34" t="str">
        <f>IFERROR(__xludf.DUMMYFUNCTION("SUM(ARRAYFORMULA(IFERROR(REGEXMATCH($A$3:$A$77,""→"")*(VALUE(REGEXEXTRACT($J$3:$J$77,""^[+-]?[0-9]*\.?[0-9]+""))&gt;VALUE(REGEXEXTRACT(M$3:M$77,""^[+-]?[0-9]*\.?[0-9]+""))),0)))
&amp;""/""&amp;
SUM(ARRAYFORMULA(IFERROR(REGEXMATCH($A$3:$A$77,""→"")*(VALUE(REGEXEXTRAC"&amp;"T($J$3:$J$77,""^[+-]?[0-9]*\.?[0-9]+""))=VALUE(REGEXEXTRACT(M$3:M$77,""^[+-]?[0-9]*\.?[0-9]+""))),0)))
&amp;""/""&amp;
SUM(ARRAYFORMULA(IFERROR(REGEXMATCH($A$3:$A$77,""→"")*(VALUE(REGEXEXTRACT($J$3:$J$77,""^[+-]?[0-9]*\.?[0-9]+""))&lt;VALUE(REGEXEXTRACT(M$3:M$77,""^"&amp;"[+-]?[0-9]*\.?[0-9]+""))),0)))"),"51/2/13")</f>
        <v>51/2/13</v>
      </c>
      <c r="N80" s="34" t="str">
        <f>IFERROR(__xludf.DUMMYFUNCTION("SUM(ARRAYFORMULA(IFERROR(REGEXMATCH($A$3:$A$77,""→"")*(VALUE(REGEXEXTRACT($J$3:$J$77,""^[+-]?[0-9]*\.?[0-9]+""))&gt;VALUE(REGEXEXTRACT(N$3:N$77,""^[+-]?[0-9]*\.?[0-9]+""))),0)))
&amp;""/""&amp;
SUM(ARRAYFORMULA(IFERROR(REGEXMATCH($A$3:$A$77,""→"")*(VALUE(REGEXEXTRAC"&amp;"T($J$3:$J$77,""^[+-]?[0-9]*\.?[0-9]+""))=VALUE(REGEXEXTRACT(N$3:N$77,""^[+-]?[0-9]*\.?[0-9]+""))),0)))
&amp;""/""&amp;
SUM(ARRAYFORMULA(IFERROR(REGEXMATCH($A$3:$A$77,""→"")*(VALUE(REGEXEXTRACT($J$3:$J$77,""^[+-]?[0-9]*\.?[0-9]+""))&lt;VALUE(REGEXEXTRACT(N$3:N$77,""^"&amp;"[+-]?[0-9]*\.?[0-9]+""))),0)))"),"56/2/8")</f>
        <v>56/2/8</v>
      </c>
      <c r="O80" s="34" t="str">
        <f>IFERROR(__xludf.DUMMYFUNCTION("SUM(ARRAYFORMULA(IFERROR(REGEXMATCH($A$3:$A$77,""→"")*(VALUE(REGEXEXTRACT($J$3:$J$77,""^[+-]?[0-9]*\.?[0-9]+""))&gt;VALUE(REGEXEXTRACT(O$3:O$77,""^[+-]?[0-9]*\.?[0-9]+""))),0)))
&amp;""/""&amp;
SUM(ARRAYFORMULA(IFERROR(REGEXMATCH($A$3:$A$77,""→"")*(VALUE(REGEXEXTRAC"&amp;"T($J$3:$J$77,""^[+-]?[0-9]*\.?[0-9]+""))=VALUE(REGEXEXTRACT(O$3:O$77,""^[+-]?[0-9]*\.?[0-9]+""))),0)))
&amp;""/""&amp;
SUM(ARRAYFORMULA(IFERROR(REGEXMATCH($A$3:$A$77,""→"")*(VALUE(REGEXEXTRACT($J$3:$J$77,""^[+-]?[0-9]*\.?[0-9]+""))&lt;VALUE(REGEXEXTRACT(O$3:O$77,""^"&amp;"[+-]?[0-9]*\.?[0-9]+""))),0)))"),"53/2/11")</f>
        <v>53/2/11</v>
      </c>
      <c r="P80" s="34" t="str">
        <f>IFERROR(__xludf.DUMMYFUNCTION("SUM(ARRAYFORMULA(IFERROR(REGEXMATCH($A$3:$A$77,""→"")*(VALUE(REGEXEXTRACT($J$3:$J$77,""^[+-]?[0-9]*\.?[0-9]+""))&gt;VALUE(REGEXEXTRACT(P$3:P$77,""^[+-]?[0-9]*\.?[0-9]+""))),0)))
&amp;""/""&amp;
SUM(ARRAYFORMULA(IFERROR(REGEXMATCH($A$3:$A$77,""→"")*(VALUE(REGEXEXTRAC"&amp;"T($J$3:$J$77,""^[+-]?[0-9]*\.?[0-9]+""))=VALUE(REGEXEXTRACT(P$3:P$77,""^[+-]?[0-9]*\.?[0-9]+""))),0)))
&amp;""/""&amp;
SUM(ARRAYFORMULA(IFERROR(REGEXMATCH($A$3:$A$77,""→"")*(VALUE(REGEXEXTRACT($J$3:$J$77,""^[+-]?[0-9]*\.?[0-9]+""))&lt;VALUE(REGEXEXTRACT(P$3:P$77,""^"&amp;"[+-]?[0-9]*\.?[0-9]+""))),0)))"),"55/2/9")</f>
        <v>55/2/9</v>
      </c>
    </row>
    <row r="81">
      <c r="A81" s="6" t="s">
        <v>1348</v>
      </c>
      <c r="B81" s="35">
        <v>68.0</v>
      </c>
      <c r="C81" s="35">
        <v>64.64</v>
      </c>
      <c r="D81" s="35">
        <v>60.66</v>
      </c>
      <c r="E81" s="35">
        <v>66.26</v>
      </c>
      <c r="F81" s="35">
        <v>64.83</v>
      </c>
      <c r="G81" s="35">
        <v>65.82</v>
      </c>
      <c r="H81" s="35">
        <v>62.39</v>
      </c>
      <c r="I81" s="8" t="str">
        <f t="shared" si="4"/>
        <v>Overall Average (%)</v>
      </c>
      <c r="J81" s="18">
        <f>IFERROR(__xludf.DUMMYFUNCTION("ROUND(AVERAGE(ARRAYFORMULA(IFERROR(VALUE(REGEXEXTRACT(FILTER(J$3:J$77,REGEXMATCH($A$3:$A$77,""→"")),""^[+-]?[0-9]*\.?[0-9]+"")),""""))),2)"),68.0)</f>
        <v>68</v>
      </c>
      <c r="K81" s="18">
        <f>IFERROR(__xludf.DUMMYFUNCTION("ROUND(AVERAGE(ARRAYFORMULA(IFERROR(VALUE(REGEXEXTRACT(FILTER(K$3:K$77,REGEXMATCH($A$3:$A$77,""→"")),""^[+-]?[0-9]*\.?[0-9]+"")),""""))),2)"),64.64)</f>
        <v>64.64</v>
      </c>
      <c r="L81" s="18">
        <f>IFERROR(__xludf.DUMMYFUNCTION("ROUND(AVERAGE(ARRAYFORMULA(IFERROR(VALUE(REGEXEXTRACT(FILTER(L$3:L$77,REGEXMATCH($A$3:$A$77,""→"")),""^[+-]?[0-9]*\.?[0-9]+"")),""""))),2)"),60.66)</f>
        <v>60.66</v>
      </c>
      <c r="M81" s="18">
        <f>IFERROR(__xludf.DUMMYFUNCTION("ROUND(AVERAGE(ARRAYFORMULA(IFERROR(VALUE(REGEXEXTRACT(FILTER(M$3:M$77,REGEXMATCH($A$3:$A$77,""→"")),""^[+-]?[0-9]*\.?[0-9]+"")),""""))),2)"),66.26)</f>
        <v>66.26</v>
      </c>
      <c r="N81" s="18">
        <f>IFERROR(__xludf.DUMMYFUNCTION("ROUND(AVERAGE(ARRAYFORMULA(IFERROR(VALUE(REGEXEXTRACT(FILTER(N$3:N$77,REGEXMATCH($A$3:$A$77,""→"")),""^[+-]?[0-9]*\.?[0-9]+"")),""""))),2)"),64.83)</f>
        <v>64.83</v>
      </c>
      <c r="O81" s="18">
        <f>IFERROR(__xludf.DUMMYFUNCTION("ROUND(AVERAGE(ARRAYFORMULA(IFERROR(VALUE(REGEXEXTRACT(FILTER(O$3:O$77,REGEXMATCH($A$3:$A$77,""→"")),""^[+-]?[0-9]*\.?[0-9]+"")),""""))),2)"),65.82)</f>
        <v>65.82</v>
      </c>
      <c r="P81" s="18">
        <f>IFERROR(__xludf.DUMMYFUNCTION("ROUND(AVERAGE(ARRAYFORMULA(IFERROR(VALUE(REGEXEXTRACT(FILTER(P$3:P$77,REGEXMATCH($A$3:$A$77,""→"")),""^[+-]?[0-9]*\.?[0-9]+"")),""""))),2)"),62.39)</f>
        <v>62.39</v>
      </c>
    </row>
    <row r="82">
      <c r="A82" s="31"/>
      <c r="B82" s="36"/>
      <c r="C82" s="37"/>
      <c r="D82" s="37"/>
      <c r="E82" s="36"/>
      <c r="F82" s="37"/>
      <c r="G82" s="37"/>
      <c r="H82" s="37"/>
      <c r="I82" s="38" t="s">
        <v>2015</v>
      </c>
      <c r="J82" s="30">
        <v>2.1364</v>
      </c>
      <c r="K82" s="30">
        <v>4.3636</v>
      </c>
      <c r="L82" s="30">
        <v>4.697</v>
      </c>
      <c r="M82" s="30">
        <v>3.2803</v>
      </c>
      <c r="N82" s="30">
        <v>4.7879</v>
      </c>
      <c r="O82" s="30">
        <v>3.447</v>
      </c>
      <c r="P82" s="30">
        <v>5.2879</v>
      </c>
    </row>
    <row r="83">
      <c r="A83" s="10"/>
      <c r="I83" s="38" t="s">
        <v>2016</v>
      </c>
      <c r="J83" s="30" t="s">
        <v>2359</v>
      </c>
      <c r="K83" s="30" t="s">
        <v>2017</v>
      </c>
      <c r="L83" s="30" t="s">
        <v>2017</v>
      </c>
      <c r="M83" s="30" t="s">
        <v>2017</v>
      </c>
      <c r="N83" s="30" t="s">
        <v>2017</v>
      </c>
      <c r="O83" s="30" t="s">
        <v>2017</v>
      </c>
      <c r="P83" s="30" t="s">
        <v>2017</v>
      </c>
    </row>
    <row r="84">
      <c r="A84" s="10"/>
      <c r="I84" s="10"/>
    </row>
    <row r="85">
      <c r="A85" s="10"/>
      <c r="I85" s="10"/>
    </row>
    <row r="86">
      <c r="A86" s="10"/>
      <c r="I86" s="10"/>
    </row>
    <row r="87">
      <c r="A87" s="10"/>
      <c r="I87" s="10"/>
    </row>
    <row r="88">
      <c r="A88" s="10"/>
      <c r="I88" s="10"/>
    </row>
    <row r="89">
      <c r="A89" s="10"/>
      <c r="I89" s="10"/>
    </row>
    <row r="90">
      <c r="A90" s="10"/>
      <c r="I90" s="10"/>
    </row>
    <row r="91">
      <c r="A91" s="10"/>
      <c r="I91" s="10"/>
    </row>
    <row r="92">
      <c r="A92" s="10"/>
      <c r="I92" s="10"/>
    </row>
    <row r="93">
      <c r="A93" s="10"/>
      <c r="I93" s="10"/>
    </row>
    <row r="94">
      <c r="A94" s="10"/>
      <c r="I94" s="10"/>
    </row>
    <row r="95">
      <c r="A95" s="10"/>
      <c r="I95" s="10"/>
    </row>
    <row r="96">
      <c r="A96" s="10"/>
      <c r="I96" s="10"/>
    </row>
    <row r="97">
      <c r="A97" s="10"/>
      <c r="I97" s="10"/>
    </row>
    <row r="98">
      <c r="A98" s="10"/>
      <c r="I98" s="10"/>
    </row>
    <row r="99">
      <c r="A99" s="10"/>
      <c r="I99" s="10"/>
    </row>
    <row r="100">
      <c r="A100" s="10"/>
      <c r="I100" s="10"/>
    </row>
    <row r="101">
      <c r="A101" s="10"/>
      <c r="I101" s="10"/>
    </row>
    <row r="102">
      <c r="A102" s="10"/>
      <c r="I102" s="10"/>
    </row>
    <row r="103">
      <c r="A103" s="10"/>
      <c r="I103" s="10"/>
    </row>
    <row r="104">
      <c r="A104" s="10"/>
      <c r="I104" s="10"/>
    </row>
    <row r="105">
      <c r="A105" s="10"/>
      <c r="I105" s="10"/>
    </row>
    <row r="106">
      <c r="A106" s="10"/>
      <c r="I106" s="10"/>
    </row>
    <row r="107">
      <c r="A107" s="10"/>
      <c r="I107" s="10"/>
    </row>
    <row r="108">
      <c r="A108" s="10"/>
      <c r="I108" s="10"/>
    </row>
    <row r="109">
      <c r="A109" s="10"/>
      <c r="I109" s="10"/>
    </row>
    <row r="110">
      <c r="A110" s="10"/>
      <c r="I110" s="10"/>
    </row>
    <row r="111">
      <c r="A111" s="10"/>
      <c r="I111" s="10"/>
    </row>
    <row r="112">
      <c r="A112" s="10"/>
      <c r="I112" s="10"/>
    </row>
    <row r="113">
      <c r="A113" s="10"/>
      <c r="I113" s="10"/>
    </row>
    <row r="114">
      <c r="A114" s="10"/>
      <c r="I114" s="10"/>
    </row>
    <row r="115">
      <c r="A115" s="10"/>
      <c r="I115" s="10"/>
    </row>
    <row r="116">
      <c r="A116" s="10"/>
      <c r="I116" s="10"/>
    </row>
    <row r="117">
      <c r="A117" s="10"/>
      <c r="I117" s="10"/>
    </row>
    <row r="118">
      <c r="A118" s="10"/>
      <c r="I118" s="10"/>
    </row>
    <row r="119">
      <c r="A119" s="10"/>
      <c r="I119" s="10"/>
    </row>
    <row r="120">
      <c r="A120" s="10"/>
      <c r="I120" s="10"/>
    </row>
    <row r="121">
      <c r="A121" s="10"/>
      <c r="I121" s="10"/>
    </row>
    <row r="122">
      <c r="A122" s="10"/>
      <c r="I122" s="10"/>
    </row>
    <row r="123">
      <c r="A123" s="10"/>
      <c r="I123" s="10"/>
    </row>
    <row r="124">
      <c r="A124" s="10"/>
      <c r="I124" s="10"/>
    </row>
    <row r="125">
      <c r="A125" s="10"/>
      <c r="I125" s="10"/>
    </row>
    <row r="126">
      <c r="A126" s="10"/>
      <c r="I126" s="10"/>
    </row>
    <row r="127">
      <c r="A127" s="10"/>
      <c r="I127" s="10"/>
    </row>
    <row r="128">
      <c r="A128" s="10"/>
      <c r="I128" s="10"/>
    </row>
    <row r="129">
      <c r="A129" s="10"/>
      <c r="I129" s="10"/>
    </row>
    <row r="130">
      <c r="A130" s="10"/>
      <c r="I130" s="10"/>
    </row>
    <row r="131">
      <c r="A131" s="10"/>
      <c r="I131" s="10"/>
    </row>
    <row r="132">
      <c r="A132" s="10"/>
      <c r="I132" s="10"/>
    </row>
    <row r="133">
      <c r="A133" s="10"/>
      <c r="I133" s="10"/>
    </row>
    <row r="134">
      <c r="A134" s="10"/>
      <c r="I134" s="10"/>
    </row>
    <row r="135">
      <c r="A135" s="10"/>
      <c r="I135" s="10"/>
    </row>
    <row r="136">
      <c r="A136" s="10"/>
      <c r="I136" s="10"/>
    </row>
    <row r="137">
      <c r="A137" s="10"/>
      <c r="I137" s="10"/>
    </row>
    <row r="138">
      <c r="A138" s="10"/>
      <c r="I138" s="10"/>
    </row>
    <row r="139">
      <c r="A139" s="10"/>
      <c r="I139" s="10"/>
    </row>
    <row r="140">
      <c r="A140" s="10"/>
      <c r="I140" s="10"/>
    </row>
    <row r="141">
      <c r="A141" s="10"/>
      <c r="I141" s="10"/>
    </row>
    <row r="142">
      <c r="A142" s="10"/>
      <c r="I142" s="10"/>
    </row>
    <row r="143">
      <c r="A143" s="10"/>
      <c r="I143" s="10"/>
    </row>
    <row r="144">
      <c r="A144" s="10"/>
      <c r="I144" s="10"/>
    </row>
    <row r="145">
      <c r="A145" s="10"/>
      <c r="I145" s="10"/>
    </row>
    <row r="146">
      <c r="A146" s="10"/>
      <c r="I146" s="10"/>
    </row>
    <row r="147">
      <c r="A147" s="10"/>
      <c r="I147" s="10"/>
    </row>
    <row r="148">
      <c r="A148" s="10"/>
      <c r="I148" s="10"/>
    </row>
    <row r="149">
      <c r="A149" s="10"/>
      <c r="I149" s="10"/>
    </row>
    <row r="150">
      <c r="A150" s="10"/>
      <c r="I150" s="10"/>
    </row>
    <row r="151">
      <c r="A151" s="10"/>
      <c r="I151" s="10"/>
    </row>
    <row r="152">
      <c r="A152" s="10"/>
      <c r="I152" s="10"/>
    </row>
    <row r="153">
      <c r="A153" s="10"/>
      <c r="I153" s="10"/>
    </row>
    <row r="154">
      <c r="A154" s="10"/>
      <c r="I154" s="10"/>
    </row>
    <row r="155">
      <c r="A155" s="10"/>
      <c r="I155" s="10"/>
    </row>
    <row r="156">
      <c r="A156" s="10"/>
      <c r="I156" s="10"/>
    </row>
    <row r="157">
      <c r="A157" s="10"/>
      <c r="I157" s="10"/>
    </row>
    <row r="158">
      <c r="A158" s="10"/>
      <c r="I158" s="10"/>
    </row>
    <row r="159">
      <c r="A159" s="10"/>
      <c r="I159" s="10"/>
    </row>
    <row r="160">
      <c r="A160" s="10"/>
      <c r="I160" s="10"/>
    </row>
    <row r="161">
      <c r="A161" s="10"/>
      <c r="I161" s="10"/>
    </row>
    <row r="162">
      <c r="A162" s="10"/>
      <c r="I162" s="10"/>
    </row>
    <row r="163">
      <c r="A163" s="10"/>
      <c r="I163" s="10"/>
    </row>
    <row r="164">
      <c r="A164" s="10"/>
      <c r="I164" s="10"/>
    </row>
    <row r="165">
      <c r="A165" s="10"/>
      <c r="I165" s="10"/>
    </row>
    <row r="166">
      <c r="A166" s="10"/>
      <c r="I166" s="10"/>
    </row>
    <row r="167">
      <c r="A167" s="10"/>
      <c r="I167" s="10"/>
    </row>
    <row r="168">
      <c r="A168" s="10"/>
      <c r="I168" s="10"/>
    </row>
    <row r="169">
      <c r="A169" s="10"/>
      <c r="I169" s="10"/>
    </row>
    <row r="170">
      <c r="A170" s="10"/>
      <c r="I170" s="10"/>
    </row>
    <row r="171">
      <c r="A171" s="10"/>
      <c r="I171" s="10"/>
    </row>
    <row r="172">
      <c r="A172" s="10"/>
      <c r="I172" s="10"/>
    </row>
    <row r="173">
      <c r="A173" s="10"/>
      <c r="I173" s="10"/>
    </row>
    <row r="174">
      <c r="A174" s="10"/>
      <c r="I174" s="10"/>
    </row>
    <row r="175">
      <c r="A175" s="10"/>
      <c r="I175" s="10"/>
    </row>
    <row r="176">
      <c r="A176" s="10"/>
      <c r="I176" s="10"/>
    </row>
    <row r="177">
      <c r="A177" s="10"/>
      <c r="I177" s="10"/>
    </row>
    <row r="178">
      <c r="A178" s="10"/>
      <c r="I178" s="10"/>
    </row>
    <row r="179">
      <c r="A179" s="10"/>
      <c r="I179" s="10"/>
    </row>
    <row r="180">
      <c r="A180" s="10"/>
      <c r="I180" s="10"/>
    </row>
    <row r="181">
      <c r="A181" s="10"/>
      <c r="I181" s="10"/>
    </row>
    <row r="182">
      <c r="A182" s="10"/>
      <c r="I182" s="10"/>
    </row>
    <row r="183">
      <c r="A183" s="10"/>
      <c r="I183" s="10"/>
    </row>
    <row r="184">
      <c r="A184" s="10"/>
      <c r="I184" s="10"/>
    </row>
    <row r="185">
      <c r="A185" s="10"/>
      <c r="I185" s="10"/>
    </row>
    <row r="186">
      <c r="A186" s="10"/>
      <c r="I186" s="10"/>
    </row>
    <row r="187">
      <c r="A187" s="10"/>
      <c r="I187" s="10"/>
    </row>
    <row r="188">
      <c r="A188" s="10"/>
      <c r="I188" s="10"/>
    </row>
    <row r="189">
      <c r="A189" s="10"/>
      <c r="I189" s="10"/>
    </row>
    <row r="190">
      <c r="A190" s="10"/>
      <c r="I190" s="10"/>
    </row>
    <row r="191">
      <c r="A191" s="10"/>
      <c r="I191" s="10"/>
    </row>
    <row r="192">
      <c r="A192" s="10"/>
      <c r="I192" s="10"/>
    </row>
    <row r="193">
      <c r="A193" s="10"/>
      <c r="I193" s="10"/>
    </row>
    <row r="194">
      <c r="A194" s="10"/>
      <c r="I194" s="10"/>
    </row>
    <row r="195">
      <c r="A195" s="10"/>
      <c r="I195" s="10"/>
    </row>
    <row r="196">
      <c r="A196" s="10"/>
      <c r="I196" s="10"/>
    </row>
    <row r="197">
      <c r="A197" s="10"/>
      <c r="I197" s="10"/>
    </row>
    <row r="198">
      <c r="A198" s="10"/>
      <c r="I198" s="10"/>
    </row>
    <row r="199">
      <c r="A199" s="10"/>
      <c r="I199" s="10"/>
    </row>
    <row r="200">
      <c r="A200" s="10"/>
      <c r="I200" s="10"/>
    </row>
    <row r="201">
      <c r="A201" s="10"/>
      <c r="I201" s="10"/>
    </row>
    <row r="202">
      <c r="A202" s="10"/>
      <c r="I202" s="10"/>
    </row>
    <row r="203">
      <c r="A203" s="10"/>
      <c r="I203" s="10"/>
    </row>
    <row r="204">
      <c r="A204" s="10"/>
      <c r="I204" s="10"/>
    </row>
    <row r="205">
      <c r="A205" s="10"/>
      <c r="I205" s="10"/>
    </row>
    <row r="206">
      <c r="A206" s="10"/>
      <c r="I206" s="10"/>
    </row>
    <row r="207">
      <c r="A207" s="10"/>
      <c r="I207" s="10"/>
    </row>
    <row r="208">
      <c r="A208" s="10"/>
      <c r="I208" s="10"/>
    </row>
    <row r="209">
      <c r="A209" s="10"/>
      <c r="I209" s="10"/>
    </row>
    <row r="210">
      <c r="A210" s="10"/>
      <c r="I210" s="10"/>
    </row>
    <row r="211">
      <c r="A211" s="10"/>
      <c r="I211" s="10"/>
    </row>
    <row r="212">
      <c r="A212" s="10"/>
      <c r="I212" s="10"/>
    </row>
    <row r="213">
      <c r="A213" s="10"/>
      <c r="I213" s="10"/>
    </row>
    <row r="214">
      <c r="A214" s="10"/>
      <c r="I214" s="10"/>
    </row>
    <row r="215">
      <c r="A215" s="10"/>
      <c r="I215" s="10"/>
    </row>
    <row r="216">
      <c r="A216" s="10"/>
      <c r="I216" s="10"/>
    </row>
    <row r="217">
      <c r="A217" s="10"/>
      <c r="I217" s="10"/>
    </row>
    <row r="218">
      <c r="A218" s="10"/>
      <c r="I218" s="10"/>
    </row>
    <row r="219">
      <c r="A219" s="10"/>
      <c r="I219" s="10"/>
    </row>
    <row r="220">
      <c r="A220" s="10"/>
      <c r="I220" s="10"/>
    </row>
    <row r="221">
      <c r="A221" s="10"/>
      <c r="I221" s="10"/>
    </row>
    <row r="222">
      <c r="A222" s="10"/>
      <c r="I222" s="10"/>
    </row>
    <row r="223">
      <c r="A223" s="10"/>
      <c r="I223" s="10"/>
    </row>
    <row r="224">
      <c r="A224" s="10"/>
      <c r="I224" s="10"/>
    </row>
    <row r="225">
      <c r="A225" s="10"/>
      <c r="I225" s="10"/>
    </row>
    <row r="226">
      <c r="A226" s="10"/>
      <c r="I226" s="10"/>
    </row>
    <row r="227">
      <c r="A227" s="10"/>
      <c r="I227" s="10"/>
    </row>
    <row r="228">
      <c r="A228" s="10"/>
      <c r="I228" s="10"/>
    </row>
    <row r="229">
      <c r="A229" s="10"/>
      <c r="I229" s="10"/>
    </row>
    <row r="230">
      <c r="A230" s="10"/>
      <c r="I230" s="10"/>
    </row>
    <row r="231">
      <c r="A231" s="10"/>
      <c r="I231" s="10"/>
    </row>
    <row r="232">
      <c r="A232" s="10"/>
      <c r="I232" s="10"/>
    </row>
    <row r="233">
      <c r="A233" s="10"/>
      <c r="I233" s="10"/>
    </row>
    <row r="234">
      <c r="A234" s="10"/>
      <c r="I234" s="10"/>
    </row>
    <row r="235">
      <c r="A235" s="10"/>
      <c r="I235" s="10"/>
    </row>
    <row r="236">
      <c r="A236" s="10"/>
      <c r="I236" s="10"/>
    </row>
    <row r="237">
      <c r="A237" s="10"/>
      <c r="I237" s="10"/>
    </row>
    <row r="238">
      <c r="A238" s="10"/>
      <c r="I238" s="10"/>
    </row>
    <row r="239">
      <c r="A239" s="10"/>
      <c r="I239" s="10"/>
    </row>
    <row r="240">
      <c r="A240" s="10"/>
      <c r="I240" s="10"/>
    </row>
    <row r="241">
      <c r="A241" s="10"/>
      <c r="I241" s="10"/>
    </row>
    <row r="242">
      <c r="A242" s="10"/>
      <c r="I242" s="10"/>
    </row>
    <row r="243">
      <c r="A243" s="10"/>
      <c r="I243" s="10"/>
    </row>
    <row r="244">
      <c r="A244" s="10"/>
      <c r="I244" s="10"/>
    </row>
    <row r="245">
      <c r="A245" s="10"/>
      <c r="I245" s="10"/>
    </row>
    <row r="246">
      <c r="A246" s="10"/>
      <c r="I246" s="10"/>
    </row>
    <row r="247">
      <c r="A247" s="10"/>
      <c r="I247" s="10"/>
    </row>
    <row r="248">
      <c r="A248" s="10"/>
      <c r="I248" s="10"/>
    </row>
    <row r="249">
      <c r="A249" s="10"/>
      <c r="I249" s="10"/>
    </row>
    <row r="250">
      <c r="A250" s="10"/>
      <c r="I250" s="10"/>
    </row>
    <row r="251">
      <c r="A251" s="10"/>
      <c r="I251" s="10"/>
    </row>
    <row r="252">
      <c r="A252" s="10"/>
      <c r="I252" s="10"/>
    </row>
    <row r="253">
      <c r="A253" s="10"/>
      <c r="I253" s="10"/>
    </row>
    <row r="254">
      <c r="A254" s="10"/>
      <c r="I254" s="10"/>
    </row>
    <row r="255">
      <c r="A255" s="10"/>
      <c r="I255" s="10"/>
    </row>
    <row r="256">
      <c r="A256" s="10"/>
      <c r="I256" s="10"/>
    </row>
    <row r="257">
      <c r="A257" s="10"/>
      <c r="I257" s="10"/>
    </row>
    <row r="258">
      <c r="A258" s="10"/>
      <c r="I258" s="10"/>
    </row>
    <row r="259">
      <c r="A259" s="10"/>
      <c r="I259" s="10"/>
    </row>
    <row r="260">
      <c r="A260" s="10"/>
      <c r="I260" s="10"/>
    </row>
    <row r="261">
      <c r="A261" s="10"/>
      <c r="I261" s="10"/>
    </row>
    <row r="262">
      <c r="A262" s="10"/>
      <c r="I262" s="10"/>
    </row>
    <row r="263">
      <c r="A263" s="10"/>
      <c r="I263" s="10"/>
    </row>
    <row r="264">
      <c r="A264" s="10"/>
      <c r="I264" s="10"/>
    </row>
    <row r="265">
      <c r="A265" s="10"/>
      <c r="I265" s="10"/>
    </row>
    <row r="266">
      <c r="A266" s="10"/>
      <c r="I266" s="10"/>
    </row>
    <row r="267">
      <c r="A267" s="10"/>
      <c r="I267" s="10"/>
    </row>
    <row r="268">
      <c r="A268" s="10"/>
      <c r="I268" s="10"/>
    </row>
    <row r="269">
      <c r="A269" s="10"/>
      <c r="I269" s="10"/>
    </row>
    <row r="270">
      <c r="A270" s="10"/>
      <c r="I270" s="10"/>
    </row>
    <row r="271">
      <c r="A271" s="10"/>
      <c r="I271" s="10"/>
    </row>
    <row r="272">
      <c r="A272" s="10"/>
      <c r="I272" s="10"/>
    </row>
    <row r="273">
      <c r="A273" s="10"/>
      <c r="I273" s="10"/>
    </row>
    <row r="274">
      <c r="A274" s="10"/>
      <c r="I274" s="10"/>
    </row>
    <row r="275">
      <c r="A275" s="10"/>
      <c r="I275" s="10"/>
    </row>
    <row r="276">
      <c r="A276" s="10"/>
      <c r="I276" s="10"/>
    </row>
    <row r="277">
      <c r="A277" s="10"/>
      <c r="I277" s="10"/>
    </row>
    <row r="278">
      <c r="A278" s="10"/>
      <c r="I278" s="10"/>
    </row>
    <row r="279">
      <c r="A279" s="10"/>
      <c r="I279" s="10"/>
    </row>
    <row r="280">
      <c r="A280" s="10"/>
      <c r="I280" s="10"/>
    </row>
    <row r="281">
      <c r="A281" s="10"/>
      <c r="I281" s="10"/>
    </row>
    <row r="282">
      <c r="A282" s="10"/>
      <c r="I282" s="10"/>
    </row>
    <row r="283">
      <c r="A283" s="10"/>
      <c r="I283" s="10"/>
    </row>
    <row r="284">
      <c r="A284" s="10"/>
      <c r="I284" s="10"/>
    </row>
    <row r="285">
      <c r="A285" s="10"/>
      <c r="I285" s="10"/>
    </row>
    <row r="286">
      <c r="A286" s="10"/>
      <c r="I286" s="10"/>
    </row>
    <row r="287">
      <c r="A287" s="10"/>
      <c r="I287" s="10"/>
    </row>
    <row r="288">
      <c r="A288" s="10"/>
      <c r="I288" s="10"/>
    </row>
    <row r="289">
      <c r="A289" s="10"/>
      <c r="I289" s="10"/>
    </row>
    <row r="290">
      <c r="A290" s="10"/>
      <c r="I290" s="10"/>
    </row>
    <row r="291">
      <c r="A291" s="10"/>
      <c r="I291" s="10"/>
    </row>
    <row r="292">
      <c r="A292" s="10"/>
      <c r="I292" s="10"/>
    </row>
    <row r="293">
      <c r="A293" s="10"/>
      <c r="I293" s="10"/>
    </row>
    <row r="294">
      <c r="A294" s="10"/>
      <c r="I294" s="10"/>
    </row>
    <row r="295">
      <c r="A295" s="10"/>
      <c r="I295" s="10"/>
    </row>
    <row r="296">
      <c r="A296" s="10"/>
      <c r="I296" s="10"/>
    </row>
    <row r="297">
      <c r="A297" s="10"/>
      <c r="I297" s="10"/>
    </row>
    <row r="298">
      <c r="A298" s="10"/>
      <c r="I298" s="10"/>
    </row>
    <row r="299">
      <c r="A299" s="10"/>
      <c r="I299" s="10"/>
    </row>
    <row r="300">
      <c r="A300" s="10"/>
      <c r="I300" s="10"/>
    </row>
    <row r="301">
      <c r="A301" s="10"/>
      <c r="I301" s="10"/>
    </row>
    <row r="302">
      <c r="A302" s="10"/>
      <c r="I302" s="10"/>
    </row>
    <row r="303">
      <c r="A303" s="10"/>
      <c r="I303" s="10"/>
    </row>
    <row r="304">
      <c r="A304" s="10"/>
      <c r="I304" s="10"/>
    </row>
    <row r="305">
      <c r="A305" s="10"/>
      <c r="I305" s="10"/>
    </row>
    <row r="306">
      <c r="A306" s="10"/>
      <c r="I306" s="10"/>
    </row>
    <row r="307">
      <c r="A307" s="10"/>
      <c r="I307" s="10"/>
    </row>
    <row r="308">
      <c r="A308" s="10"/>
      <c r="I308" s="10"/>
    </row>
    <row r="309">
      <c r="A309" s="10"/>
      <c r="I309" s="10"/>
    </row>
    <row r="310">
      <c r="A310" s="10"/>
      <c r="I310" s="10"/>
    </row>
    <row r="311">
      <c r="A311" s="10"/>
      <c r="I311" s="10"/>
    </row>
    <row r="312">
      <c r="A312" s="10"/>
      <c r="I312" s="10"/>
    </row>
    <row r="313">
      <c r="A313" s="10"/>
      <c r="I313" s="10"/>
    </row>
    <row r="314">
      <c r="A314" s="10"/>
      <c r="I314" s="10"/>
    </row>
    <row r="315">
      <c r="A315" s="10"/>
      <c r="I315" s="10"/>
    </row>
    <row r="316">
      <c r="A316" s="10"/>
      <c r="I316" s="10"/>
    </row>
    <row r="317">
      <c r="A317" s="10"/>
      <c r="I317" s="10"/>
    </row>
    <row r="318">
      <c r="A318" s="10"/>
      <c r="I318" s="10"/>
    </row>
    <row r="319">
      <c r="A319" s="10"/>
      <c r="I319" s="10"/>
    </row>
    <row r="320">
      <c r="A320" s="10"/>
      <c r="I320" s="10"/>
    </row>
    <row r="321">
      <c r="A321" s="10"/>
      <c r="I321" s="10"/>
    </row>
    <row r="322">
      <c r="A322" s="10"/>
      <c r="I322" s="10"/>
    </row>
    <row r="323">
      <c r="A323" s="10"/>
      <c r="I323" s="10"/>
    </row>
    <row r="324">
      <c r="A324" s="10"/>
      <c r="I324" s="10"/>
    </row>
    <row r="325">
      <c r="A325" s="10"/>
      <c r="I325" s="10"/>
    </row>
    <row r="326">
      <c r="A326" s="10"/>
      <c r="I326" s="10"/>
    </row>
    <row r="327">
      <c r="A327" s="10"/>
      <c r="I327" s="10"/>
    </row>
    <row r="328">
      <c r="A328" s="10"/>
      <c r="I328" s="10"/>
    </row>
    <row r="329">
      <c r="A329" s="10"/>
      <c r="I329" s="10"/>
    </row>
    <row r="330">
      <c r="A330" s="10"/>
      <c r="I330" s="10"/>
    </row>
    <row r="331">
      <c r="A331" s="10"/>
      <c r="I331" s="10"/>
    </row>
    <row r="332">
      <c r="A332" s="10"/>
      <c r="I332" s="10"/>
    </row>
    <row r="333">
      <c r="A333" s="10"/>
      <c r="I333" s="10"/>
    </row>
    <row r="334">
      <c r="A334" s="10"/>
      <c r="I334" s="10"/>
    </row>
    <row r="335">
      <c r="A335" s="10"/>
      <c r="I335" s="10"/>
    </row>
    <row r="336">
      <c r="A336" s="10"/>
      <c r="I336" s="10"/>
    </row>
    <row r="337">
      <c r="A337" s="10"/>
      <c r="I337" s="10"/>
    </row>
    <row r="338">
      <c r="A338" s="10"/>
      <c r="I338" s="10"/>
    </row>
    <row r="339">
      <c r="A339" s="10"/>
      <c r="I339" s="10"/>
    </row>
    <row r="340">
      <c r="A340" s="10"/>
      <c r="I340" s="10"/>
    </row>
    <row r="341">
      <c r="A341" s="10"/>
      <c r="I341" s="10"/>
    </row>
    <row r="342">
      <c r="A342" s="10"/>
      <c r="I342" s="10"/>
    </row>
    <row r="343">
      <c r="A343" s="10"/>
      <c r="I343" s="10"/>
    </row>
    <row r="344">
      <c r="A344" s="10"/>
      <c r="I344" s="10"/>
    </row>
    <row r="345">
      <c r="A345" s="10"/>
      <c r="I345" s="10"/>
    </row>
    <row r="346">
      <c r="A346" s="10"/>
      <c r="I346" s="10"/>
    </row>
    <row r="347">
      <c r="A347" s="10"/>
      <c r="I347" s="10"/>
    </row>
    <row r="348">
      <c r="A348" s="10"/>
      <c r="I348" s="10"/>
    </row>
    <row r="349">
      <c r="A349" s="10"/>
      <c r="I349" s="10"/>
    </row>
    <row r="350">
      <c r="A350" s="10"/>
      <c r="I350" s="10"/>
    </row>
    <row r="351">
      <c r="A351" s="10"/>
      <c r="I351" s="10"/>
    </row>
    <row r="352">
      <c r="A352" s="10"/>
      <c r="I352" s="10"/>
    </row>
    <row r="353">
      <c r="A353" s="10"/>
      <c r="I353" s="10"/>
    </row>
    <row r="354">
      <c r="A354" s="10"/>
      <c r="I354" s="10"/>
    </row>
    <row r="355">
      <c r="A355" s="10"/>
      <c r="I355" s="10"/>
    </row>
    <row r="356">
      <c r="A356" s="10"/>
      <c r="I356" s="10"/>
    </row>
    <row r="357">
      <c r="A357" s="10"/>
      <c r="I357" s="10"/>
    </row>
    <row r="358">
      <c r="A358" s="10"/>
      <c r="I358" s="10"/>
    </row>
    <row r="359">
      <c r="A359" s="10"/>
      <c r="I359" s="10"/>
    </row>
    <row r="360">
      <c r="A360" s="10"/>
      <c r="I360" s="10"/>
    </row>
    <row r="361">
      <c r="A361" s="10"/>
      <c r="I361" s="10"/>
    </row>
    <row r="362">
      <c r="A362" s="10"/>
      <c r="I362" s="10"/>
    </row>
    <row r="363">
      <c r="A363" s="10"/>
      <c r="I363" s="10"/>
    </row>
    <row r="364">
      <c r="A364" s="10"/>
      <c r="I364" s="10"/>
    </row>
    <row r="365">
      <c r="A365" s="10"/>
      <c r="I365" s="10"/>
    </row>
    <row r="366">
      <c r="A366" s="10"/>
      <c r="I366" s="10"/>
    </row>
    <row r="367">
      <c r="A367" s="10"/>
      <c r="I367" s="10"/>
    </row>
    <row r="368">
      <c r="A368" s="10"/>
      <c r="I368" s="10"/>
    </row>
    <row r="369">
      <c r="A369" s="10"/>
      <c r="I369" s="10"/>
    </row>
    <row r="370">
      <c r="A370" s="10"/>
      <c r="I370" s="10"/>
    </row>
    <row r="371">
      <c r="A371" s="10"/>
      <c r="I371" s="10"/>
    </row>
    <row r="372">
      <c r="A372" s="10"/>
      <c r="I372" s="10"/>
    </row>
    <row r="373">
      <c r="A373" s="10"/>
      <c r="I373" s="10"/>
    </row>
    <row r="374">
      <c r="A374" s="10"/>
      <c r="I374" s="10"/>
    </row>
    <row r="375">
      <c r="A375" s="10"/>
      <c r="I375" s="10"/>
    </row>
    <row r="376">
      <c r="A376" s="10"/>
      <c r="I376" s="10"/>
    </row>
    <row r="377">
      <c r="A377" s="10"/>
      <c r="I377" s="10"/>
    </row>
    <row r="378">
      <c r="A378" s="10"/>
      <c r="I378" s="10"/>
    </row>
    <row r="379">
      <c r="A379" s="10"/>
      <c r="I379" s="10"/>
    </row>
    <row r="380">
      <c r="A380" s="10"/>
      <c r="I380" s="10"/>
    </row>
    <row r="381">
      <c r="A381" s="10"/>
      <c r="I381" s="10"/>
    </row>
    <row r="382">
      <c r="A382" s="10"/>
      <c r="I382" s="10"/>
    </row>
    <row r="383">
      <c r="A383" s="10"/>
      <c r="I383" s="10"/>
    </row>
    <row r="384">
      <c r="A384" s="10"/>
      <c r="I384" s="10"/>
    </row>
    <row r="385">
      <c r="A385" s="10"/>
      <c r="I385" s="10"/>
    </row>
    <row r="386">
      <c r="A386" s="10"/>
      <c r="I386" s="10"/>
    </row>
    <row r="387">
      <c r="A387" s="10"/>
      <c r="I387" s="10"/>
    </row>
    <row r="388">
      <c r="A388" s="10"/>
      <c r="I388" s="10"/>
    </row>
    <row r="389">
      <c r="A389" s="10"/>
      <c r="I389" s="10"/>
    </row>
    <row r="390">
      <c r="A390" s="10"/>
      <c r="I390" s="10"/>
    </row>
    <row r="391">
      <c r="A391" s="10"/>
      <c r="I391" s="10"/>
    </row>
    <row r="392">
      <c r="A392" s="10"/>
      <c r="I392" s="10"/>
    </row>
    <row r="393">
      <c r="A393" s="10"/>
      <c r="I393" s="10"/>
    </row>
    <row r="394">
      <c r="A394" s="10"/>
      <c r="I394" s="10"/>
    </row>
    <row r="395">
      <c r="A395" s="10"/>
      <c r="I395" s="10"/>
    </row>
    <row r="396">
      <c r="A396" s="10"/>
      <c r="I396" s="10"/>
    </row>
    <row r="397">
      <c r="A397" s="10"/>
      <c r="I397" s="10"/>
    </row>
    <row r="398">
      <c r="A398" s="10"/>
      <c r="I398" s="10"/>
    </row>
    <row r="399">
      <c r="A399" s="10"/>
      <c r="I399" s="10"/>
    </row>
    <row r="400">
      <c r="A400" s="10"/>
      <c r="I400" s="10"/>
    </row>
    <row r="401">
      <c r="A401" s="10"/>
      <c r="I401" s="10"/>
    </row>
    <row r="402">
      <c r="A402" s="10"/>
      <c r="I402" s="10"/>
    </row>
    <row r="403">
      <c r="A403" s="10"/>
      <c r="I403" s="10"/>
    </row>
    <row r="404">
      <c r="A404" s="10"/>
      <c r="I404" s="10"/>
    </row>
    <row r="405">
      <c r="A405" s="10"/>
      <c r="I405" s="10"/>
    </row>
    <row r="406">
      <c r="A406" s="10"/>
      <c r="I406" s="10"/>
    </row>
    <row r="407">
      <c r="A407" s="10"/>
      <c r="I407" s="10"/>
    </row>
    <row r="408">
      <c r="A408" s="10"/>
      <c r="I408" s="10"/>
    </row>
    <row r="409">
      <c r="A409" s="10"/>
      <c r="I409" s="10"/>
    </row>
    <row r="410">
      <c r="A410" s="10"/>
      <c r="I410" s="10"/>
    </row>
    <row r="411">
      <c r="A411" s="10"/>
      <c r="I411" s="10"/>
    </row>
    <row r="412">
      <c r="A412" s="10"/>
      <c r="I412" s="10"/>
    </row>
    <row r="413">
      <c r="A413" s="10"/>
      <c r="I413" s="10"/>
    </row>
    <row r="414">
      <c r="A414" s="10"/>
      <c r="I414" s="10"/>
    </row>
    <row r="415">
      <c r="A415" s="10"/>
      <c r="I415" s="10"/>
    </row>
    <row r="416">
      <c r="A416" s="10"/>
      <c r="I416" s="10"/>
    </row>
    <row r="417">
      <c r="A417" s="10"/>
      <c r="I417" s="10"/>
    </row>
    <row r="418">
      <c r="A418" s="10"/>
      <c r="I418" s="10"/>
    </row>
    <row r="419">
      <c r="A419" s="10"/>
      <c r="I419" s="10"/>
    </row>
    <row r="420">
      <c r="A420" s="10"/>
      <c r="I420" s="10"/>
    </row>
    <row r="421">
      <c r="A421" s="10"/>
      <c r="I421" s="10"/>
    </row>
    <row r="422">
      <c r="A422" s="10"/>
      <c r="I422" s="10"/>
    </row>
    <row r="423">
      <c r="A423" s="10"/>
      <c r="I423" s="10"/>
    </row>
    <row r="424">
      <c r="A424" s="10"/>
      <c r="I424" s="10"/>
    </row>
    <row r="425">
      <c r="A425" s="10"/>
      <c r="I425" s="10"/>
    </row>
    <row r="426">
      <c r="A426" s="10"/>
      <c r="I426" s="10"/>
    </row>
    <row r="427">
      <c r="A427" s="10"/>
      <c r="I427" s="10"/>
    </row>
    <row r="428">
      <c r="A428" s="10"/>
      <c r="I428" s="10"/>
    </row>
    <row r="429">
      <c r="A429" s="10"/>
      <c r="I429" s="10"/>
    </row>
    <row r="430">
      <c r="A430" s="10"/>
      <c r="I430" s="10"/>
    </row>
    <row r="431">
      <c r="A431" s="10"/>
      <c r="I431" s="10"/>
    </row>
    <row r="432">
      <c r="A432" s="10"/>
      <c r="I432" s="10"/>
    </row>
    <row r="433">
      <c r="A433" s="10"/>
      <c r="I433" s="10"/>
    </row>
    <row r="434">
      <c r="A434" s="10"/>
      <c r="I434" s="10"/>
    </row>
    <row r="435">
      <c r="A435" s="10"/>
      <c r="I435" s="10"/>
    </row>
    <row r="436">
      <c r="A436" s="10"/>
      <c r="I436" s="10"/>
    </row>
    <row r="437">
      <c r="A437" s="10"/>
      <c r="I437" s="10"/>
    </row>
    <row r="438">
      <c r="A438" s="10"/>
      <c r="I438" s="10"/>
    </row>
    <row r="439">
      <c r="A439" s="10"/>
      <c r="I439" s="10"/>
    </row>
    <row r="440">
      <c r="A440" s="10"/>
      <c r="I440" s="10"/>
    </row>
    <row r="441">
      <c r="A441" s="10"/>
      <c r="I441" s="10"/>
    </row>
    <row r="442">
      <c r="A442" s="10"/>
      <c r="I442" s="10"/>
    </row>
    <row r="443">
      <c r="A443" s="10"/>
      <c r="I443" s="10"/>
    </row>
    <row r="444">
      <c r="A444" s="10"/>
      <c r="I444" s="10"/>
    </row>
    <row r="445">
      <c r="A445" s="10"/>
      <c r="I445" s="10"/>
    </row>
    <row r="446">
      <c r="A446" s="10"/>
      <c r="I446" s="10"/>
    </row>
    <row r="447">
      <c r="A447" s="10"/>
      <c r="I447" s="10"/>
    </row>
    <row r="448">
      <c r="A448" s="10"/>
      <c r="I448" s="10"/>
    </row>
    <row r="449">
      <c r="A449" s="10"/>
      <c r="I449" s="10"/>
    </row>
    <row r="450">
      <c r="A450" s="10"/>
      <c r="I450" s="10"/>
    </row>
    <row r="451">
      <c r="A451" s="10"/>
      <c r="I451" s="10"/>
    </row>
    <row r="452">
      <c r="A452" s="10"/>
      <c r="I452" s="10"/>
    </row>
    <row r="453">
      <c r="A453" s="10"/>
      <c r="I453" s="10"/>
    </row>
    <row r="454">
      <c r="A454" s="10"/>
      <c r="I454" s="10"/>
    </row>
    <row r="455">
      <c r="A455" s="10"/>
      <c r="I455" s="10"/>
    </row>
    <row r="456">
      <c r="A456" s="10"/>
      <c r="I456" s="10"/>
    </row>
    <row r="457">
      <c r="A457" s="10"/>
      <c r="I457" s="10"/>
    </row>
    <row r="458">
      <c r="A458" s="10"/>
      <c r="I458" s="10"/>
    </row>
    <row r="459">
      <c r="A459" s="10"/>
      <c r="I459" s="10"/>
    </row>
    <row r="460">
      <c r="A460" s="10"/>
      <c r="I460" s="10"/>
    </row>
    <row r="461">
      <c r="A461" s="10"/>
      <c r="I461" s="10"/>
    </row>
    <row r="462">
      <c r="A462" s="10"/>
      <c r="I462" s="10"/>
    </row>
    <row r="463">
      <c r="A463" s="10"/>
      <c r="I463" s="10"/>
    </row>
    <row r="464">
      <c r="A464" s="10"/>
      <c r="I464" s="10"/>
    </row>
    <row r="465">
      <c r="A465" s="10"/>
      <c r="I465" s="10"/>
    </row>
    <row r="466">
      <c r="A466" s="10"/>
      <c r="I466" s="10"/>
    </row>
    <row r="467">
      <c r="A467" s="10"/>
      <c r="I467" s="10"/>
    </row>
    <row r="468">
      <c r="A468" s="10"/>
      <c r="I468" s="10"/>
    </row>
    <row r="469">
      <c r="A469" s="10"/>
      <c r="I469" s="10"/>
    </row>
    <row r="470">
      <c r="A470" s="10"/>
      <c r="I470" s="10"/>
    </row>
    <row r="471">
      <c r="A471" s="10"/>
      <c r="I471" s="10"/>
    </row>
    <row r="472">
      <c r="A472" s="10"/>
      <c r="I472" s="10"/>
    </row>
    <row r="473">
      <c r="A473" s="10"/>
      <c r="I473" s="10"/>
    </row>
    <row r="474">
      <c r="A474" s="10"/>
      <c r="I474" s="10"/>
    </row>
    <row r="475">
      <c r="A475" s="10"/>
      <c r="I475" s="10"/>
    </row>
    <row r="476">
      <c r="A476" s="10"/>
      <c r="I476" s="10"/>
    </row>
    <row r="477">
      <c r="A477" s="10"/>
      <c r="I477" s="10"/>
    </row>
    <row r="478">
      <c r="A478" s="10"/>
      <c r="I478" s="10"/>
    </row>
    <row r="479">
      <c r="A479" s="10"/>
      <c r="I479" s="10"/>
    </row>
    <row r="480">
      <c r="A480" s="10"/>
      <c r="I480" s="10"/>
    </row>
    <row r="481">
      <c r="A481" s="10"/>
      <c r="I481" s="10"/>
    </row>
    <row r="482">
      <c r="A482" s="10"/>
      <c r="I482" s="10"/>
    </row>
    <row r="483">
      <c r="A483" s="10"/>
      <c r="I483" s="10"/>
    </row>
    <row r="484">
      <c r="A484" s="10"/>
      <c r="I484" s="10"/>
    </row>
    <row r="485">
      <c r="A485" s="10"/>
      <c r="I485" s="10"/>
    </row>
    <row r="486">
      <c r="A486" s="10"/>
      <c r="I486" s="10"/>
    </row>
    <row r="487">
      <c r="A487" s="10"/>
      <c r="I487" s="10"/>
    </row>
    <row r="488">
      <c r="A488" s="10"/>
      <c r="I488" s="10"/>
    </row>
    <row r="489">
      <c r="A489" s="10"/>
      <c r="I489" s="10"/>
    </row>
    <row r="490">
      <c r="A490" s="10"/>
      <c r="I490" s="10"/>
    </row>
    <row r="491">
      <c r="A491" s="10"/>
      <c r="I491" s="10"/>
    </row>
    <row r="492">
      <c r="A492" s="10"/>
      <c r="I492" s="10"/>
    </row>
    <row r="493">
      <c r="A493" s="10"/>
      <c r="I493" s="10"/>
    </row>
    <row r="494">
      <c r="A494" s="10"/>
      <c r="I494" s="10"/>
    </row>
    <row r="495">
      <c r="A495" s="10"/>
      <c r="I495" s="10"/>
    </row>
    <row r="496">
      <c r="A496" s="10"/>
      <c r="I496" s="10"/>
    </row>
    <row r="497">
      <c r="A497" s="10"/>
      <c r="I497" s="10"/>
    </row>
    <row r="498">
      <c r="A498" s="10"/>
      <c r="I498" s="10"/>
    </row>
    <row r="499">
      <c r="A499" s="10"/>
      <c r="I499" s="10"/>
    </row>
    <row r="500">
      <c r="A500" s="10"/>
      <c r="I500" s="10"/>
    </row>
    <row r="501">
      <c r="A501" s="10"/>
      <c r="I501" s="10"/>
    </row>
    <row r="502">
      <c r="A502" s="10"/>
      <c r="I502" s="10"/>
    </row>
    <row r="503">
      <c r="A503" s="10"/>
      <c r="I503" s="10"/>
    </row>
    <row r="504">
      <c r="A504" s="10"/>
      <c r="I504" s="10"/>
    </row>
    <row r="505">
      <c r="A505" s="10"/>
      <c r="I505" s="10"/>
    </row>
    <row r="506">
      <c r="A506" s="10"/>
      <c r="I506" s="10"/>
    </row>
    <row r="507">
      <c r="A507" s="10"/>
      <c r="I507" s="10"/>
    </row>
    <row r="508">
      <c r="A508" s="10"/>
      <c r="I508" s="10"/>
    </row>
    <row r="509">
      <c r="A509" s="10"/>
      <c r="I509" s="10"/>
    </row>
    <row r="510">
      <c r="A510" s="10"/>
      <c r="I510" s="10"/>
    </row>
    <row r="511">
      <c r="A511" s="10"/>
      <c r="I511" s="10"/>
    </row>
    <row r="512">
      <c r="A512" s="10"/>
      <c r="I512" s="10"/>
    </row>
    <row r="513">
      <c r="A513" s="10"/>
      <c r="I513" s="10"/>
    </row>
    <row r="514">
      <c r="A514" s="10"/>
      <c r="I514" s="10"/>
    </row>
    <row r="515">
      <c r="A515" s="10"/>
      <c r="I515" s="10"/>
    </row>
    <row r="516">
      <c r="A516" s="10"/>
      <c r="I516" s="10"/>
    </row>
    <row r="517">
      <c r="A517" s="10"/>
      <c r="I517" s="10"/>
    </row>
    <row r="518">
      <c r="A518" s="10"/>
      <c r="I518" s="10"/>
    </row>
    <row r="519">
      <c r="A519" s="10"/>
      <c r="I519" s="10"/>
    </row>
    <row r="520">
      <c r="A520" s="10"/>
      <c r="I520" s="10"/>
    </row>
    <row r="521">
      <c r="A521" s="10"/>
      <c r="I521" s="10"/>
    </row>
    <row r="522">
      <c r="A522" s="10"/>
      <c r="I522" s="10"/>
    </row>
    <row r="523">
      <c r="A523" s="10"/>
      <c r="I523" s="10"/>
    </row>
    <row r="524">
      <c r="A524" s="10"/>
      <c r="I524" s="10"/>
    </row>
    <row r="525">
      <c r="A525" s="10"/>
      <c r="I525" s="10"/>
    </row>
    <row r="526">
      <c r="A526" s="10"/>
      <c r="I526" s="10"/>
    </row>
    <row r="527">
      <c r="A527" s="10"/>
      <c r="I527" s="10"/>
    </row>
    <row r="528">
      <c r="A528" s="10"/>
      <c r="I528" s="10"/>
    </row>
    <row r="529">
      <c r="A529" s="10"/>
      <c r="I529" s="10"/>
    </row>
    <row r="530">
      <c r="A530" s="10"/>
      <c r="I530" s="10"/>
    </row>
    <row r="531">
      <c r="A531" s="10"/>
      <c r="I531" s="10"/>
    </row>
    <row r="532">
      <c r="A532" s="10"/>
      <c r="I532" s="10"/>
    </row>
    <row r="533">
      <c r="A533" s="10"/>
      <c r="I533" s="10"/>
    </row>
    <row r="534">
      <c r="A534" s="10"/>
      <c r="I534" s="10"/>
    </row>
    <row r="535">
      <c r="A535" s="10"/>
      <c r="I535" s="10"/>
    </row>
    <row r="536">
      <c r="A536" s="10"/>
      <c r="I536" s="10"/>
    </row>
    <row r="537">
      <c r="A537" s="10"/>
      <c r="I537" s="10"/>
    </row>
    <row r="538">
      <c r="A538" s="10"/>
      <c r="I538" s="10"/>
    </row>
    <row r="539">
      <c r="A539" s="10"/>
      <c r="I539" s="10"/>
    </row>
    <row r="540">
      <c r="A540" s="10"/>
      <c r="I540" s="10"/>
    </row>
    <row r="541">
      <c r="A541" s="10"/>
      <c r="I541" s="10"/>
    </row>
    <row r="542">
      <c r="A542" s="10"/>
      <c r="I542" s="10"/>
    </row>
    <row r="543">
      <c r="A543" s="10"/>
      <c r="I543" s="10"/>
    </row>
    <row r="544">
      <c r="A544" s="10"/>
      <c r="I544" s="10"/>
    </row>
    <row r="545">
      <c r="A545" s="10"/>
      <c r="I545" s="10"/>
    </row>
    <row r="546">
      <c r="A546" s="10"/>
      <c r="I546" s="10"/>
    </row>
    <row r="547">
      <c r="A547" s="10"/>
      <c r="I547" s="10"/>
    </row>
    <row r="548">
      <c r="A548" s="10"/>
      <c r="I548" s="10"/>
    </row>
    <row r="549">
      <c r="A549" s="10"/>
      <c r="I549" s="10"/>
    </row>
    <row r="550">
      <c r="A550" s="10"/>
      <c r="I550" s="10"/>
    </row>
    <row r="551">
      <c r="A551" s="10"/>
      <c r="I551" s="10"/>
    </row>
    <row r="552">
      <c r="A552" s="10"/>
      <c r="I552" s="10"/>
    </row>
    <row r="553">
      <c r="A553" s="10"/>
      <c r="I553" s="10"/>
    </row>
    <row r="554">
      <c r="A554" s="10"/>
      <c r="I554" s="10"/>
    </row>
    <row r="555">
      <c r="A555" s="10"/>
      <c r="I555" s="10"/>
    </row>
    <row r="556">
      <c r="A556" s="10"/>
      <c r="I556" s="10"/>
    </row>
    <row r="557">
      <c r="A557" s="10"/>
      <c r="I557" s="10"/>
    </row>
    <row r="558">
      <c r="A558" s="10"/>
      <c r="I558" s="10"/>
    </row>
    <row r="559">
      <c r="A559" s="10"/>
      <c r="I559" s="10"/>
    </row>
    <row r="560">
      <c r="A560" s="10"/>
      <c r="I560" s="10"/>
    </row>
    <row r="561">
      <c r="A561" s="10"/>
      <c r="I561" s="10"/>
    </row>
    <row r="562">
      <c r="A562" s="10"/>
      <c r="I562" s="10"/>
    </row>
    <row r="563">
      <c r="A563" s="10"/>
      <c r="I563" s="10"/>
    </row>
    <row r="564">
      <c r="A564" s="10"/>
      <c r="I564" s="10"/>
    </row>
    <row r="565">
      <c r="A565" s="10"/>
      <c r="I565" s="10"/>
    </row>
    <row r="566">
      <c r="A566" s="10"/>
      <c r="I566" s="10"/>
    </row>
    <row r="567">
      <c r="A567" s="10"/>
      <c r="I567" s="10"/>
    </row>
    <row r="568">
      <c r="A568" s="10"/>
      <c r="I568" s="10"/>
    </row>
    <row r="569">
      <c r="A569" s="10"/>
      <c r="I569" s="10"/>
    </row>
    <row r="570">
      <c r="A570" s="10"/>
      <c r="I570" s="10"/>
    </row>
    <row r="571">
      <c r="A571" s="10"/>
      <c r="I571" s="10"/>
    </row>
    <row r="572">
      <c r="A572" s="10"/>
      <c r="I572" s="10"/>
    </row>
    <row r="573">
      <c r="A573" s="10"/>
      <c r="I573" s="10"/>
    </row>
    <row r="574">
      <c r="A574" s="10"/>
      <c r="I574" s="10"/>
    </row>
    <row r="575">
      <c r="A575" s="10"/>
      <c r="I575" s="10"/>
    </row>
    <row r="576">
      <c r="A576" s="10"/>
      <c r="I576" s="10"/>
    </row>
    <row r="577">
      <c r="A577" s="10"/>
      <c r="I577" s="10"/>
    </row>
    <row r="578">
      <c r="A578" s="10"/>
      <c r="I578" s="10"/>
    </row>
    <row r="579">
      <c r="A579" s="10"/>
      <c r="I579" s="10"/>
    </row>
    <row r="580">
      <c r="A580" s="10"/>
      <c r="I580" s="10"/>
    </row>
    <row r="581">
      <c r="A581" s="10"/>
      <c r="I581" s="10"/>
    </row>
    <row r="582">
      <c r="A582" s="10"/>
      <c r="I582" s="10"/>
    </row>
    <row r="583">
      <c r="A583" s="10"/>
      <c r="I583" s="10"/>
    </row>
    <row r="584">
      <c r="A584" s="10"/>
      <c r="I584" s="10"/>
    </row>
    <row r="585">
      <c r="A585" s="10"/>
      <c r="I585" s="10"/>
    </row>
    <row r="586">
      <c r="A586" s="10"/>
      <c r="I586" s="10"/>
    </row>
    <row r="587">
      <c r="A587" s="10"/>
      <c r="I587" s="10"/>
    </row>
    <row r="588">
      <c r="A588" s="10"/>
      <c r="I588" s="10"/>
    </row>
    <row r="589">
      <c r="A589" s="10"/>
      <c r="I589" s="10"/>
    </row>
    <row r="590">
      <c r="A590" s="10"/>
      <c r="I590" s="10"/>
    </row>
    <row r="591">
      <c r="A591" s="10"/>
      <c r="I591" s="10"/>
    </row>
    <row r="592">
      <c r="A592" s="10"/>
      <c r="I592" s="10"/>
    </row>
    <row r="593">
      <c r="A593" s="10"/>
      <c r="I593" s="10"/>
    </row>
    <row r="594">
      <c r="A594" s="10"/>
      <c r="I594" s="10"/>
    </row>
    <row r="595">
      <c r="A595" s="10"/>
      <c r="I595" s="10"/>
    </row>
    <row r="596">
      <c r="A596" s="10"/>
      <c r="I596" s="10"/>
    </row>
    <row r="597">
      <c r="A597" s="10"/>
      <c r="I597" s="10"/>
    </row>
    <row r="598">
      <c r="A598" s="10"/>
      <c r="I598" s="10"/>
    </row>
    <row r="599">
      <c r="A599" s="10"/>
      <c r="I599" s="10"/>
    </row>
    <row r="600">
      <c r="A600" s="10"/>
      <c r="I600" s="10"/>
    </row>
    <row r="601">
      <c r="A601" s="10"/>
      <c r="I601" s="10"/>
    </row>
    <row r="602">
      <c r="A602" s="10"/>
      <c r="I602" s="10"/>
    </row>
    <row r="603">
      <c r="A603" s="10"/>
      <c r="I603" s="10"/>
    </row>
    <row r="604">
      <c r="A604" s="10"/>
      <c r="I604" s="10"/>
    </row>
    <row r="605">
      <c r="A605" s="10"/>
      <c r="I605" s="10"/>
    </row>
    <row r="606">
      <c r="A606" s="10"/>
      <c r="I606" s="10"/>
    </row>
    <row r="607">
      <c r="A607" s="10"/>
      <c r="I607" s="10"/>
    </row>
    <row r="608">
      <c r="A608" s="10"/>
      <c r="I608" s="10"/>
    </row>
    <row r="609">
      <c r="A609" s="10"/>
      <c r="I609" s="10"/>
    </row>
    <row r="610">
      <c r="A610" s="10"/>
      <c r="I610" s="10"/>
    </row>
    <row r="611">
      <c r="A611" s="10"/>
      <c r="I611" s="10"/>
    </row>
    <row r="612">
      <c r="A612" s="10"/>
      <c r="I612" s="10"/>
    </row>
    <row r="613">
      <c r="A613" s="10"/>
      <c r="I613" s="10"/>
    </row>
    <row r="614">
      <c r="A614" s="10"/>
      <c r="I614" s="10"/>
    </row>
    <row r="615">
      <c r="A615" s="10"/>
      <c r="I615" s="10"/>
    </row>
    <row r="616">
      <c r="A616" s="10"/>
      <c r="I616" s="10"/>
    </row>
    <row r="617">
      <c r="A617" s="10"/>
      <c r="I617" s="10"/>
    </row>
    <row r="618">
      <c r="A618" s="10"/>
      <c r="I618" s="10"/>
    </row>
    <row r="619">
      <c r="A619" s="10"/>
      <c r="I619" s="10"/>
    </row>
    <row r="620">
      <c r="A620" s="10"/>
      <c r="I620" s="10"/>
    </row>
    <row r="621">
      <c r="A621" s="10"/>
      <c r="I621" s="10"/>
    </row>
    <row r="622">
      <c r="A622" s="10"/>
      <c r="I622" s="10"/>
    </row>
    <row r="623">
      <c r="A623" s="10"/>
      <c r="I623" s="10"/>
    </row>
    <row r="624">
      <c r="A624" s="10"/>
      <c r="I624" s="10"/>
    </row>
    <row r="625">
      <c r="A625" s="10"/>
      <c r="I625" s="10"/>
    </row>
    <row r="626">
      <c r="A626" s="10"/>
      <c r="I626" s="10"/>
    </row>
    <row r="627">
      <c r="A627" s="10"/>
      <c r="I627" s="10"/>
    </row>
    <row r="628">
      <c r="A628" s="10"/>
      <c r="I628" s="10"/>
    </row>
    <row r="629">
      <c r="A629" s="10"/>
      <c r="I629" s="10"/>
    </row>
    <row r="630">
      <c r="A630" s="10"/>
      <c r="I630" s="10"/>
    </row>
    <row r="631">
      <c r="A631" s="10"/>
      <c r="I631" s="10"/>
    </row>
    <row r="632">
      <c r="A632" s="10"/>
      <c r="I632" s="10"/>
    </row>
    <row r="633">
      <c r="A633" s="10"/>
      <c r="I633" s="10"/>
    </row>
    <row r="634">
      <c r="A634" s="10"/>
      <c r="I634" s="10"/>
    </row>
    <row r="635">
      <c r="A635" s="10"/>
      <c r="I635" s="10"/>
    </row>
    <row r="636">
      <c r="A636" s="10"/>
      <c r="I636" s="10"/>
    </row>
    <row r="637">
      <c r="A637" s="10"/>
      <c r="I637" s="10"/>
    </row>
    <row r="638">
      <c r="A638" s="10"/>
      <c r="I638" s="10"/>
    </row>
    <row r="639">
      <c r="A639" s="10"/>
      <c r="I639" s="10"/>
    </row>
    <row r="640">
      <c r="A640" s="10"/>
      <c r="I640" s="10"/>
    </row>
    <row r="641">
      <c r="A641" s="10"/>
      <c r="I641" s="10"/>
    </row>
    <row r="642">
      <c r="A642" s="10"/>
      <c r="I642" s="10"/>
    </row>
    <row r="643">
      <c r="A643" s="10"/>
      <c r="I643" s="10"/>
    </row>
    <row r="644">
      <c r="A644" s="10"/>
      <c r="I644" s="10"/>
    </row>
    <row r="645">
      <c r="A645" s="10"/>
      <c r="I645" s="10"/>
    </row>
    <row r="646">
      <c r="A646" s="10"/>
      <c r="I646" s="10"/>
    </row>
    <row r="647">
      <c r="A647" s="10"/>
      <c r="I647" s="10"/>
    </row>
    <row r="648">
      <c r="A648" s="10"/>
      <c r="I648" s="10"/>
    </row>
    <row r="649">
      <c r="A649" s="10"/>
      <c r="I649" s="10"/>
    </row>
    <row r="650">
      <c r="A650" s="10"/>
      <c r="I650" s="10"/>
    </row>
    <row r="651">
      <c r="A651" s="10"/>
      <c r="I651" s="10"/>
    </row>
    <row r="652">
      <c r="A652" s="10"/>
      <c r="I652" s="10"/>
    </row>
    <row r="653">
      <c r="A653" s="10"/>
      <c r="I653" s="10"/>
    </row>
    <row r="654">
      <c r="A654" s="10"/>
      <c r="I654" s="10"/>
    </row>
    <row r="655">
      <c r="A655" s="10"/>
      <c r="I655" s="10"/>
    </row>
    <row r="656">
      <c r="A656" s="10"/>
      <c r="I656" s="10"/>
    </row>
    <row r="657">
      <c r="A657" s="10"/>
      <c r="I657" s="10"/>
    </row>
    <row r="658">
      <c r="A658" s="10"/>
      <c r="I658" s="10"/>
    </row>
    <row r="659">
      <c r="A659" s="10"/>
      <c r="I659" s="10"/>
    </row>
    <row r="660">
      <c r="A660" s="10"/>
      <c r="I660" s="10"/>
    </row>
    <row r="661">
      <c r="A661" s="10"/>
      <c r="I661" s="10"/>
    </row>
    <row r="662">
      <c r="A662" s="10"/>
      <c r="I662" s="10"/>
    </row>
    <row r="663">
      <c r="A663" s="10"/>
      <c r="I663" s="10"/>
    </row>
    <row r="664">
      <c r="A664" s="10"/>
      <c r="I664" s="10"/>
    </row>
    <row r="665">
      <c r="A665" s="10"/>
      <c r="I665" s="10"/>
    </row>
    <row r="666">
      <c r="A666" s="10"/>
      <c r="I666" s="10"/>
    </row>
    <row r="667">
      <c r="A667" s="10"/>
      <c r="I667" s="10"/>
    </row>
    <row r="668">
      <c r="A668" s="10"/>
      <c r="I668" s="10"/>
    </row>
    <row r="669">
      <c r="A669" s="10"/>
      <c r="I669" s="10"/>
    </row>
    <row r="670">
      <c r="A670" s="10"/>
      <c r="I670" s="10"/>
    </row>
    <row r="671">
      <c r="A671" s="10"/>
      <c r="I671" s="10"/>
    </row>
    <row r="672">
      <c r="A672" s="10"/>
      <c r="I672" s="10"/>
    </row>
    <row r="673">
      <c r="A673" s="10"/>
      <c r="I673" s="10"/>
    </row>
    <row r="674">
      <c r="A674" s="10"/>
      <c r="I674" s="10"/>
    </row>
    <row r="675">
      <c r="A675" s="10"/>
      <c r="I675" s="10"/>
    </row>
    <row r="676">
      <c r="A676" s="10"/>
      <c r="I676" s="10"/>
    </row>
    <row r="677">
      <c r="A677" s="10"/>
      <c r="I677" s="10"/>
    </row>
    <row r="678">
      <c r="A678" s="10"/>
      <c r="I678" s="10"/>
    </row>
    <row r="679">
      <c r="A679" s="10"/>
      <c r="I679" s="10"/>
    </row>
    <row r="680">
      <c r="A680" s="10"/>
      <c r="I680" s="10"/>
    </row>
    <row r="681">
      <c r="A681" s="10"/>
      <c r="I681" s="10"/>
    </row>
    <row r="682">
      <c r="A682" s="10"/>
      <c r="I682" s="10"/>
    </row>
    <row r="683">
      <c r="A683" s="10"/>
      <c r="I683" s="10"/>
    </row>
    <row r="684">
      <c r="A684" s="10"/>
      <c r="I684" s="10"/>
    </row>
    <row r="685">
      <c r="A685" s="10"/>
      <c r="I685" s="10"/>
    </row>
    <row r="686">
      <c r="A686" s="10"/>
      <c r="I686" s="10"/>
    </row>
    <row r="687">
      <c r="A687" s="10"/>
      <c r="I687" s="10"/>
    </row>
    <row r="688">
      <c r="A688" s="10"/>
      <c r="I688" s="10"/>
    </row>
    <row r="689">
      <c r="A689" s="10"/>
      <c r="I689" s="10"/>
    </row>
    <row r="690">
      <c r="A690" s="10"/>
      <c r="I690" s="10"/>
    </row>
    <row r="691">
      <c r="A691" s="10"/>
      <c r="I691" s="10"/>
    </row>
    <row r="692">
      <c r="A692" s="10"/>
      <c r="I692" s="10"/>
    </row>
    <row r="693">
      <c r="A693" s="10"/>
      <c r="I693" s="10"/>
    </row>
    <row r="694">
      <c r="A694" s="10"/>
      <c r="I694" s="10"/>
    </row>
    <row r="695">
      <c r="A695" s="10"/>
      <c r="I695" s="10"/>
    </row>
    <row r="696">
      <c r="A696" s="10"/>
      <c r="I696" s="10"/>
    </row>
    <row r="697">
      <c r="A697" s="10"/>
      <c r="I697" s="10"/>
    </row>
    <row r="698">
      <c r="A698" s="10"/>
      <c r="I698" s="10"/>
    </row>
    <row r="699">
      <c r="A699" s="10"/>
      <c r="I699" s="10"/>
    </row>
    <row r="700">
      <c r="A700" s="10"/>
      <c r="I700" s="10"/>
    </row>
    <row r="701">
      <c r="A701" s="10"/>
      <c r="I701" s="10"/>
    </row>
    <row r="702">
      <c r="A702" s="10"/>
      <c r="I702" s="10"/>
    </row>
    <row r="703">
      <c r="A703" s="10"/>
      <c r="I703" s="10"/>
    </row>
    <row r="704">
      <c r="A704" s="10"/>
      <c r="I704" s="10"/>
    </row>
    <row r="705">
      <c r="A705" s="10"/>
      <c r="I705" s="10"/>
    </row>
    <row r="706">
      <c r="A706" s="10"/>
      <c r="I706" s="10"/>
    </row>
    <row r="707">
      <c r="A707" s="10"/>
      <c r="I707" s="10"/>
    </row>
    <row r="708">
      <c r="A708" s="10"/>
      <c r="I708" s="10"/>
    </row>
    <row r="709">
      <c r="A709" s="10"/>
      <c r="I709" s="10"/>
    </row>
    <row r="710">
      <c r="A710" s="10"/>
      <c r="I710" s="10"/>
    </row>
    <row r="711">
      <c r="A711" s="10"/>
      <c r="I711" s="10"/>
    </row>
    <row r="712">
      <c r="A712" s="10"/>
      <c r="I712" s="10"/>
    </row>
    <row r="713">
      <c r="A713" s="10"/>
      <c r="I713" s="10"/>
    </row>
    <row r="714">
      <c r="A714" s="10"/>
      <c r="I714" s="10"/>
    </row>
    <row r="715">
      <c r="A715" s="10"/>
      <c r="I715" s="10"/>
    </row>
    <row r="716">
      <c r="A716" s="10"/>
      <c r="I716" s="10"/>
    </row>
    <row r="717">
      <c r="A717" s="10"/>
      <c r="I717" s="10"/>
    </row>
    <row r="718">
      <c r="A718" s="10"/>
      <c r="I718" s="10"/>
    </row>
    <row r="719">
      <c r="A719" s="10"/>
      <c r="I719" s="10"/>
    </row>
    <row r="720">
      <c r="A720" s="10"/>
      <c r="I720" s="10"/>
    </row>
    <row r="721">
      <c r="A721" s="10"/>
      <c r="I721" s="10"/>
    </row>
    <row r="722">
      <c r="A722" s="10"/>
      <c r="I722" s="10"/>
    </row>
    <row r="723">
      <c r="A723" s="10"/>
      <c r="I723" s="10"/>
    </row>
    <row r="724">
      <c r="A724" s="10"/>
      <c r="I724" s="10"/>
    </row>
    <row r="725">
      <c r="A725" s="10"/>
      <c r="I725" s="10"/>
    </row>
    <row r="726">
      <c r="A726" s="10"/>
      <c r="I726" s="10"/>
    </row>
    <row r="727">
      <c r="A727" s="10"/>
      <c r="I727" s="10"/>
    </row>
    <row r="728">
      <c r="A728" s="10"/>
      <c r="I728" s="10"/>
    </row>
    <row r="729">
      <c r="A729" s="10"/>
      <c r="I729" s="10"/>
    </row>
    <row r="730">
      <c r="A730" s="10"/>
      <c r="I730" s="10"/>
    </row>
    <row r="731">
      <c r="A731" s="10"/>
      <c r="I731" s="10"/>
    </row>
    <row r="732">
      <c r="A732" s="10"/>
      <c r="I732" s="10"/>
    </row>
    <row r="733">
      <c r="A733" s="10"/>
      <c r="I733" s="10"/>
    </row>
    <row r="734">
      <c r="A734" s="10"/>
      <c r="I734" s="10"/>
    </row>
    <row r="735">
      <c r="A735" s="10"/>
      <c r="I735" s="10"/>
    </row>
    <row r="736">
      <c r="A736" s="10"/>
      <c r="I736" s="10"/>
    </row>
    <row r="737">
      <c r="A737" s="10"/>
      <c r="I737" s="10"/>
    </row>
    <row r="738">
      <c r="A738" s="10"/>
      <c r="I738" s="10"/>
    </row>
    <row r="739">
      <c r="A739" s="10"/>
      <c r="I739" s="10"/>
    </row>
    <row r="740">
      <c r="A740" s="10"/>
      <c r="I740" s="10"/>
    </row>
    <row r="741">
      <c r="A741" s="10"/>
      <c r="I741" s="10"/>
    </row>
    <row r="742">
      <c r="A742" s="10"/>
      <c r="I742" s="10"/>
    </row>
    <row r="743">
      <c r="A743" s="10"/>
      <c r="I743" s="10"/>
    </row>
    <row r="744">
      <c r="A744" s="10"/>
      <c r="I744" s="10"/>
    </row>
    <row r="745">
      <c r="A745" s="10"/>
      <c r="I745" s="10"/>
    </row>
    <row r="746">
      <c r="A746" s="10"/>
      <c r="I746" s="10"/>
    </row>
    <row r="747">
      <c r="A747" s="10"/>
      <c r="I747" s="10"/>
    </row>
    <row r="748">
      <c r="A748" s="10"/>
      <c r="I748" s="10"/>
    </row>
    <row r="749">
      <c r="A749" s="10"/>
      <c r="I749" s="10"/>
    </row>
    <row r="750">
      <c r="A750" s="10"/>
      <c r="I750" s="10"/>
    </row>
    <row r="751">
      <c r="A751" s="10"/>
      <c r="I751" s="10"/>
    </row>
    <row r="752">
      <c r="A752" s="10"/>
      <c r="I752" s="10"/>
    </row>
    <row r="753">
      <c r="A753" s="10"/>
      <c r="I753" s="10"/>
    </row>
    <row r="754">
      <c r="A754" s="10"/>
      <c r="I754" s="10"/>
    </row>
    <row r="755">
      <c r="A755" s="10"/>
      <c r="I755" s="10"/>
    </row>
    <row r="756">
      <c r="A756" s="10"/>
      <c r="I756" s="10"/>
    </row>
    <row r="757">
      <c r="A757" s="10"/>
      <c r="I757" s="10"/>
    </row>
    <row r="758">
      <c r="A758" s="10"/>
      <c r="I758" s="10"/>
    </row>
    <row r="759">
      <c r="A759" s="10"/>
      <c r="I759" s="10"/>
    </row>
    <row r="760">
      <c r="A760" s="10"/>
      <c r="I760" s="10"/>
    </row>
    <row r="761">
      <c r="A761" s="10"/>
      <c r="I761" s="10"/>
    </row>
    <row r="762">
      <c r="A762" s="10"/>
      <c r="I762" s="10"/>
    </row>
    <row r="763">
      <c r="A763" s="10"/>
      <c r="I763" s="10"/>
    </row>
    <row r="764">
      <c r="A764" s="10"/>
      <c r="I764" s="10"/>
    </row>
    <row r="765">
      <c r="A765" s="10"/>
      <c r="I765" s="10"/>
    </row>
    <row r="766">
      <c r="A766" s="10"/>
      <c r="I766" s="10"/>
    </row>
    <row r="767">
      <c r="A767" s="10"/>
      <c r="I767" s="10"/>
    </row>
    <row r="768">
      <c r="A768" s="10"/>
      <c r="I768" s="10"/>
    </row>
    <row r="769">
      <c r="A769" s="10"/>
      <c r="I769" s="10"/>
    </row>
    <row r="770">
      <c r="A770" s="10"/>
      <c r="I770" s="10"/>
    </row>
    <row r="771">
      <c r="A771" s="10"/>
      <c r="I771" s="10"/>
    </row>
    <row r="772">
      <c r="A772" s="10"/>
      <c r="I772" s="10"/>
    </row>
    <row r="773">
      <c r="A773" s="10"/>
      <c r="I773" s="10"/>
    </row>
    <row r="774">
      <c r="A774" s="10"/>
      <c r="I774" s="10"/>
    </row>
    <row r="775">
      <c r="A775" s="10"/>
      <c r="I775" s="10"/>
    </row>
    <row r="776">
      <c r="A776" s="10"/>
      <c r="I776" s="10"/>
    </row>
    <row r="777">
      <c r="A777" s="10"/>
      <c r="I777" s="10"/>
    </row>
    <row r="778">
      <c r="A778" s="10"/>
      <c r="I778" s="10"/>
    </row>
    <row r="779">
      <c r="A779" s="10"/>
      <c r="I779" s="10"/>
    </row>
    <row r="780">
      <c r="A780" s="10"/>
      <c r="I780" s="10"/>
    </row>
    <row r="781">
      <c r="A781" s="10"/>
      <c r="I781" s="10"/>
    </row>
    <row r="782">
      <c r="A782" s="10"/>
      <c r="I782" s="10"/>
    </row>
    <row r="783">
      <c r="A783" s="10"/>
      <c r="I783" s="10"/>
    </row>
    <row r="784">
      <c r="A784" s="10"/>
      <c r="I784" s="10"/>
    </row>
    <row r="785">
      <c r="A785" s="10"/>
      <c r="I785" s="10"/>
    </row>
    <row r="786">
      <c r="A786" s="10"/>
      <c r="I786" s="10"/>
    </row>
    <row r="787">
      <c r="A787" s="10"/>
      <c r="I787" s="10"/>
    </row>
    <row r="788">
      <c r="A788" s="10"/>
      <c r="I788" s="10"/>
    </row>
    <row r="789">
      <c r="A789" s="10"/>
      <c r="I789" s="10"/>
    </row>
    <row r="790">
      <c r="A790" s="10"/>
      <c r="I790" s="10"/>
    </row>
    <row r="791">
      <c r="A791" s="10"/>
      <c r="I791" s="10"/>
    </row>
    <row r="792">
      <c r="A792" s="10"/>
      <c r="I792" s="10"/>
    </row>
    <row r="793">
      <c r="A793" s="10"/>
      <c r="I793" s="10"/>
    </row>
    <row r="794">
      <c r="A794" s="10"/>
      <c r="I794" s="10"/>
    </row>
    <row r="795">
      <c r="A795" s="10"/>
      <c r="I795" s="10"/>
    </row>
    <row r="796">
      <c r="A796" s="10"/>
      <c r="I796" s="10"/>
    </row>
    <row r="797">
      <c r="A797" s="10"/>
      <c r="I797" s="10"/>
    </row>
    <row r="798">
      <c r="A798" s="10"/>
      <c r="I798" s="10"/>
    </row>
    <row r="799">
      <c r="A799" s="10"/>
      <c r="I799" s="10"/>
    </row>
    <row r="800">
      <c r="A800" s="10"/>
      <c r="I800" s="10"/>
    </row>
    <row r="801">
      <c r="A801" s="10"/>
      <c r="I801" s="10"/>
    </row>
    <row r="802">
      <c r="A802" s="10"/>
      <c r="I802" s="10"/>
    </row>
    <row r="803">
      <c r="A803" s="10"/>
      <c r="I803" s="10"/>
    </row>
    <row r="804">
      <c r="A804" s="10"/>
      <c r="I804" s="10"/>
    </row>
    <row r="805">
      <c r="A805" s="10"/>
      <c r="I805" s="10"/>
    </row>
    <row r="806">
      <c r="A806" s="10"/>
      <c r="I806" s="10"/>
    </row>
    <row r="807">
      <c r="A807" s="10"/>
      <c r="I807" s="10"/>
    </row>
    <row r="808">
      <c r="A808" s="10"/>
      <c r="I808" s="10"/>
    </row>
    <row r="809">
      <c r="A809" s="10"/>
      <c r="I809" s="10"/>
    </row>
    <row r="810">
      <c r="A810" s="10"/>
      <c r="I810" s="10"/>
    </row>
    <row r="811">
      <c r="A811" s="10"/>
      <c r="I811" s="10"/>
    </row>
    <row r="812">
      <c r="A812" s="10"/>
      <c r="I812" s="10"/>
    </row>
    <row r="813">
      <c r="A813" s="10"/>
      <c r="I813" s="10"/>
    </row>
    <row r="814">
      <c r="A814" s="10"/>
      <c r="I814" s="10"/>
    </row>
    <row r="815">
      <c r="A815" s="10"/>
      <c r="I815" s="10"/>
    </row>
    <row r="816">
      <c r="A816" s="10"/>
      <c r="I816" s="10"/>
    </row>
    <row r="817">
      <c r="A817" s="10"/>
      <c r="I817" s="10"/>
    </row>
    <row r="818">
      <c r="A818" s="10"/>
      <c r="I818" s="10"/>
    </row>
    <row r="819">
      <c r="A819" s="10"/>
      <c r="I819" s="10"/>
    </row>
    <row r="820">
      <c r="A820" s="10"/>
      <c r="I820" s="10"/>
    </row>
    <row r="821">
      <c r="A821" s="10"/>
      <c r="I821" s="10"/>
    </row>
    <row r="822">
      <c r="A822" s="10"/>
      <c r="I822" s="10"/>
    </row>
    <row r="823">
      <c r="A823" s="10"/>
      <c r="I823" s="10"/>
    </row>
    <row r="824">
      <c r="A824" s="10"/>
      <c r="I824" s="10"/>
    </row>
    <row r="825">
      <c r="A825" s="10"/>
      <c r="I825" s="10"/>
    </row>
    <row r="826">
      <c r="A826" s="10"/>
      <c r="I826" s="10"/>
    </row>
    <row r="827">
      <c r="A827" s="10"/>
      <c r="I827" s="10"/>
    </row>
    <row r="828">
      <c r="A828" s="10"/>
      <c r="I828" s="10"/>
    </row>
    <row r="829">
      <c r="A829" s="10"/>
      <c r="I829" s="10"/>
    </row>
    <row r="830">
      <c r="A830" s="10"/>
      <c r="I830" s="10"/>
    </row>
    <row r="831">
      <c r="A831" s="10"/>
      <c r="I831" s="10"/>
    </row>
    <row r="832">
      <c r="A832" s="10"/>
      <c r="I832" s="10"/>
    </row>
    <row r="833">
      <c r="A833" s="10"/>
      <c r="I833" s="10"/>
    </row>
    <row r="834">
      <c r="A834" s="10"/>
      <c r="I834" s="10"/>
    </row>
    <row r="835">
      <c r="A835" s="10"/>
      <c r="I835" s="10"/>
    </row>
    <row r="836">
      <c r="A836" s="10"/>
      <c r="I836" s="10"/>
    </row>
    <row r="837">
      <c r="A837" s="10"/>
      <c r="I837" s="10"/>
    </row>
    <row r="838">
      <c r="A838" s="10"/>
      <c r="I838" s="10"/>
    </row>
    <row r="839">
      <c r="A839" s="10"/>
      <c r="I839" s="10"/>
    </row>
    <row r="840">
      <c r="A840" s="10"/>
      <c r="I840" s="10"/>
    </row>
    <row r="841">
      <c r="A841" s="10"/>
      <c r="I841" s="10"/>
    </row>
    <row r="842">
      <c r="A842" s="10"/>
      <c r="I842" s="10"/>
    </row>
    <row r="843">
      <c r="A843" s="10"/>
      <c r="I843" s="10"/>
    </row>
    <row r="844">
      <c r="A844" s="10"/>
      <c r="I844" s="10"/>
    </row>
    <row r="845">
      <c r="A845" s="10"/>
      <c r="I845" s="10"/>
    </row>
    <row r="846">
      <c r="A846" s="10"/>
      <c r="I846" s="10"/>
    </row>
    <row r="847">
      <c r="A847" s="10"/>
      <c r="I847" s="10"/>
    </row>
    <row r="848">
      <c r="A848" s="10"/>
      <c r="I848" s="10"/>
    </row>
    <row r="849">
      <c r="A849" s="10"/>
      <c r="I849" s="10"/>
    </row>
    <row r="850">
      <c r="A850" s="10"/>
      <c r="I850" s="10"/>
    </row>
    <row r="851">
      <c r="A851" s="10"/>
      <c r="I851" s="10"/>
    </row>
    <row r="852">
      <c r="A852" s="10"/>
      <c r="I852" s="10"/>
    </row>
    <row r="853">
      <c r="A853" s="10"/>
      <c r="I853" s="10"/>
    </row>
    <row r="854">
      <c r="A854" s="10"/>
      <c r="I854" s="10"/>
    </row>
    <row r="855">
      <c r="A855" s="10"/>
      <c r="I855" s="10"/>
    </row>
    <row r="856">
      <c r="A856" s="10"/>
      <c r="I856" s="10"/>
    </row>
    <row r="857">
      <c r="A857" s="10"/>
      <c r="I857" s="10"/>
    </row>
    <row r="858">
      <c r="A858" s="10"/>
      <c r="I858" s="10"/>
    </row>
    <row r="859">
      <c r="A859" s="10"/>
      <c r="I859" s="10"/>
    </row>
    <row r="860">
      <c r="A860" s="10"/>
      <c r="I860" s="10"/>
    </row>
    <row r="861">
      <c r="A861" s="10"/>
      <c r="I861" s="10"/>
    </row>
    <row r="862">
      <c r="A862" s="10"/>
      <c r="I862" s="10"/>
    </row>
    <row r="863">
      <c r="A863" s="10"/>
      <c r="I863" s="10"/>
    </row>
    <row r="864">
      <c r="A864" s="10"/>
      <c r="I864" s="10"/>
    </row>
    <row r="865">
      <c r="A865" s="10"/>
      <c r="I865" s="10"/>
    </row>
    <row r="866">
      <c r="A866" s="10"/>
      <c r="I866" s="10"/>
    </row>
    <row r="867">
      <c r="A867" s="10"/>
      <c r="I867" s="10"/>
    </row>
    <row r="868">
      <c r="A868" s="10"/>
      <c r="I868" s="10"/>
    </row>
    <row r="869">
      <c r="A869" s="10"/>
      <c r="I869" s="10"/>
    </row>
    <row r="870">
      <c r="A870" s="10"/>
      <c r="I870" s="10"/>
    </row>
    <row r="871">
      <c r="A871" s="10"/>
      <c r="I871" s="10"/>
    </row>
    <row r="872">
      <c r="A872" s="10"/>
      <c r="I872" s="10"/>
    </row>
    <row r="873">
      <c r="A873" s="10"/>
      <c r="I873" s="10"/>
    </row>
    <row r="874">
      <c r="A874" s="10"/>
      <c r="I874" s="10"/>
    </row>
    <row r="875">
      <c r="A875" s="10"/>
      <c r="I875" s="10"/>
    </row>
    <row r="876">
      <c r="A876" s="10"/>
      <c r="I876" s="10"/>
    </row>
    <row r="877">
      <c r="A877" s="10"/>
      <c r="I877" s="10"/>
    </row>
    <row r="878">
      <c r="A878" s="10"/>
      <c r="I878" s="10"/>
    </row>
    <row r="879">
      <c r="A879" s="10"/>
      <c r="I879" s="10"/>
    </row>
    <row r="880">
      <c r="A880" s="10"/>
      <c r="I880" s="10"/>
    </row>
    <row r="881">
      <c r="A881" s="10"/>
      <c r="I881" s="10"/>
    </row>
    <row r="882">
      <c r="A882" s="10"/>
      <c r="I882" s="10"/>
    </row>
    <row r="883">
      <c r="A883" s="10"/>
      <c r="I883" s="10"/>
    </row>
    <row r="884">
      <c r="A884" s="10"/>
      <c r="I884" s="10"/>
    </row>
    <row r="885">
      <c r="A885" s="10"/>
      <c r="I885" s="10"/>
    </row>
    <row r="886">
      <c r="A886" s="10"/>
      <c r="I886" s="10"/>
    </row>
    <row r="887">
      <c r="A887" s="10"/>
      <c r="I887" s="10"/>
    </row>
    <row r="888">
      <c r="A888" s="10"/>
      <c r="I888" s="10"/>
    </row>
    <row r="889">
      <c r="A889" s="10"/>
      <c r="I889" s="10"/>
    </row>
    <row r="890">
      <c r="A890" s="10"/>
      <c r="I890" s="10"/>
    </row>
    <row r="891">
      <c r="A891" s="10"/>
      <c r="I891" s="10"/>
    </row>
    <row r="892">
      <c r="A892" s="10"/>
      <c r="I892" s="10"/>
    </row>
    <row r="893">
      <c r="A893" s="10"/>
      <c r="I893" s="10"/>
    </row>
    <row r="894">
      <c r="A894" s="10"/>
      <c r="I894" s="10"/>
    </row>
    <row r="895">
      <c r="A895" s="10"/>
      <c r="I895" s="10"/>
    </row>
    <row r="896">
      <c r="A896" s="10"/>
      <c r="I896" s="10"/>
    </row>
    <row r="897">
      <c r="A897" s="10"/>
      <c r="I897" s="10"/>
    </row>
    <row r="898">
      <c r="A898" s="10"/>
      <c r="I898" s="10"/>
    </row>
    <row r="899">
      <c r="A899" s="10"/>
      <c r="I899" s="10"/>
    </row>
    <row r="900">
      <c r="A900" s="10"/>
      <c r="I900" s="10"/>
    </row>
    <row r="901">
      <c r="A901" s="10"/>
      <c r="I901" s="10"/>
    </row>
    <row r="902">
      <c r="A902" s="10"/>
      <c r="I902" s="10"/>
    </row>
    <row r="903">
      <c r="A903" s="10"/>
      <c r="I903" s="10"/>
    </row>
    <row r="904">
      <c r="A904" s="10"/>
      <c r="I904" s="10"/>
    </row>
    <row r="905">
      <c r="A905" s="10"/>
      <c r="I905" s="10"/>
    </row>
    <row r="906">
      <c r="A906" s="10"/>
      <c r="I906" s="10"/>
    </row>
    <row r="907">
      <c r="A907" s="10"/>
      <c r="I907" s="10"/>
    </row>
    <row r="908">
      <c r="A908" s="10"/>
      <c r="I908" s="10"/>
    </row>
    <row r="909">
      <c r="A909" s="10"/>
      <c r="I909" s="10"/>
    </row>
    <row r="910">
      <c r="A910" s="10"/>
      <c r="I910" s="10"/>
    </row>
    <row r="911">
      <c r="A911" s="10"/>
      <c r="I911" s="10"/>
    </row>
    <row r="912">
      <c r="A912" s="10"/>
      <c r="I912" s="10"/>
    </row>
    <row r="913">
      <c r="A913" s="10"/>
      <c r="I913" s="10"/>
    </row>
    <row r="914">
      <c r="A914" s="10"/>
      <c r="I914" s="10"/>
    </row>
    <row r="915">
      <c r="A915" s="10"/>
      <c r="I915" s="10"/>
    </row>
    <row r="916">
      <c r="A916" s="10"/>
      <c r="I916" s="10"/>
    </row>
    <row r="917">
      <c r="A917" s="10"/>
      <c r="I917" s="10"/>
    </row>
    <row r="918">
      <c r="A918" s="10"/>
      <c r="I918" s="10"/>
    </row>
    <row r="919">
      <c r="A919" s="10"/>
      <c r="I919" s="10"/>
    </row>
    <row r="920">
      <c r="A920" s="10"/>
      <c r="I920" s="10"/>
    </row>
    <row r="921">
      <c r="A921" s="10"/>
      <c r="I921" s="10"/>
    </row>
    <row r="922">
      <c r="A922" s="10"/>
      <c r="I922" s="10"/>
    </row>
    <row r="923">
      <c r="A923" s="10"/>
      <c r="I923" s="10"/>
    </row>
    <row r="924">
      <c r="A924" s="10"/>
      <c r="I924" s="10"/>
    </row>
    <row r="925">
      <c r="A925" s="10"/>
      <c r="I925" s="10"/>
    </row>
    <row r="926">
      <c r="A926" s="10"/>
      <c r="I926" s="10"/>
    </row>
    <row r="927">
      <c r="A927" s="10"/>
      <c r="I927" s="10"/>
    </row>
    <row r="928">
      <c r="A928" s="10"/>
      <c r="I928" s="10"/>
    </row>
    <row r="929">
      <c r="A929" s="10"/>
      <c r="I929" s="10"/>
    </row>
    <row r="930">
      <c r="A930" s="10"/>
      <c r="I930" s="10"/>
    </row>
    <row r="931">
      <c r="A931" s="10"/>
      <c r="I931" s="10"/>
    </row>
    <row r="932">
      <c r="A932" s="10"/>
      <c r="I932" s="10"/>
    </row>
    <row r="933">
      <c r="A933" s="10"/>
      <c r="I933" s="10"/>
    </row>
    <row r="934">
      <c r="A934" s="10"/>
      <c r="I934" s="10"/>
    </row>
    <row r="935">
      <c r="A935" s="10"/>
      <c r="I935" s="10"/>
    </row>
    <row r="936">
      <c r="A936" s="10"/>
      <c r="I936" s="10"/>
    </row>
    <row r="937">
      <c r="A937" s="10"/>
      <c r="I937" s="10"/>
    </row>
    <row r="938">
      <c r="A938" s="10"/>
      <c r="I938" s="10"/>
    </row>
    <row r="939">
      <c r="A939" s="10"/>
      <c r="I939" s="10"/>
    </row>
    <row r="940">
      <c r="A940" s="10"/>
      <c r="I940" s="10"/>
    </row>
    <row r="941">
      <c r="A941" s="10"/>
      <c r="I941" s="10"/>
    </row>
    <row r="942">
      <c r="A942" s="10"/>
      <c r="I942" s="10"/>
    </row>
    <row r="943">
      <c r="A943" s="10"/>
      <c r="I943" s="10"/>
    </row>
    <row r="944">
      <c r="A944" s="10"/>
      <c r="I944" s="10"/>
    </row>
    <row r="945">
      <c r="A945" s="10"/>
      <c r="I945" s="10"/>
    </row>
    <row r="946">
      <c r="A946" s="10"/>
      <c r="I946" s="10"/>
    </row>
    <row r="947">
      <c r="A947" s="10"/>
      <c r="I947" s="10"/>
    </row>
    <row r="948">
      <c r="A948" s="10"/>
      <c r="I948" s="10"/>
    </row>
    <row r="949">
      <c r="A949" s="10"/>
      <c r="I949" s="10"/>
    </row>
    <row r="950">
      <c r="A950" s="10"/>
      <c r="I950" s="10"/>
    </row>
    <row r="951">
      <c r="A951" s="10"/>
      <c r="I951" s="10"/>
    </row>
    <row r="952">
      <c r="A952" s="10"/>
      <c r="I952" s="10"/>
    </row>
    <row r="953">
      <c r="A953" s="10"/>
      <c r="I953" s="10"/>
    </row>
    <row r="954">
      <c r="A954" s="10"/>
      <c r="I954" s="10"/>
    </row>
    <row r="955">
      <c r="A955" s="10"/>
      <c r="I955" s="10"/>
    </row>
    <row r="956">
      <c r="A956" s="10"/>
      <c r="I956" s="10"/>
    </row>
    <row r="957">
      <c r="A957" s="10"/>
      <c r="I957" s="10"/>
    </row>
    <row r="958">
      <c r="A958" s="10"/>
      <c r="I958" s="10"/>
    </row>
    <row r="959">
      <c r="A959" s="10"/>
      <c r="I959" s="10"/>
    </row>
    <row r="960">
      <c r="A960" s="10"/>
      <c r="I960" s="10"/>
    </row>
    <row r="961">
      <c r="A961" s="10"/>
      <c r="I961" s="10"/>
    </row>
    <row r="962">
      <c r="A962" s="10"/>
      <c r="I962" s="10"/>
    </row>
    <row r="963">
      <c r="A963" s="10"/>
      <c r="I963" s="10"/>
    </row>
    <row r="964">
      <c r="A964" s="10"/>
      <c r="I964" s="10"/>
    </row>
    <row r="965">
      <c r="A965" s="10"/>
      <c r="I965" s="10"/>
    </row>
    <row r="966">
      <c r="A966" s="10"/>
      <c r="I966" s="10"/>
    </row>
    <row r="967">
      <c r="A967" s="10"/>
      <c r="I967" s="10"/>
    </row>
    <row r="968">
      <c r="A968" s="10"/>
      <c r="I968" s="10"/>
    </row>
    <row r="969">
      <c r="A969" s="10"/>
      <c r="I969" s="10"/>
    </row>
    <row r="970">
      <c r="A970" s="10"/>
      <c r="I970" s="10"/>
    </row>
    <row r="971">
      <c r="A971" s="10"/>
      <c r="I971" s="10"/>
    </row>
    <row r="972">
      <c r="A972" s="10"/>
      <c r="I972" s="10"/>
    </row>
    <row r="973">
      <c r="A973" s="10"/>
      <c r="I973" s="10"/>
    </row>
    <row r="974">
      <c r="A974" s="10"/>
      <c r="I974" s="10"/>
    </row>
    <row r="975">
      <c r="A975" s="10"/>
      <c r="I975" s="10"/>
    </row>
    <row r="976">
      <c r="A976" s="10"/>
      <c r="I976" s="10"/>
    </row>
    <row r="977">
      <c r="A977" s="10"/>
      <c r="I977" s="10"/>
    </row>
    <row r="978">
      <c r="A978" s="10"/>
      <c r="I978" s="10"/>
    </row>
    <row r="979">
      <c r="A979" s="10"/>
      <c r="I979" s="10"/>
    </row>
    <row r="980">
      <c r="A980" s="10"/>
      <c r="I980" s="10"/>
    </row>
    <row r="981">
      <c r="A981" s="10"/>
      <c r="I981" s="10"/>
    </row>
    <row r="982">
      <c r="A982" s="10"/>
      <c r="I982" s="10"/>
    </row>
    <row r="983">
      <c r="A983" s="10"/>
      <c r="I983" s="10"/>
    </row>
    <row r="984">
      <c r="A984" s="10"/>
      <c r="I984" s="10"/>
    </row>
    <row r="985">
      <c r="A985" s="10"/>
      <c r="I985" s="10"/>
    </row>
    <row r="986">
      <c r="A986" s="10"/>
      <c r="I986" s="10"/>
    </row>
    <row r="987">
      <c r="A987" s="10"/>
      <c r="I987" s="10"/>
    </row>
    <row r="988">
      <c r="A988" s="10"/>
      <c r="I988" s="10"/>
    </row>
    <row r="989">
      <c r="A989" s="10"/>
      <c r="I989" s="10"/>
    </row>
    <row r="990">
      <c r="A990" s="10"/>
      <c r="I990" s="10"/>
    </row>
    <row r="991">
      <c r="A991" s="10"/>
      <c r="I991" s="10"/>
    </row>
    <row r="992">
      <c r="A992" s="10"/>
      <c r="I992" s="10"/>
    </row>
    <row r="993">
      <c r="A993" s="10"/>
      <c r="I993" s="10"/>
    </row>
    <row r="994">
      <c r="A994" s="10"/>
      <c r="I994" s="10"/>
    </row>
    <row r="995">
      <c r="A995" s="10"/>
      <c r="I995" s="10"/>
    </row>
    <row r="996">
      <c r="A996" s="10"/>
      <c r="I996" s="10"/>
    </row>
    <row r="997">
      <c r="A997" s="10"/>
      <c r="I997" s="10"/>
    </row>
    <row r="998">
      <c r="A998" s="10"/>
      <c r="I998" s="10"/>
    </row>
    <row r="999">
      <c r="A999" s="10"/>
      <c r="I999" s="10"/>
    </row>
    <row r="1000">
      <c r="A1000" s="10"/>
      <c r="I1000" s="10"/>
    </row>
    <row r="1001">
      <c r="A1001" s="10"/>
      <c r="I1001" s="10"/>
    </row>
    <row r="1002">
      <c r="A1002" s="10"/>
      <c r="I1002" s="10"/>
    </row>
    <row r="1003">
      <c r="A1003" s="10"/>
      <c r="I1003" s="10"/>
    </row>
    <row r="1004">
      <c r="A1004" s="10"/>
      <c r="I1004" s="10"/>
    </row>
    <row r="1005">
      <c r="A1005" s="10"/>
      <c r="I1005" s="10"/>
    </row>
    <row r="1006">
      <c r="A1006" s="10"/>
      <c r="I1006" s="10"/>
    </row>
    <row r="1007">
      <c r="A1007" s="10"/>
      <c r="I1007" s="10"/>
    </row>
    <row r="1008">
      <c r="A1008" s="10"/>
      <c r="I1008" s="10"/>
    </row>
    <row r="1009">
      <c r="A1009" s="10"/>
      <c r="I1009" s="10"/>
    </row>
    <row r="1010">
      <c r="A1010" s="10"/>
      <c r="I1010" s="10"/>
    </row>
    <row r="1011">
      <c r="A1011" s="10"/>
      <c r="I1011" s="10"/>
    </row>
    <row r="1012">
      <c r="A1012" s="10"/>
      <c r="I1012" s="10"/>
    </row>
    <row r="1013">
      <c r="A1013" s="10"/>
      <c r="I1013" s="10"/>
    </row>
    <row r="1014">
      <c r="A1014" s="10"/>
      <c r="I1014" s="10"/>
    </row>
    <row r="1015">
      <c r="A1015" s="10"/>
      <c r="I1015" s="10"/>
    </row>
    <row r="1016">
      <c r="A1016" s="10"/>
      <c r="I1016" s="10"/>
    </row>
    <row r="1017">
      <c r="A1017" s="10"/>
      <c r="I1017" s="10"/>
    </row>
    <row r="1018">
      <c r="A1018" s="10"/>
      <c r="I1018" s="10"/>
    </row>
    <row r="1019">
      <c r="A1019" s="10"/>
      <c r="I1019" s="10"/>
    </row>
    <row r="1020">
      <c r="A1020" s="10"/>
      <c r="I1020" s="10"/>
    </row>
    <row r="1021">
      <c r="A1021" s="10"/>
      <c r="I1021" s="10"/>
    </row>
    <row r="1022">
      <c r="A1022" s="10"/>
      <c r="I1022" s="10"/>
    </row>
    <row r="1023">
      <c r="A1023" s="10"/>
      <c r="I1023" s="10"/>
    </row>
    <row r="1024">
      <c r="A1024" s="10"/>
      <c r="I1024" s="10"/>
    </row>
    <row r="1025">
      <c r="A1025" s="10"/>
      <c r="I1025" s="10"/>
    </row>
    <row r="1026">
      <c r="A1026" s="10"/>
      <c r="I1026" s="10"/>
    </row>
    <row r="1027">
      <c r="A1027" s="10"/>
      <c r="I1027" s="10"/>
    </row>
    <row r="1028">
      <c r="A1028" s="10"/>
      <c r="I1028" s="10"/>
    </row>
    <row r="1029">
      <c r="A1029" s="10"/>
      <c r="I1029" s="10"/>
    </row>
    <row r="1030">
      <c r="A1030" s="10"/>
      <c r="I1030" s="10"/>
    </row>
    <row r="1031">
      <c r="A1031" s="10"/>
      <c r="I1031" s="10"/>
    </row>
    <row r="1032">
      <c r="A1032" s="10"/>
      <c r="I1032" s="10"/>
    </row>
    <row r="1033">
      <c r="A1033" s="10"/>
      <c r="I1033" s="10"/>
    </row>
    <row r="1034">
      <c r="A1034" s="10"/>
      <c r="I1034" s="10"/>
    </row>
    <row r="1035">
      <c r="A1035" s="10"/>
      <c r="I1035" s="10"/>
    </row>
    <row r="1036">
      <c r="A1036" s="10"/>
      <c r="I1036" s="10"/>
    </row>
    <row r="1037">
      <c r="A1037" s="10"/>
      <c r="I1037" s="10"/>
    </row>
    <row r="1038">
      <c r="A1038" s="10"/>
      <c r="I1038" s="10"/>
    </row>
    <row r="1039">
      <c r="A1039" s="10"/>
      <c r="I1039" s="10"/>
    </row>
    <row r="1040">
      <c r="A1040" s="10"/>
      <c r="I1040" s="10"/>
    </row>
    <row r="1041">
      <c r="A1041" s="10"/>
      <c r="I1041" s="10"/>
    </row>
    <row r="1042">
      <c r="A1042" s="10"/>
      <c r="I1042" s="10"/>
    </row>
    <row r="1043">
      <c r="A1043" s="10"/>
      <c r="I1043" s="10"/>
    </row>
    <row r="1044">
      <c r="A1044" s="10"/>
      <c r="I1044" s="10"/>
    </row>
    <row r="1045">
      <c r="A1045" s="10"/>
      <c r="I1045" s="10"/>
    </row>
    <row r="1046">
      <c r="A1046" s="10"/>
      <c r="I1046" s="10"/>
    </row>
    <row r="1047">
      <c r="A1047" s="10"/>
      <c r="I1047" s="10"/>
    </row>
    <row r="1048">
      <c r="A1048" s="10"/>
      <c r="I1048" s="10"/>
    </row>
    <row r="1049">
      <c r="A1049" s="10"/>
      <c r="I1049" s="10"/>
    </row>
    <row r="1050">
      <c r="A1050" s="10"/>
      <c r="I1050" s="10"/>
    </row>
    <row r="1051">
      <c r="A1051" s="10"/>
      <c r="I1051" s="10"/>
    </row>
    <row r="1052">
      <c r="A1052" s="10"/>
      <c r="I1052" s="10"/>
    </row>
    <row r="1053">
      <c r="I1053" s="10"/>
    </row>
    <row r="1054">
      <c r="I1054" s="10"/>
    </row>
    <row r="1055">
      <c r="I1055" s="10"/>
    </row>
    <row r="1056">
      <c r="I1056" s="10"/>
    </row>
  </sheetData>
  <mergeCells count="4">
    <mergeCell ref="I2:P2"/>
    <mergeCell ref="I25:P25"/>
    <mergeCell ref="I34:P34"/>
    <mergeCell ref="I57:P5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75"/>
    <col customWidth="1" min="2" max="3" width="14.5"/>
    <col customWidth="1" min="4" max="4" width="16.5"/>
    <col customWidth="1" min="5" max="6" width="14.63"/>
  </cols>
  <sheetData>
    <row r="1">
      <c r="A1" s="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3" t="s">
        <v>8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</row>
    <row r="2">
      <c r="A2" s="4" t="s">
        <v>9</v>
      </c>
      <c r="B2" s="15"/>
      <c r="C2" s="15"/>
      <c r="D2" s="15"/>
      <c r="E2" s="15"/>
      <c r="F2" s="15"/>
      <c r="G2" s="15"/>
      <c r="H2" s="15"/>
      <c r="I2" s="5" t="s">
        <v>9</v>
      </c>
    </row>
    <row r="3">
      <c r="A3" s="6" t="s">
        <v>10</v>
      </c>
      <c r="B3" s="16" t="s">
        <v>2393</v>
      </c>
      <c r="C3" s="16" t="s">
        <v>2394</v>
      </c>
      <c r="D3" s="16" t="s">
        <v>2395</v>
      </c>
      <c r="E3" s="16" t="s">
        <v>2396</v>
      </c>
      <c r="F3" s="16" t="s">
        <v>2397</v>
      </c>
      <c r="G3" s="16" t="s">
        <v>2398</v>
      </c>
      <c r="H3" s="16" t="s">
        <v>2399</v>
      </c>
      <c r="I3" s="8" t="str">
        <f t="shared" ref="I3:I24" si="1">A3</f>
        <v>CM1→MW1</v>
      </c>
      <c r="J3" s="10" t="str">
        <f>IFERROR(__xludf.DUMMYFUNCTION("TEXT(VALUE(REGEXEXTRACT(B3,""^[+-]?[0-9]*\.?[0-9]+""))*100,""0.00"")&amp;"" +/- ""&amp;TEXT(VALUE(REGEXEXTRACT(B3,""[0-9]*\.?[0-9]+$""))*100,""0.00"")"),"69.32 +/- 1.90")</f>
        <v>69.32 +/- 1.90</v>
      </c>
      <c r="K3" s="9" t="str">
        <f>IFERROR(__xludf.DUMMYFUNCTION("TEXT(VALUE(REGEXEXTRACT(C3,""^[+-]?[0-9]*\.?[0-9]+""))*100,""0.00"")&amp;"" +/- ""&amp;TEXT(VALUE(REGEXEXTRACT(C3,""[0-9]*\.?[0-9]+$""))*100,""0.00"")"),"43.62 +/- 0.00")</f>
        <v>43.62 +/- 0.00</v>
      </c>
      <c r="L3" s="9" t="str">
        <f>IFERROR(__xludf.DUMMYFUNCTION("TEXT(VALUE(REGEXEXTRACT(D3,""^[+-]?[0-9]*\.?[0-9]+""))*100,""0.00"")&amp;"" +/- ""&amp;TEXT(VALUE(REGEXEXTRACT(D3,""[0-9]*\.?[0-9]+$""))*100,""0.00"")"),"33.31 +/- 0.00")</f>
        <v>33.31 +/- 0.00</v>
      </c>
      <c r="M3" s="9" t="str">
        <f>IFERROR(__xludf.DUMMYFUNCTION("TEXT(VALUE(REGEXEXTRACT(E3,""^[+-]?[0-9]*\.?[0-9]+""))*100,""0.00"")&amp;"" +/- ""&amp;TEXT(VALUE(REGEXEXTRACT(E3,""[0-9]*\.?[0-9]+$""))*100,""0.00"")"),"53.20 +/- 5.42")</f>
        <v>53.20 +/- 5.42</v>
      </c>
      <c r="N3" s="9" t="str">
        <f>IFERROR(__xludf.DUMMYFUNCTION("TEXT(VALUE(REGEXEXTRACT(F3,""^[+-]?[0-9]*\.?[0-9]+""))*100,""0.00"")&amp;"" +/- ""&amp;TEXT(VALUE(REGEXEXTRACT(F3,""[0-9]*\.?[0-9]+$""))*100,""0.00"")"),"49.96 +/- 1.18")</f>
        <v>49.96 +/- 1.18</v>
      </c>
      <c r="O3" s="9" t="str">
        <f>IFERROR(__xludf.DUMMYFUNCTION("TEXT(VALUE(REGEXEXTRACT(G3,""^[+-]?[0-9]*\.?[0-9]+""))*100,""0.00"")&amp;"" +/- ""&amp;TEXT(VALUE(REGEXEXTRACT(G3,""[0-9]*\.?[0-9]+$""))*100,""0.00"")"),"50.26 +/- 2.73")</f>
        <v>50.26 +/- 2.73</v>
      </c>
      <c r="P3" s="9" t="str">
        <f>IFERROR(__xludf.DUMMYFUNCTION("TEXT(VALUE(REGEXEXTRACT(H3,""^[+-]?[0-9]*\.?[0-9]+""))*100,""0.00"")&amp;"" +/- ""&amp;TEXT(VALUE(REGEXEXTRACT(H3,""[0-9]*\.?[0-9]+$""))*100,""0.00"")"),"47.75 +/- 0.99")</f>
        <v>47.75 +/- 0.99</v>
      </c>
    </row>
    <row r="4">
      <c r="A4" s="6" t="s">
        <v>18</v>
      </c>
      <c r="B4" s="16" t="s">
        <v>2400</v>
      </c>
      <c r="C4" s="16" t="s">
        <v>2401</v>
      </c>
      <c r="D4" s="16" t="s">
        <v>2402</v>
      </c>
      <c r="E4" s="16" t="s">
        <v>2403</v>
      </c>
      <c r="F4" s="16" t="s">
        <v>2404</v>
      </c>
      <c r="G4" s="16" t="s">
        <v>2405</v>
      </c>
      <c r="H4" s="16" t="s">
        <v>2406</v>
      </c>
      <c r="I4" s="8" t="str">
        <f t="shared" si="1"/>
        <v>CM1→PC1</v>
      </c>
      <c r="J4" s="9" t="str">
        <f>IFERROR(__xludf.DUMMYFUNCTION("TEXT(VALUE(REGEXEXTRACT(B4,""^[+-]?[0-9]*\.?[0-9]+""))*100,""0.00"")&amp;"" +/- ""&amp;TEXT(VALUE(REGEXEXTRACT(B4,""[0-9]*\.?[0-9]+$""))*100,""0.00"")"),"63.74 +/- 0.55")</f>
        <v>63.74 +/- 0.55</v>
      </c>
      <c r="K4" s="9" t="str">
        <f>IFERROR(__xludf.DUMMYFUNCTION("TEXT(VALUE(REGEXEXTRACT(C4,""^[+-]?[0-9]*\.?[0-9]+""))*100,""0.00"")&amp;"" +/- ""&amp;TEXT(VALUE(REGEXEXTRACT(C4,""[0-9]*\.?[0-9]+$""))*100,""0.00"")"),"45.19 +/- 0.00")</f>
        <v>45.19 +/- 0.00</v>
      </c>
      <c r="L4" s="9" t="str">
        <f>IFERROR(__xludf.DUMMYFUNCTION("TEXT(VALUE(REGEXEXTRACT(D4,""^[+-]?[0-9]*\.?[0-9]+""))*100,""0.00"")&amp;"" +/- ""&amp;TEXT(VALUE(REGEXEXTRACT(D4,""[0-9]*\.?[0-9]+$""))*100,""0.00"")"),"55.44 +/- 0.00")</f>
        <v>55.44 +/- 0.00</v>
      </c>
      <c r="M4" s="9" t="str">
        <f>IFERROR(__xludf.DUMMYFUNCTION("TEXT(VALUE(REGEXEXTRACT(E4,""^[+-]?[0-9]*\.?[0-9]+""))*100,""0.00"")&amp;"" +/- ""&amp;TEXT(VALUE(REGEXEXTRACT(E4,""[0-9]*\.?[0-9]+$""))*100,""0.00"")"),"62.40 +/- 1.85")</f>
        <v>62.40 +/- 1.85</v>
      </c>
      <c r="N4" s="9" t="str">
        <f>IFERROR(__xludf.DUMMYFUNCTION("TEXT(VALUE(REGEXEXTRACT(F4,""^[+-]?[0-9]*\.?[0-9]+""))*100,""0.00"")&amp;"" +/- ""&amp;TEXT(VALUE(REGEXEXTRACT(F4,""[0-9]*\.?[0-9]+$""))*100,""0.00"")"),"60.75 +/- 1.66")</f>
        <v>60.75 +/- 1.66</v>
      </c>
      <c r="O4" s="9" t="str">
        <f>IFERROR(__xludf.DUMMYFUNCTION("TEXT(VALUE(REGEXEXTRACT(G4,""^[+-]?[0-9]*\.?[0-9]+""))*100,""0.00"")&amp;"" +/- ""&amp;TEXT(VALUE(REGEXEXTRACT(G4,""[0-9]*\.?[0-9]+$""))*100,""0.00"")"),"61.12 +/- 1.65")</f>
        <v>61.12 +/- 1.65</v>
      </c>
      <c r="P4" s="10" t="str">
        <f>IFERROR(__xludf.DUMMYFUNCTION("TEXT(VALUE(REGEXEXTRACT(H4,""^[+-]?[0-9]*\.?[0-9]+""))*100,""0.00"")&amp;"" +/- ""&amp;TEXT(VALUE(REGEXEXTRACT(H4,""[0-9]*\.?[0-9]+$""))*100,""0.00"")"),"64.01 +/- 0.82")</f>
        <v>64.01 +/- 0.82</v>
      </c>
    </row>
    <row r="5">
      <c r="A5" s="6" t="s">
        <v>26</v>
      </c>
      <c r="B5" s="16" t="s">
        <v>2407</v>
      </c>
      <c r="C5" s="16" t="s">
        <v>2408</v>
      </c>
      <c r="D5" s="16" t="s">
        <v>2409</v>
      </c>
      <c r="E5" s="16" t="s">
        <v>2410</v>
      </c>
      <c r="F5" s="16" t="s">
        <v>2411</v>
      </c>
      <c r="G5" s="16" t="s">
        <v>2412</v>
      </c>
      <c r="H5" s="16" t="s">
        <v>2413</v>
      </c>
      <c r="I5" s="8" t="str">
        <f t="shared" si="1"/>
        <v>CM1→PC3</v>
      </c>
      <c r="J5" s="9" t="str">
        <f>IFERROR(__xludf.DUMMYFUNCTION("TEXT(VALUE(REGEXEXTRACT(B5,""^[+-]?[0-9]*\.?[0-9]+""))*100,""0.00"")&amp;"" +/- ""&amp;TEXT(VALUE(REGEXEXTRACT(B5,""[0-9]*\.?[0-9]+$""))*100,""0.00"")"),"57.68 +/- 1.04")</f>
        <v>57.68 +/- 1.04</v>
      </c>
      <c r="K5" s="9" t="str">
        <f>IFERROR(__xludf.DUMMYFUNCTION("TEXT(VALUE(REGEXEXTRACT(C5,""^[+-]?[0-9]*\.?[0-9]+""))*100,""0.00"")&amp;"" +/- ""&amp;TEXT(VALUE(REGEXEXTRACT(C5,""[0-9]*\.?[0-9]+$""))*100,""0.00"")"),"36.86 +/- 0.00")</f>
        <v>36.86 +/- 0.00</v>
      </c>
      <c r="L5" s="9" t="str">
        <f>IFERROR(__xludf.DUMMYFUNCTION("TEXT(VALUE(REGEXEXTRACT(D5,""^[+-]?[0-9]*\.?[0-9]+""))*100,""0.00"")&amp;"" +/- ""&amp;TEXT(VALUE(REGEXEXTRACT(D5,""[0-9]*\.?[0-9]+$""))*100,""0.00"")"),"52.08 +/- 0.00")</f>
        <v>52.08 +/- 0.00</v>
      </c>
      <c r="M5" s="10" t="str">
        <f>IFERROR(__xludf.DUMMYFUNCTION("TEXT(VALUE(REGEXEXTRACT(E5,""^[+-]?[0-9]*\.?[0-9]+""))*100,""0.00"")&amp;"" +/- ""&amp;TEXT(VALUE(REGEXEXTRACT(E5,""[0-9]*\.?[0-9]+$""))*100,""0.00"")"),"59.40 +/- 0.98")</f>
        <v>59.40 +/- 0.98</v>
      </c>
      <c r="N5" s="9" t="str">
        <f>IFERROR(__xludf.DUMMYFUNCTION("TEXT(VALUE(REGEXEXTRACT(F5,""^[+-]?[0-9]*\.?[0-9]+""))*100,""0.00"")&amp;"" +/- ""&amp;TEXT(VALUE(REGEXEXTRACT(F5,""[0-9]*\.?[0-9]+$""))*100,""0.00"")"),"57.01 +/- 0.52")</f>
        <v>57.01 +/- 0.52</v>
      </c>
      <c r="O5" s="9" t="str">
        <f>IFERROR(__xludf.DUMMYFUNCTION("TEXT(VALUE(REGEXEXTRACT(G5,""^[+-]?[0-9]*\.?[0-9]+""))*100,""0.00"")&amp;"" +/- ""&amp;TEXT(VALUE(REGEXEXTRACT(G5,""[0-9]*\.?[0-9]+$""))*100,""0.00"")"),"57.54 +/- 1.15")</f>
        <v>57.54 +/- 1.15</v>
      </c>
      <c r="P5" s="9" t="str">
        <f>IFERROR(__xludf.DUMMYFUNCTION("TEXT(VALUE(REGEXEXTRACT(H5,""^[+-]?[0-9]*\.?[0-9]+""))*100,""0.00"")&amp;"" +/- ""&amp;TEXT(VALUE(REGEXEXTRACT(H5,""[0-9]*\.?[0-9]+$""))*100,""0.00"")"),"58.87 +/- 1.05")</f>
        <v>58.87 +/- 1.05</v>
      </c>
    </row>
    <row r="6">
      <c r="A6" s="6" t="s">
        <v>34</v>
      </c>
      <c r="B6" s="16" t="s">
        <v>2414</v>
      </c>
      <c r="C6" s="16" t="s">
        <v>2415</v>
      </c>
      <c r="D6" s="16" t="s">
        <v>2416</v>
      </c>
      <c r="E6" s="16" t="s">
        <v>2417</v>
      </c>
      <c r="F6" s="16" t="s">
        <v>2418</v>
      </c>
      <c r="G6" s="16" t="s">
        <v>2419</v>
      </c>
      <c r="H6" s="16" t="s">
        <v>2420</v>
      </c>
      <c r="I6" s="8" t="str">
        <f t="shared" si="1"/>
        <v>CM1→PC4</v>
      </c>
      <c r="J6" s="10" t="str">
        <f>IFERROR(__xludf.DUMMYFUNCTION("TEXT(VALUE(REGEXEXTRACT(B6,""^[+-]?[0-9]*\.?[0-9]+""))*100,""0.00"")&amp;"" +/- ""&amp;TEXT(VALUE(REGEXEXTRACT(B6,""[0-9]*\.?[0-9]+$""))*100,""0.00"")"),"49.18 +/- 0.58")</f>
        <v>49.18 +/- 0.58</v>
      </c>
      <c r="K6" s="9" t="str">
        <f>IFERROR(__xludf.DUMMYFUNCTION("TEXT(VALUE(REGEXEXTRACT(C6,""^[+-]?[0-9]*\.?[0-9]+""))*100,""0.00"")&amp;"" +/- ""&amp;TEXT(VALUE(REGEXEXTRACT(C6,""[0-9]*\.?[0-9]+$""))*100,""0.00"")"),"18.99 +/- 0.00")</f>
        <v>18.99 +/- 0.00</v>
      </c>
      <c r="L6" s="9" t="str">
        <f>IFERROR(__xludf.DUMMYFUNCTION("TEXT(VALUE(REGEXEXTRACT(D6,""^[+-]?[0-9]*\.?[0-9]+""))*100,""0.00"")&amp;"" +/- ""&amp;TEXT(VALUE(REGEXEXTRACT(D6,""[0-9]*\.?[0-9]+$""))*100,""0.00"")"),"47.00 +/- 0.00")</f>
        <v>47.00 +/- 0.00</v>
      </c>
      <c r="M6" s="9" t="str">
        <f>IFERROR(__xludf.DUMMYFUNCTION("TEXT(VALUE(REGEXEXTRACT(E6,""^[+-]?[0-9]*\.?[0-9]+""))*100,""0.00"")&amp;"" +/- ""&amp;TEXT(VALUE(REGEXEXTRACT(E6,""[0-9]*\.?[0-9]+$""))*100,""0.00"")"),"46.30 +/- 1.75")</f>
        <v>46.30 +/- 1.75</v>
      </c>
      <c r="N6" s="9" t="str">
        <f>IFERROR(__xludf.DUMMYFUNCTION("TEXT(VALUE(REGEXEXTRACT(F6,""^[+-]?[0-9]*\.?[0-9]+""))*100,""0.00"")&amp;"" +/- ""&amp;TEXT(VALUE(REGEXEXTRACT(F6,""[0-9]*\.?[0-9]+$""))*100,""0.00"")"),"45.49 +/- 0.78")</f>
        <v>45.49 +/- 0.78</v>
      </c>
      <c r="O6" s="9" t="str">
        <f>IFERROR(__xludf.DUMMYFUNCTION("TEXT(VALUE(REGEXEXTRACT(G6,""^[+-]?[0-9]*\.?[0-9]+""))*100,""0.00"")&amp;"" +/- ""&amp;TEXT(VALUE(REGEXEXTRACT(G6,""[0-9]*\.?[0-9]+$""))*100,""0.00"")"),"45.82 +/- 1.54")</f>
        <v>45.82 +/- 1.54</v>
      </c>
      <c r="P6" s="9" t="str">
        <f>IFERROR(__xludf.DUMMYFUNCTION("TEXT(VALUE(REGEXEXTRACT(H6,""^[+-]?[0-9]*\.?[0-9]+""))*100,""0.00"")&amp;"" +/- ""&amp;TEXT(VALUE(REGEXEXTRACT(H6,""[0-9]*\.?[0-9]+$""))*100,""0.00"")"),"39.92 +/- 0.87")</f>
        <v>39.92 +/- 0.87</v>
      </c>
    </row>
    <row r="7">
      <c r="A7" s="6" t="s">
        <v>42</v>
      </c>
      <c r="B7" s="16" t="s">
        <v>2421</v>
      </c>
      <c r="C7" s="16" t="s">
        <v>2422</v>
      </c>
      <c r="D7" s="16" t="s">
        <v>2423</v>
      </c>
      <c r="E7" s="16" t="s">
        <v>2424</v>
      </c>
      <c r="F7" s="16" t="s">
        <v>2425</v>
      </c>
      <c r="G7" s="16" t="s">
        <v>2426</v>
      </c>
      <c r="H7" s="16" t="s">
        <v>2427</v>
      </c>
      <c r="I7" s="8" t="str">
        <f t="shared" si="1"/>
        <v>MW1→CM1</v>
      </c>
      <c r="J7" s="9" t="str">
        <f>IFERROR(__xludf.DUMMYFUNCTION("TEXT(VALUE(REGEXEXTRACT(B7,""^[+-]?[0-9]*\.?[0-9]+""))*100,""0.00"")&amp;"" +/- ""&amp;TEXT(VALUE(REGEXEXTRACT(B7,""[0-9]*\.?[0-9]+$""))*100,""0.00"")"),"53.37 +/- 1.17")</f>
        <v>53.37 +/- 1.17</v>
      </c>
      <c r="K7" s="9" t="str">
        <f>IFERROR(__xludf.DUMMYFUNCTION("TEXT(VALUE(REGEXEXTRACT(C7,""^[+-]?[0-9]*\.?[0-9]+""))*100,""0.00"")&amp;"" +/- ""&amp;TEXT(VALUE(REGEXEXTRACT(C7,""[0-9]*\.?[0-9]+$""))*100,""0.00"")"),"44.64 +/- 0.00")</f>
        <v>44.64 +/- 0.00</v>
      </c>
      <c r="L7" s="9" t="str">
        <f>IFERROR(__xludf.DUMMYFUNCTION("TEXT(VALUE(REGEXEXTRACT(D7,""^[+-]?[0-9]*\.?[0-9]+""))*100,""0.00"")&amp;"" +/- ""&amp;TEXT(VALUE(REGEXEXTRACT(D7,""[0-9]*\.?[0-9]+$""))*100,""0.00"")"),"46.02 +/- 0.00")</f>
        <v>46.02 +/- 0.00</v>
      </c>
      <c r="M7" s="9" t="str">
        <f>IFERROR(__xludf.DUMMYFUNCTION("TEXT(VALUE(REGEXEXTRACT(E7,""^[+-]?[0-9]*\.?[0-9]+""))*100,""0.00"")&amp;"" +/- ""&amp;TEXT(VALUE(REGEXEXTRACT(E7,""[0-9]*\.?[0-9]+$""))*100,""0.00"")"),"53.37 +/- 2.39")</f>
        <v>53.37 +/- 2.39</v>
      </c>
      <c r="N7" s="9" t="str">
        <f>IFERROR(__xludf.DUMMYFUNCTION("TEXT(VALUE(REGEXEXTRACT(F7,""^[+-]?[0-9]*\.?[0-9]+""))*100,""0.00"")&amp;"" +/- ""&amp;TEXT(VALUE(REGEXEXTRACT(F7,""[0-9]*\.?[0-9]+$""))*100,""0.00"")"),"55.28 +/- 1.54")</f>
        <v>55.28 +/- 1.54</v>
      </c>
      <c r="O7" s="9" t="str">
        <f>IFERROR(__xludf.DUMMYFUNCTION("TEXT(VALUE(REGEXEXTRACT(G7,""^[+-]?[0-9]*\.?[0-9]+""))*100,""0.00"")&amp;"" +/- ""&amp;TEXT(VALUE(REGEXEXTRACT(G7,""[0-9]*\.?[0-9]+$""))*100,""0.00"")"),"53.25 +/- 1.83")</f>
        <v>53.25 +/- 1.83</v>
      </c>
      <c r="P7" s="10" t="str">
        <f>IFERROR(__xludf.DUMMYFUNCTION("TEXT(VALUE(REGEXEXTRACT(H7,""^[+-]?[0-9]*\.?[0-9]+""))*100,""0.00"")&amp;"" +/- ""&amp;TEXT(VALUE(REGEXEXTRACT(H7,""[0-9]*\.?[0-9]+$""))*100,""0.00"")"),"55.89 +/- 1.03")</f>
        <v>55.89 +/- 1.03</v>
      </c>
    </row>
    <row r="8">
      <c r="A8" s="6" t="s">
        <v>50</v>
      </c>
      <c r="B8" s="16" t="s">
        <v>2435</v>
      </c>
      <c r="C8" s="16" t="s">
        <v>2436</v>
      </c>
      <c r="D8" s="16" t="s">
        <v>2437</v>
      </c>
      <c r="E8" s="16" t="s">
        <v>2438</v>
      </c>
      <c r="F8" s="16" t="s">
        <v>2439</v>
      </c>
      <c r="G8" s="16" t="s">
        <v>2440</v>
      </c>
      <c r="H8" s="16" t="s">
        <v>2441</v>
      </c>
      <c r="I8" s="8" t="str">
        <f t="shared" si="1"/>
        <v>MW1→PC1</v>
      </c>
      <c r="J8" s="9" t="str">
        <f>IFERROR(__xludf.DUMMYFUNCTION("TEXT(VALUE(REGEXEXTRACT(B8,""^[+-]?[0-9]*\.?[0-9]+""))*100,""0.00"")&amp;"" +/- ""&amp;TEXT(VALUE(REGEXEXTRACT(B8,""[0-9]*\.?[0-9]+$""))*100,""0.00"")"),"46.53 +/- 1.73")</f>
        <v>46.53 +/- 1.73</v>
      </c>
      <c r="K8" s="9" t="str">
        <f>IFERROR(__xludf.DUMMYFUNCTION("TEXT(VALUE(REGEXEXTRACT(C8,""^[+-]?[0-9]*\.?[0-9]+""))*100,""0.00"")&amp;"" +/- ""&amp;TEXT(VALUE(REGEXEXTRACT(C8,""[0-9]*\.?[0-9]+$""))*100,""0.00"")"),"45.97 +/- 0.00")</f>
        <v>45.97 +/- 0.00</v>
      </c>
      <c r="L8" s="9" t="str">
        <f>IFERROR(__xludf.DUMMYFUNCTION("TEXT(VALUE(REGEXEXTRACT(D8,""^[+-]?[0-9]*\.?[0-9]+""))*100,""0.00"")&amp;"" +/- ""&amp;TEXT(VALUE(REGEXEXTRACT(D8,""[0-9]*\.?[0-9]+$""))*100,""0.00"")"),"44.67 +/- 0.00")</f>
        <v>44.67 +/- 0.00</v>
      </c>
      <c r="M8" s="9" t="str">
        <f>IFERROR(__xludf.DUMMYFUNCTION("TEXT(VALUE(REGEXEXTRACT(E8,""^[+-]?[0-9]*\.?[0-9]+""))*100,""0.00"")&amp;"" +/- ""&amp;TEXT(VALUE(REGEXEXTRACT(E8,""[0-9]*\.?[0-9]+$""))*100,""0.00"")"),"47.55 +/- 1.37")</f>
        <v>47.55 +/- 1.37</v>
      </c>
      <c r="N8" s="9" t="str">
        <f>IFERROR(__xludf.DUMMYFUNCTION("TEXT(VALUE(REGEXEXTRACT(F8,""^[+-]?[0-9]*\.?[0-9]+""))*100,""0.00"")&amp;"" +/- ""&amp;TEXT(VALUE(REGEXEXTRACT(F8,""[0-9]*\.?[0-9]+$""))*100,""0.00"")"),"46.54 +/- 1.14")</f>
        <v>46.54 +/- 1.14</v>
      </c>
      <c r="O8" s="9" t="str">
        <f>IFERROR(__xludf.DUMMYFUNCTION("TEXT(VALUE(REGEXEXTRACT(G8,""^[+-]?[0-9]*\.?[0-9]+""))*100,""0.00"")&amp;"" +/- ""&amp;TEXT(VALUE(REGEXEXTRACT(G8,""[0-9]*\.?[0-9]+$""))*100,""0.00"")"),"47.40 +/- 1.21")</f>
        <v>47.40 +/- 1.21</v>
      </c>
      <c r="P8" s="10" t="str">
        <f>IFERROR(__xludf.DUMMYFUNCTION("TEXT(VALUE(REGEXEXTRACT(H8,""^[+-]?[0-9]*\.?[0-9]+""))*100,""0.00"")&amp;"" +/- ""&amp;TEXT(VALUE(REGEXEXTRACT(H8,""[0-9]*\.?[0-9]+$""))*100,""0.00"")"),"55.70 +/- 1.05")</f>
        <v>55.70 +/- 1.05</v>
      </c>
    </row>
    <row r="9">
      <c r="A9" s="6" t="s">
        <v>58</v>
      </c>
      <c r="B9" s="16" t="s">
        <v>2463</v>
      </c>
      <c r="C9" s="16" t="s">
        <v>2464</v>
      </c>
      <c r="D9" s="16" t="s">
        <v>2465</v>
      </c>
      <c r="E9" s="16" t="s">
        <v>2466</v>
      </c>
      <c r="F9" s="16" t="s">
        <v>2467</v>
      </c>
      <c r="G9" s="16" t="s">
        <v>2468</v>
      </c>
      <c r="H9" s="16" t="s">
        <v>2469</v>
      </c>
      <c r="I9" s="8" t="str">
        <f t="shared" si="1"/>
        <v>MW1→PC3</v>
      </c>
      <c r="J9" s="10" t="str">
        <f>IFERROR(__xludf.DUMMYFUNCTION("TEXT(VALUE(REGEXEXTRACT(B9,""^[+-]?[0-9]*\.?[0-9]+""))*100,""0.00"")&amp;"" +/- ""&amp;TEXT(VALUE(REGEXEXTRACT(B9,""[0-9]*\.?[0-9]+$""))*100,""0.00"")"),"57.02 +/- 0.87")</f>
        <v>57.02 +/- 0.87</v>
      </c>
      <c r="K9" s="9" t="str">
        <f>IFERROR(__xludf.DUMMYFUNCTION("TEXT(VALUE(REGEXEXTRACT(C9,""^[+-]?[0-9]*\.?[0-9]+""))*100,""0.00"")&amp;"" +/- ""&amp;TEXT(VALUE(REGEXEXTRACT(C9,""[0-9]*\.?[0-9]+$""))*100,""0.00"")"),"50.06 +/- 0.00")</f>
        <v>50.06 +/- 0.00</v>
      </c>
      <c r="L9" s="9" t="str">
        <f>IFERROR(__xludf.DUMMYFUNCTION("TEXT(VALUE(REGEXEXTRACT(D9,""^[+-]?[0-9]*\.?[0-9]+""))*100,""0.00"")&amp;"" +/- ""&amp;TEXT(VALUE(REGEXEXTRACT(D9,""[0-9]*\.?[0-9]+$""))*100,""0.00"")"),"48.20 +/- 0.00")</f>
        <v>48.20 +/- 0.00</v>
      </c>
      <c r="M9" s="9" t="str">
        <f>IFERROR(__xludf.DUMMYFUNCTION("TEXT(VALUE(REGEXEXTRACT(E9,""^[+-]?[0-9]*\.?[0-9]+""))*100,""0.00"")&amp;"" +/- ""&amp;TEXT(VALUE(REGEXEXTRACT(E9,""[0-9]*\.?[0-9]+$""))*100,""0.00"")"),"55.22 +/- 0.91")</f>
        <v>55.22 +/- 0.91</v>
      </c>
      <c r="N9" s="9" t="str">
        <f>IFERROR(__xludf.DUMMYFUNCTION("TEXT(VALUE(REGEXEXTRACT(F9,""^[+-]?[0-9]*\.?[0-9]+""))*100,""0.00"")&amp;"" +/- ""&amp;TEXT(VALUE(REGEXEXTRACT(F9,""[0-9]*\.?[0-9]+$""))*100,""0.00"")"),"55.02 +/- 0.72")</f>
        <v>55.02 +/- 0.72</v>
      </c>
      <c r="O9" s="9" t="str">
        <f>IFERROR(__xludf.DUMMYFUNCTION("TEXT(VALUE(REGEXEXTRACT(G9,""^[+-]?[0-9]*\.?[0-9]+""))*100,""0.00"")&amp;"" +/- ""&amp;TEXT(VALUE(REGEXEXTRACT(G9,""[0-9]*\.?[0-9]+$""))*100,""0.00"")"),"56.03 +/- 0.67")</f>
        <v>56.03 +/- 0.67</v>
      </c>
      <c r="P9" s="9" t="str">
        <f>IFERROR(__xludf.DUMMYFUNCTION("TEXT(VALUE(REGEXEXTRACT(H9,""^[+-]?[0-9]*\.?[0-9]+""))*100,""0.00"")&amp;"" +/- ""&amp;TEXT(VALUE(REGEXEXTRACT(H9,""[0-9]*\.?[0-9]+$""))*100,""0.00"")"),"55.05 +/- 0.62")</f>
        <v>55.05 +/- 0.62</v>
      </c>
    </row>
    <row r="10">
      <c r="A10" s="6" t="s">
        <v>66</v>
      </c>
      <c r="B10" s="16" t="s">
        <v>2483</v>
      </c>
      <c r="C10" s="16" t="s">
        <v>2484</v>
      </c>
      <c r="D10" s="16" t="s">
        <v>2485</v>
      </c>
      <c r="E10" s="16" t="s">
        <v>2486</v>
      </c>
      <c r="F10" s="16" t="s">
        <v>2487</v>
      </c>
      <c r="G10" s="16" t="s">
        <v>2488</v>
      </c>
      <c r="H10" s="16" t="s">
        <v>2489</v>
      </c>
      <c r="I10" s="8" t="str">
        <f t="shared" si="1"/>
        <v>MW1→PC4</v>
      </c>
      <c r="J10" s="9" t="str">
        <f>IFERROR(__xludf.DUMMYFUNCTION("TEXT(VALUE(REGEXEXTRACT(B10,""^[+-]?[0-9]*\.?[0-9]+""))*100,""0.00"")&amp;"" +/- ""&amp;TEXT(VALUE(REGEXEXTRACT(B10,""[0-9]*\.?[0-9]+$""))*100,""0.00"")"),"29.32 +/- 0.87")</f>
        <v>29.32 +/- 0.87</v>
      </c>
      <c r="K10" s="9" t="str">
        <f>IFERROR(__xludf.DUMMYFUNCTION("TEXT(VALUE(REGEXEXTRACT(C10,""^[+-]?[0-9]*\.?[0-9]+""))*100,""0.00"")&amp;"" +/- ""&amp;TEXT(VALUE(REGEXEXTRACT(C10,""[0-9]*\.?[0-9]+$""))*100,""0.00"")"),"18.22 +/- 0.00")</f>
        <v>18.22 +/- 0.00</v>
      </c>
      <c r="L10" s="9" t="str">
        <f>IFERROR(__xludf.DUMMYFUNCTION("TEXT(VALUE(REGEXEXTRACT(D10,""^[+-]?[0-9]*\.?[0-9]+""))*100,""0.00"")&amp;"" +/- ""&amp;TEXT(VALUE(REGEXEXTRACT(D10,""[0-9]*\.?[0-9]+$""))*100,""0.00"")"),"36.47 +/- 0.00")</f>
        <v>36.47 +/- 0.00</v>
      </c>
      <c r="M10" s="9" t="str">
        <f>IFERROR(__xludf.DUMMYFUNCTION("TEXT(VALUE(REGEXEXTRACT(E10,""^[+-]?[0-9]*\.?[0-9]+""))*100,""0.00"")&amp;"" +/- ""&amp;TEXT(VALUE(REGEXEXTRACT(E10,""[0-9]*\.?[0-9]+$""))*100,""0.00"")"),"28.12 +/- 0.98")</f>
        <v>28.12 +/- 0.98</v>
      </c>
      <c r="N10" s="9" t="str">
        <f>IFERROR(__xludf.DUMMYFUNCTION("TEXT(VALUE(REGEXEXTRACT(F10,""^[+-]?[0-9]*\.?[0-9]+""))*100,""0.00"")&amp;"" +/- ""&amp;TEXT(VALUE(REGEXEXTRACT(F10,""[0-9]*\.?[0-9]+$""))*100,""0.00"")"),"27.04 +/- 0.85")</f>
        <v>27.04 +/- 0.85</v>
      </c>
      <c r="O10" s="9" t="str">
        <f>IFERROR(__xludf.DUMMYFUNCTION("TEXT(VALUE(REGEXEXTRACT(G10,""^[+-]?[0-9]*\.?[0-9]+""))*100,""0.00"")&amp;"" +/- ""&amp;TEXT(VALUE(REGEXEXTRACT(G10,""[0-9]*\.?[0-9]+$""))*100,""0.00"")"),"28.56 +/- 1.10")</f>
        <v>28.56 +/- 1.10</v>
      </c>
      <c r="P10" s="10" t="str">
        <f>IFERROR(__xludf.DUMMYFUNCTION("TEXT(VALUE(REGEXEXTRACT(H10,""^[+-]?[0-9]*\.?[0-9]+""))*100,""0.00"")&amp;"" +/- ""&amp;TEXT(VALUE(REGEXEXTRACT(H10,""[0-9]*\.?[0-9]+$""))*100,""0.00"")"),"34.47 +/- 0.75")</f>
        <v>34.47 +/- 0.75</v>
      </c>
    </row>
    <row r="11">
      <c r="A11" s="6" t="s">
        <v>79</v>
      </c>
      <c r="B11" s="16" t="s">
        <v>2497</v>
      </c>
      <c r="C11" s="16" t="s">
        <v>2498</v>
      </c>
      <c r="D11" s="16" t="s">
        <v>2499</v>
      </c>
      <c r="E11" s="16" t="s">
        <v>2500</v>
      </c>
      <c r="F11" s="16" t="s">
        <v>2501</v>
      </c>
      <c r="G11" s="16" t="s">
        <v>2502</v>
      </c>
      <c r="H11" s="16" t="s">
        <v>2503</v>
      </c>
      <c r="I11" s="8" t="str">
        <f t="shared" si="1"/>
        <v>PC1→CM1</v>
      </c>
      <c r="J11" s="9" t="str">
        <f>IFERROR(__xludf.DUMMYFUNCTION("TEXT(VALUE(REGEXEXTRACT(B11,""^[+-]?[0-9]*\.?[0-9]+""))*100,""0.00"")&amp;"" +/- ""&amp;TEXT(VALUE(REGEXEXTRACT(B11,""[0-9]*\.?[0-9]+$""))*100,""0.00"")"),"50.29 +/- 1.82")</f>
        <v>50.29 +/- 1.82</v>
      </c>
      <c r="K11" s="9" t="str">
        <f>IFERROR(__xludf.DUMMYFUNCTION("TEXT(VALUE(REGEXEXTRACT(C11,""^[+-]?[0-9]*\.?[0-9]+""))*100,""0.00"")&amp;"" +/- ""&amp;TEXT(VALUE(REGEXEXTRACT(C11,""[0-9]*\.?[0-9]+$""))*100,""0.00"")"),"30.20 +/- 0.00")</f>
        <v>30.20 +/- 0.00</v>
      </c>
      <c r="L11" s="9" t="str">
        <f>IFERROR(__xludf.DUMMYFUNCTION("TEXT(VALUE(REGEXEXTRACT(D11,""^[+-]?[0-9]*\.?[0-9]+""))*100,""0.00"")&amp;"" +/- ""&amp;TEXT(VALUE(REGEXEXTRACT(D11,""[0-9]*\.?[0-9]+$""))*100,""0.00"")"),"21.75 +/- 0.00")</f>
        <v>21.75 +/- 0.00</v>
      </c>
      <c r="M11" s="9" t="str">
        <f>IFERROR(__xludf.DUMMYFUNCTION("TEXT(VALUE(REGEXEXTRACT(E11,""^[+-]?[0-9]*\.?[0-9]+""))*100,""0.00"")&amp;"" +/- ""&amp;TEXT(VALUE(REGEXEXTRACT(E11,""[0-9]*\.?[0-9]+$""))*100,""0.00"")"),"63.27 +/- 1.48")</f>
        <v>63.27 +/- 1.48</v>
      </c>
      <c r="N11" s="9" t="str">
        <f>IFERROR(__xludf.DUMMYFUNCTION("TEXT(VALUE(REGEXEXTRACT(F11,""^[+-]?[0-9]*\.?[0-9]+""))*100,""0.00"")&amp;"" +/- ""&amp;TEXT(VALUE(REGEXEXTRACT(F11,""[0-9]*\.?[0-9]+$""))*100,""0.00"")"),"64.51 +/- 1.10")</f>
        <v>64.51 +/- 1.10</v>
      </c>
      <c r="O11" s="9" t="str">
        <f>IFERROR(__xludf.DUMMYFUNCTION("TEXT(VALUE(REGEXEXTRACT(G11,""^[+-]?[0-9]*\.?[0-9]+""))*100,""0.00"")&amp;"" +/- ""&amp;TEXT(VALUE(REGEXEXTRACT(G11,""[0-9]*\.?[0-9]+$""))*100,""0.00"")"),"62.93 +/- 1.52")</f>
        <v>62.93 +/- 1.52</v>
      </c>
      <c r="P11" s="10" t="str">
        <f>IFERROR(__xludf.DUMMYFUNCTION("TEXT(VALUE(REGEXEXTRACT(H11,""^[+-]?[0-9]*\.?[0-9]+""))*100,""0.00"")&amp;"" +/- ""&amp;TEXT(VALUE(REGEXEXTRACT(H11,""[0-9]*\.?[0-9]+$""))*100,""0.00"")"),"66.12 +/- 1.26")</f>
        <v>66.12 +/- 1.26</v>
      </c>
    </row>
    <row r="12">
      <c r="A12" s="6" t="s">
        <v>94</v>
      </c>
      <c r="B12" s="16" t="s">
        <v>221</v>
      </c>
      <c r="C12" s="16" t="s">
        <v>2511</v>
      </c>
      <c r="D12" s="16" t="s">
        <v>2512</v>
      </c>
      <c r="E12" s="16" t="s">
        <v>2513</v>
      </c>
      <c r="F12" s="16" t="s">
        <v>2514</v>
      </c>
      <c r="G12" s="16" t="s">
        <v>2515</v>
      </c>
      <c r="H12" s="16" t="s">
        <v>2516</v>
      </c>
      <c r="I12" s="8" t="str">
        <f t="shared" si="1"/>
        <v>PC1→MW1</v>
      </c>
      <c r="J12" s="9" t="str">
        <f>IFERROR(__xludf.DUMMYFUNCTION("TEXT(VALUE(REGEXEXTRACT(B12,""^[+-]?[0-9]*\.?[0-9]+""))*100,""0.00"")&amp;"" +/- ""&amp;TEXT(VALUE(REGEXEXTRACT(B12,""[0-9]*\.?[0-9]+$""))*100,""0.00"")"),"68.44 +/- 1.84")</f>
        <v>68.44 +/- 1.84</v>
      </c>
      <c r="K12" s="9" t="str">
        <f>IFERROR(__xludf.DUMMYFUNCTION("TEXT(VALUE(REGEXEXTRACT(C12,""^[+-]?[0-9]*\.?[0-9]+""))*100,""0.00"")&amp;"" +/- ""&amp;TEXT(VALUE(REGEXEXTRACT(C12,""[0-9]*\.?[0-9]+$""))*100,""0.00"")"),"33.71 +/- 0.00")</f>
        <v>33.71 +/- 0.00</v>
      </c>
      <c r="L12" s="9" t="str">
        <f>IFERROR(__xludf.DUMMYFUNCTION("TEXT(VALUE(REGEXEXTRACT(D12,""^[+-]?[0-9]*\.?[0-9]+""))*100,""0.00"")&amp;"" +/- ""&amp;TEXT(VALUE(REGEXEXTRACT(D12,""[0-9]*\.?[0-9]+$""))*100,""0.00"")"),"27.72 +/- 0.00")</f>
        <v>27.72 +/- 0.00</v>
      </c>
      <c r="M12" s="10" t="str">
        <f>IFERROR(__xludf.DUMMYFUNCTION("TEXT(VALUE(REGEXEXTRACT(E12,""^[+-]?[0-9]*\.?[0-9]+""))*100,""0.00"")&amp;"" +/- ""&amp;TEXT(VALUE(REGEXEXTRACT(E12,""[0-9]*\.?[0-9]+$""))*100,""0.00"")"),"71.19 +/- 0.76")</f>
        <v>71.19 +/- 0.76</v>
      </c>
      <c r="N12" s="9" t="str">
        <f>IFERROR(__xludf.DUMMYFUNCTION("TEXT(VALUE(REGEXEXTRACT(F12,""^[+-]?[0-9]*\.?[0-9]+""))*100,""0.00"")&amp;"" +/- ""&amp;TEXT(VALUE(REGEXEXTRACT(F12,""[0-9]*\.?[0-9]+$""))*100,""0.00"")"),"67.95 +/- 1.54")</f>
        <v>67.95 +/- 1.54</v>
      </c>
      <c r="O12" s="9" t="str">
        <f>IFERROR(__xludf.DUMMYFUNCTION("TEXT(VALUE(REGEXEXTRACT(G12,""^[+-]?[0-9]*\.?[0-9]+""))*100,""0.00"")&amp;"" +/- ""&amp;TEXT(VALUE(REGEXEXTRACT(G12,""[0-9]*\.?[0-9]+$""))*100,""0.00"")"),"68.91 +/- 2.42")</f>
        <v>68.91 +/- 2.42</v>
      </c>
      <c r="P12" s="9" t="str">
        <f>IFERROR(__xludf.DUMMYFUNCTION("TEXT(VALUE(REGEXEXTRACT(H12,""^[+-]?[0-9]*\.?[0-9]+""))*100,""0.00"")&amp;"" +/- ""&amp;TEXT(VALUE(REGEXEXTRACT(H12,""[0-9]*\.?[0-9]+$""))*100,""0.00"")"),"68.86 +/- 2.17")</f>
        <v>68.86 +/- 2.17</v>
      </c>
    </row>
    <row r="13">
      <c r="A13" s="6" t="s">
        <v>109</v>
      </c>
      <c r="B13" s="16" t="s">
        <v>2524</v>
      </c>
      <c r="C13" s="16" t="s">
        <v>2525</v>
      </c>
      <c r="D13" s="16" t="s">
        <v>2526</v>
      </c>
      <c r="E13" s="16" t="s">
        <v>2527</v>
      </c>
      <c r="F13" s="16" t="s">
        <v>2528</v>
      </c>
      <c r="G13" s="16" t="s">
        <v>2529</v>
      </c>
      <c r="H13" s="16" t="s">
        <v>2530</v>
      </c>
      <c r="I13" s="8" t="str">
        <f t="shared" si="1"/>
        <v>PC1→PC3</v>
      </c>
      <c r="J13" s="9" t="str">
        <f>IFERROR(__xludf.DUMMYFUNCTION("TEXT(VALUE(REGEXEXTRACT(B13,""^[+-]?[0-9]*\.?[0-9]+""))*100,""0.00"")&amp;"" +/- ""&amp;TEXT(VALUE(REGEXEXTRACT(B13,""[0-9]*\.?[0-9]+$""))*100,""0.00"")"),"62.37 +/- 0.64")</f>
        <v>62.37 +/- 0.64</v>
      </c>
      <c r="K13" s="9" t="str">
        <f>IFERROR(__xludf.DUMMYFUNCTION("TEXT(VALUE(REGEXEXTRACT(C13,""^[+-]?[0-9]*\.?[0-9]+""))*100,""0.00"")&amp;"" +/- ""&amp;TEXT(VALUE(REGEXEXTRACT(C13,""[0-9]*\.?[0-9]+$""))*100,""0.00"")"),"28.42 +/- 0.00")</f>
        <v>28.42 +/- 0.00</v>
      </c>
      <c r="L13" s="9" t="str">
        <f>IFERROR(__xludf.DUMMYFUNCTION("TEXT(VALUE(REGEXEXTRACT(D13,""^[+-]?[0-9]*\.?[0-9]+""))*100,""0.00"")&amp;"" +/- ""&amp;TEXT(VALUE(REGEXEXTRACT(D13,""[0-9]*\.?[0-9]+$""))*100,""0.00"")"),"19.28 +/- 0.00")</f>
        <v>19.28 +/- 0.00</v>
      </c>
      <c r="M13" s="9" t="str">
        <f>IFERROR(__xludf.DUMMYFUNCTION("TEXT(VALUE(REGEXEXTRACT(E13,""^[+-]?[0-9]*\.?[0-9]+""))*100,""0.00"")&amp;"" +/- ""&amp;TEXT(VALUE(REGEXEXTRACT(E13,""[0-9]*\.?[0-9]+$""))*100,""0.00"")"),"65.51 +/- 0.93")</f>
        <v>65.51 +/- 0.93</v>
      </c>
      <c r="N13" s="9" t="str">
        <f>IFERROR(__xludf.DUMMYFUNCTION("TEXT(VALUE(REGEXEXTRACT(F13,""^[+-]?[0-9]*\.?[0-9]+""))*100,""0.00"")&amp;"" +/- ""&amp;TEXT(VALUE(REGEXEXTRACT(F13,""[0-9]*\.?[0-9]+$""))*100,""0.00"")"),"64.04 +/- 0.79")</f>
        <v>64.04 +/- 0.79</v>
      </c>
      <c r="O13" s="9" t="str">
        <f>IFERROR(__xludf.DUMMYFUNCTION("TEXT(VALUE(REGEXEXTRACT(G13,""^[+-]?[0-9]*\.?[0-9]+""))*100,""0.00"")&amp;"" +/- ""&amp;TEXT(VALUE(REGEXEXTRACT(G13,""[0-9]*\.?[0-9]+$""))*100,""0.00"")"),"65.44 +/- 0.87")</f>
        <v>65.44 +/- 0.87</v>
      </c>
      <c r="P13" s="10" t="str">
        <f>IFERROR(__xludf.DUMMYFUNCTION("TEXT(VALUE(REGEXEXTRACT(H13,""^[+-]?[0-9]*\.?[0-9]+""))*100,""0.00"")&amp;"" +/- ""&amp;TEXT(VALUE(REGEXEXTRACT(H13,""[0-9]*\.?[0-9]+$""))*100,""0.00"")"),"66.42 +/- 1.15")</f>
        <v>66.42 +/- 1.15</v>
      </c>
    </row>
    <row r="14">
      <c r="A14" s="6" t="s">
        <v>124</v>
      </c>
      <c r="B14" s="16" t="s">
        <v>2538</v>
      </c>
      <c r="C14" s="16" t="s">
        <v>2539</v>
      </c>
      <c r="D14" s="16" t="s">
        <v>2540</v>
      </c>
      <c r="E14" s="16" t="s">
        <v>2541</v>
      </c>
      <c r="F14" s="16" t="s">
        <v>2542</v>
      </c>
      <c r="G14" s="16" t="s">
        <v>2543</v>
      </c>
      <c r="H14" s="16" t="s">
        <v>2544</v>
      </c>
      <c r="I14" s="8" t="str">
        <f t="shared" si="1"/>
        <v>PC1→PC4</v>
      </c>
      <c r="J14" s="9" t="str">
        <f>IFERROR(__xludf.DUMMYFUNCTION("TEXT(VALUE(REGEXEXTRACT(B14,""^[+-]?[0-9]*\.?[0-9]+""))*100,""0.00"")&amp;"" +/- ""&amp;TEXT(VALUE(REGEXEXTRACT(B14,""[0-9]*\.?[0-9]+$""))*100,""0.00"")"),"55.44 +/- 0.60")</f>
        <v>55.44 +/- 0.60</v>
      </c>
      <c r="K14" s="9" t="str">
        <f>IFERROR(__xludf.DUMMYFUNCTION("TEXT(VALUE(REGEXEXTRACT(C14,""^[+-]?[0-9]*\.?[0-9]+""))*100,""0.00"")&amp;"" +/- ""&amp;TEXT(VALUE(REGEXEXTRACT(C14,""[0-9]*\.?[0-9]+$""))*100,""0.00"")"),"35.29 +/- 0.00")</f>
        <v>35.29 +/- 0.00</v>
      </c>
      <c r="L14" s="9" t="str">
        <f>IFERROR(__xludf.DUMMYFUNCTION("TEXT(VALUE(REGEXEXTRACT(D14,""^[+-]?[0-9]*\.?[0-9]+""))*100,""0.00"")&amp;"" +/- ""&amp;TEXT(VALUE(REGEXEXTRACT(D14,""[0-9]*\.?[0-9]+$""))*100,""0.00"")"),"32.44 +/- 0.00")</f>
        <v>32.44 +/- 0.00</v>
      </c>
      <c r="M14" s="9" t="str">
        <f>IFERROR(__xludf.DUMMYFUNCTION("TEXT(VALUE(REGEXEXTRACT(E14,""^[+-]?[0-9]*\.?[0-9]+""))*100,""0.00"")&amp;"" +/- ""&amp;TEXT(VALUE(REGEXEXTRACT(E14,""[0-9]*\.?[0-9]+$""))*100,""0.00"")"),"57.62 +/- 0.72")</f>
        <v>57.62 +/- 0.72</v>
      </c>
      <c r="N14" s="9" t="str">
        <f>IFERROR(__xludf.DUMMYFUNCTION("TEXT(VALUE(REGEXEXTRACT(F14,""^[+-]?[0-9]*\.?[0-9]+""))*100,""0.00"")&amp;"" +/- ""&amp;TEXT(VALUE(REGEXEXTRACT(F14,""[0-9]*\.?[0-9]+$""))*100,""0.00"")"),"56.15 +/- 0.66")</f>
        <v>56.15 +/- 0.66</v>
      </c>
      <c r="O14" s="9" t="str">
        <f>IFERROR(__xludf.DUMMYFUNCTION("TEXT(VALUE(REGEXEXTRACT(G14,""^[+-]?[0-9]*\.?[0-9]+""))*100,""0.00"")&amp;"" +/- ""&amp;TEXT(VALUE(REGEXEXTRACT(G14,""[0-9]*\.?[0-9]+$""))*100,""0.00"")"),"56.49 +/- 0.83")</f>
        <v>56.49 +/- 0.83</v>
      </c>
      <c r="P14" s="10" t="str">
        <f>IFERROR(__xludf.DUMMYFUNCTION("TEXT(VALUE(REGEXEXTRACT(H14,""^[+-]?[0-9]*\.?[0-9]+""))*100,""0.00"")&amp;"" +/- ""&amp;TEXT(VALUE(REGEXEXTRACT(H14,""[0-9]*\.?[0-9]+$""))*100,""0.00"")"),"58.33 +/- 1.35")</f>
        <v>58.33 +/- 1.35</v>
      </c>
    </row>
    <row r="15">
      <c r="A15" s="6" t="s">
        <v>139</v>
      </c>
      <c r="B15" s="16" t="s">
        <v>2552</v>
      </c>
      <c r="C15" s="16" t="s">
        <v>2553</v>
      </c>
      <c r="D15" s="16" t="s">
        <v>2554</v>
      </c>
      <c r="E15" s="16" t="s">
        <v>2555</v>
      </c>
      <c r="F15" s="16" t="s">
        <v>2556</v>
      </c>
      <c r="G15" s="16" t="s">
        <v>2557</v>
      </c>
      <c r="H15" s="16" t="s">
        <v>2558</v>
      </c>
      <c r="I15" s="8" t="str">
        <f t="shared" si="1"/>
        <v>PC3→CM1</v>
      </c>
      <c r="J15" s="9" t="str">
        <f>IFERROR(__xludf.DUMMYFUNCTION("TEXT(VALUE(REGEXEXTRACT(B15,""^[+-]?[0-9]*\.?[0-9]+""))*100,""0.00"")&amp;"" +/- ""&amp;TEXT(VALUE(REGEXEXTRACT(B15,""[0-9]*\.?[0-9]+$""))*100,""0.00"")"),"54.42 +/- 0.91")</f>
        <v>54.42 +/- 0.91</v>
      </c>
      <c r="K15" s="9" t="str">
        <f>IFERROR(__xludf.DUMMYFUNCTION("TEXT(VALUE(REGEXEXTRACT(C15,""^[+-]?[0-9]*\.?[0-9]+""))*100,""0.00"")&amp;"" +/- ""&amp;TEXT(VALUE(REGEXEXTRACT(C15,""[0-9]*\.?[0-9]+$""))*100,""0.00"")"),"30.09 +/- 0.00")</f>
        <v>30.09 +/- 0.00</v>
      </c>
      <c r="L15" s="9" t="str">
        <f>IFERROR(__xludf.DUMMYFUNCTION("TEXT(VALUE(REGEXEXTRACT(D15,""^[+-]?[0-9]*\.?[0-9]+""))*100,""0.00"")&amp;"" +/- ""&amp;TEXT(VALUE(REGEXEXTRACT(D15,""[0-9]*\.?[0-9]+$""))*100,""0.00"")"),"26.59 +/- 0.00")</f>
        <v>26.59 +/- 0.00</v>
      </c>
      <c r="M15" s="9" t="str">
        <f>IFERROR(__xludf.DUMMYFUNCTION("TEXT(VALUE(REGEXEXTRACT(E15,""^[+-]?[0-9]*\.?[0-9]+""))*100,""0.00"")&amp;"" +/- ""&amp;TEXT(VALUE(REGEXEXTRACT(E15,""[0-9]*\.?[0-9]+$""))*100,""0.00"")"),"56.44 +/- 1.71")</f>
        <v>56.44 +/- 1.71</v>
      </c>
      <c r="N15" s="10" t="str">
        <f>IFERROR(__xludf.DUMMYFUNCTION("TEXT(VALUE(REGEXEXTRACT(F15,""^[+-]?[0-9]*\.?[0-9]+""))*100,""0.00"")&amp;"" +/- ""&amp;TEXT(VALUE(REGEXEXTRACT(F15,""[0-9]*\.?[0-9]+$""))*100,""0.00"")"),"58.10 +/- 0.96")</f>
        <v>58.10 +/- 0.96</v>
      </c>
      <c r="O15" s="9" t="str">
        <f>IFERROR(__xludf.DUMMYFUNCTION("TEXT(VALUE(REGEXEXTRACT(G15,""^[+-]?[0-9]*\.?[0-9]+""))*100,""0.00"")&amp;"" +/- ""&amp;TEXT(VALUE(REGEXEXTRACT(G15,""[0-9]*\.?[0-9]+$""))*100,""0.00"")"),"56.88 +/- 1.68")</f>
        <v>56.88 +/- 1.68</v>
      </c>
      <c r="P15" s="9" t="str">
        <f>IFERROR(__xludf.DUMMYFUNCTION("TEXT(VALUE(REGEXEXTRACT(H15,""^[+-]?[0-9]*\.?[0-9]+""))*100,""0.00"")&amp;"" +/- ""&amp;TEXT(VALUE(REGEXEXTRACT(H15,""[0-9]*\.?[0-9]+$""))*100,""0.00"")"),"54.66 +/- 1.12")</f>
        <v>54.66 +/- 1.12</v>
      </c>
    </row>
    <row r="16">
      <c r="A16" s="6" t="s">
        <v>154</v>
      </c>
      <c r="B16" s="16" t="s">
        <v>2566</v>
      </c>
      <c r="C16" s="16" t="s">
        <v>2511</v>
      </c>
      <c r="D16" s="16" t="s">
        <v>2567</v>
      </c>
      <c r="E16" s="16" t="s">
        <v>2568</v>
      </c>
      <c r="F16" s="16" t="s">
        <v>2569</v>
      </c>
      <c r="G16" s="16" t="s">
        <v>2570</v>
      </c>
      <c r="H16" s="16" t="s">
        <v>2571</v>
      </c>
      <c r="I16" s="8" t="str">
        <f t="shared" si="1"/>
        <v>PC3→MW1</v>
      </c>
      <c r="J16" s="10" t="str">
        <f>IFERROR(__xludf.DUMMYFUNCTION("TEXT(VALUE(REGEXEXTRACT(B16,""^[+-]?[0-9]*\.?[0-9]+""))*100,""0.00"")&amp;"" +/- ""&amp;TEXT(VALUE(REGEXEXTRACT(B16,""[0-9]*\.?[0-9]+$""))*100,""0.00"")"),"60.43 +/- 0.76")</f>
        <v>60.43 +/- 0.76</v>
      </c>
      <c r="K16" s="9" t="str">
        <f>IFERROR(__xludf.DUMMYFUNCTION("TEXT(VALUE(REGEXEXTRACT(C16,""^[+-]?[0-9]*\.?[0-9]+""))*100,""0.00"")&amp;"" +/- ""&amp;TEXT(VALUE(REGEXEXTRACT(C16,""[0-9]*\.?[0-9]+$""))*100,""0.00"")"),"33.71 +/- 0.00")</f>
        <v>33.71 +/- 0.00</v>
      </c>
      <c r="L16" s="9" t="str">
        <f>IFERROR(__xludf.DUMMYFUNCTION("TEXT(VALUE(REGEXEXTRACT(D16,""^[+-]?[0-9]*\.?[0-9]+""))*100,""0.00"")&amp;"" +/- ""&amp;TEXT(VALUE(REGEXEXTRACT(D16,""[0-9]*\.?[0-9]+$""))*100,""0.00"")"),"35.99 +/- 0.00")</f>
        <v>35.99 +/- 0.00</v>
      </c>
      <c r="M16" s="9" t="str">
        <f>IFERROR(__xludf.DUMMYFUNCTION("TEXT(VALUE(REGEXEXTRACT(E16,""^[+-]?[0-9]*\.?[0-9]+""))*100,""0.00"")&amp;"" +/- ""&amp;TEXT(VALUE(REGEXEXTRACT(E16,""[0-9]*\.?[0-9]+$""))*100,""0.00"")"),"56.36 +/- 2.88")</f>
        <v>56.36 +/- 2.88</v>
      </c>
      <c r="N16" s="9" t="str">
        <f>IFERROR(__xludf.DUMMYFUNCTION("TEXT(VALUE(REGEXEXTRACT(F16,""^[+-]?[0-9]*\.?[0-9]+""))*100,""0.00"")&amp;"" +/- ""&amp;TEXT(VALUE(REGEXEXTRACT(F16,""[0-9]*\.?[0-9]+$""))*100,""0.00"")"),"56.05 +/- 0.92")</f>
        <v>56.05 +/- 0.92</v>
      </c>
      <c r="O16" s="9" t="str">
        <f>IFERROR(__xludf.DUMMYFUNCTION("TEXT(VALUE(REGEXEXTRACT(G16,""^[+-]?[0-9]*\.?[0-9]+""))*100,""0.00"")&amp;"" +/- ""&amp;TEXT(VALUE(REGEXEXTRACT(G16,""[0-9]*\.?[0-9]+$""))*100,""0.00"")"),"54.40 +/- 1.40")</f>
        <v>54.40 +/- 1.40</v>
      </c>
      <c r="P16" s="9" t="str">
        <f>IFERROR(__xludf.DUMMYFUNCTION("TEXT(VALUE(REGEXEXTRACT(H16,""^[+-]?[0-9]*\.?[0-9]+""))*100,""0.00"")&amp;"" +/- ""&amp;TEXT(VALUE(REGEXEXTRACT(H16,""[0-9]*\.?[0-9]+$""))*100,""0.00"")"),"54.05 +/- 1.52")</f>
        <v>54.05 +/- 1.52</v>
      </c>
    </row>
    <row r="17">
      <c r="A17" s="6" t="s">
        <v>169</v>
      </c>
      <c r="B17" s="16" t="s">
        <v>2610</v>
      </c>
      <c r="C17" s="16" t="s">
        <v>2612</v>
      </c>
      <c r="D17" s="16" t="s">
        <v>2620</v>
      </c>
      <c r="E17" s="16" t="s">
        <v>2621</v>
      </c>
      <c r="F17" s="16" t="s">
        <v>2622</v>
      </c>
      <c r="G17" s="16" t="s">
        <v>2623</v>
      </c>
      <c r="H17" s="16" t="s">
        <v>2624</v>
      </c>
      <c r="I17" s="8" t="str">
        <f t="shared" si="1"/>
        <v>PC3→PC1</v>
      </c>
      <c r="J17" s="9" t="str">
        <f>IFERROR(__xludf.DUMMYFUNCTION("TEXT(VALUE(REGEXEXTRACT(B17,""^[+-]?[0-9]*\.?[0-9]+""))*100,""0.00"")&amp;"" +/- ""&amp;TEXT(VALUE(REGEXEXTRACT(B17,""[0-9]*\.?[0-9]+$""))*100,""0.00"")"),"64.35 +/- 1.08")</f>
        <v>64.35 +/- 1.08</v>
      </c>
      <c r="K17" s="9" t="str">
        <f>IFERROR(__xludf.DUMMYFUNCTION("TEXT(VALUE(REGEXEXTRACT(C17,""^[+-]?[0-9]*\.?[0-9]+""))*100,""0.00"")&amp;"" +/- ""&amp;TEXT(VALUE(REGEXEXTRACT(C17,""[0-9]*\.?[0-9]+$""))*100,""0.00"")"),"39.78 +/- 0.00")</f>
        <v>39.78 +/- 0.00</v>
      </c>
      <c r="L17" s="9" t="str">
        <f>IFERROR(__xludf.DUMMYFUNCTION("TEXT(VALUE(REGEXEXTRACT(D17,""^[+-]?[0-9]*\.?[0-9]+""))*100,""0.00"")&amp;"" +/- ""&amp;TEXT(VALUE(REGEXEXTRACT(D17,""[0-9]*\.?[0-9]+$""))*100,""0.00"")"),"29.92 +/- 0.00")</f>
        <v>29.92 +/- 0.00</v>
      </c>
      <c r="M17" s="10" t="str">
        <f>IFERROR(__xludf.DUMMYFUNCTION("TEXT(VALUE(REGEXEXTRACT(E17,""^[+-]?[0-9]*\.?[0-9]+""))*100,""0.00"")&amp;"" +/- ""&amp;TEXT(VALUE(REGEXEXTRACT(E17,""[0-9]*\.?[0-9]+$""))*100,""0.00"")"),"66.98 +/- 1.32")</f>
        <v>66.98 +/- 1.32</v>
      </c>
      <c r="N17" s="9" t="str">
        <f>IFERROR(__xludf.DUMMYFUNCTION("TEXT(VALUE(REGEXEXTRACT(F17,""^[+-]?[0-9]*\.?[0-9]+""))*100,""0.00"")&amp;"" +/- ""&amp;TEXT(VALUE(REGEXEXTRACT(F17,""[0-9]*\.?[0-9]+$""))*100,""0.00"")"),"66.71 +/- 1.00")</f>
        <v>66.71 +/- 1.00</v>
      </c>
      <c r="O17" s="9" t="str">
        <f>IFERROR(__xludf.DUMMYFUNCTION("TEXT(VALUE(REGEXEXTRACT(G17,""^[+-]?[0-9]*\.?[0-9]+""))*100,""0.00"")&amp;"" +/- ""&amp;TEXT(VALUE(REGEXEXTRACT(G17,""[0-9]*\.?[0-9]+$""))*100,""0.00"")"),"65.52 +/- 1.10")</f>
        <v>65.52 +/- 1.10</v>
      </c>
      <c r="P17" s="9" t="str">
        <f>IFERROR(__xludf.DUMMYFUNCTION("TEXT(VALUE(REGEXEXTRACT(H17,""^[+-]?[0-9]*\.?[0-9]+""))*100,""0.00"")&amp;"" +/- ""&amp;TEXT(VALUE(REGEXEXTRACT(H17,""[0-9]*\.?[0-9]+$""))*100,""0.00"")"),"60.81 +/- 1.11")</f>
        <v>60.81 +/- 1.11</v>
      </c>
    </row>
    <row r="18">
      <c r="A18" s="6" t="s">
        <v>184</v>
      </c>
      <c r="B18" s="16" t="s">
        <v>2674</v>
      </c>
      <c r="C18" s="16" t="s">
        <v>2675</v>
      </c>
      <c r="D18" s="16" t="s">
        <v>2676</v>
      </c>
      <c r="E18" s="16" t="s">
        <v>2677</v>
      </c>
      <c r="F18" s="16" t="s">
        <v>2678</v>
      </c>
      <c r="G18" s="16" t="s">
        <v>2679</v>
      </c>
      <c r="H18" s="16" t="s">
        <v>2680</v>
      </c>
      <c r="I18" s="8" t="str">
        <f t="shared" si="1"/>
        <v>PC3→PC4</v>
      </c>
      <c r="J18" s="9" t="str">
        <f>IFERROR(__xludf.DUMMYFUNCTION("TEXT(VALUE(REGEXEXTRACT(B18,""^[+-]?[0-9]*\.?[0-9]+""))*100,""0.00"")&amp;"" +/- ""&amp;TEXT(VALUE(REGEXEXTRACT(B18,""[0-9]*\.?[0-9]+$""))*100,""0.00"")"),"63.96 +/- 0.37")</f>
        <v>63.96 +/- 0.37</v>
      </c>
      <c r="K18" s="9" t="str">
        <f>IFERROR(__xludf.DUMMYFUNCTION("TEXT(VALUE(REGEXEXTRACT(C18,""^[+-]?[0-9]*\.?[0-9]+""))*100,""0.00"")&amp;"" +/- ""&amp;TEXT(VALUE(REGEXEXTRACT(C18,""[0-9]*\.?[0-9]+$""))*100,""0.00"")"),"44.50 +/- 0.00")</f>
        <v>44.50 +/- 0.00</v>
      </c>
      <c r="L18" s="9" t="str">
        <f>IFERROR(__xludf.DUMMYFUNCTION("TEXT(VALUE(REGEXEXTRACT(D18,""^[+-]?[0-9]*\.?[0-9]+""))*100,""0.00"")&amp;"" +/- ""&amp;TEXT(VALUE(REGEXEXTRACT(D18,""[0-9]*\.?[0-9]+$""))*100,""0.00"")"),"43.86 +/- 0.00")</f>
        <v>43.86 +/- 0.00</v>
      </c>
      <c r="M18" s="10" t="str">
        <f>IFERROR(__xludf.DUMMYFUNCTION("TEXT(VALUE(REGEXEXTRACT(E18,""^[+-]?[0-9]*\.?[0-9]+""))*100,""0.00"")&amp;"" +/- ""&amp;TEXT(VALUE(REGEXEXTRACT(E18,""[0-9]*\.?[0-9]+$""))*100,""0.00"")"),"65.08 +/- 0.55")</f>
        <v>65.08 +/- 0.55</v>
      </c>
      <c r="N18" s="9" t="str">
        <f>IFERROR(__xludf.DUMMYFUNCTION("TEXT(VALUE(REGEXEXTRACT(F18,""^[+-]?[0-9]*\.?[0-9]+""))*100,""0.00"")&amp;"" +/- ""&amp;TEXT(VALUE(REGEXEXTRACT(F18,""[0-9]*\.?[0-9]+$""))*100,""0.00"")"),"64.12 +/- 0.34")</f>
        <v>64.12 +/- 0.34</v>
      </c>
      <c r="O18" s="9" t="str">
        <f>IFERROR(__xludf.DUMMYFUNCTION("TEXT(VALUE(REGEXEXTRACT(G18,""^[+-]?[0-9]*\.?[0-9]+""))*100,""0.00"")&amp;"" +/- ""&amp;TEXT(VALUE(REGEXEXTRACT(G18,""[0-9]*\.?[0-9]+$""))*100,""0.00"")"),"63.81 +/- 0.67")</f>
        <v>63.81 +/- 0.67</v>
      </c>
      <c r="P18" s="9" t="str">
        <f>IFERROR(__xludf.DUMMYFUNCTION("TEXT(VALUE(REGEXEXTRACT(H18,""^[+-]?[0-9]*\.?[0-9]+""))*100,""0.00"")&amp;"" +/- ""&amp;TEXT(VALUE(REGEXEXTRACT(H18,""[0-9]*\.?[0-9]+$""))*100,""0.00"")"),"62.42 +/- 0.74")</f>
        <v>62.42 +/- 0.74</v>
      </c>
    </row>
    <row r="19">
      <c r="A19" s="6" t="s">
        <v>194</v>
      </c>
      <c r="B19" s="16" t="s">
        <v>2695</v>
      </c>
      <c r="C19" s="16" t="s">
        <v>2696</v>
      </c>
      <c r="D19" s="16" t="s">
        <v>2697</v>
      </c>
      <c r="E19" s="16" t="s">
        <v>2698</v>
      </c>
      <c r="F19" s="16" t="s">
        <v>2699</v>
      </c>
      <c r="G19" s="16" t="s">
        <v>2700</v>
      </c>
      <c r="H19" s="16" t="s">
        <v>2701</v>
      </c>
      <c r="I19" s="8" t="str">
        <f t="shared" si="1"/>
        <v>PC4→CM1</v>
      </c>
      <c r="J19" s="9" t="str">
        <f>IFERROR(__xludf.DUMMYFUNCTION("TEXT(VALUE(REGEXEXTRACT(B19,""^[+-]?[0-9]*\.?[0-9]+""))*100,""0.00"")&amp;"" +/- ""&amp;TEXT(VALUE(REGEXEXTRACT(B19,""[0-9]*\.?[0-9]+$""))*100,""0.00"")"),"49.77 +/- 1.35")</f>
        <v>49.77 +/- 1.35</v>
      </c>
      <c r="K19" s="9" t="str">
        <f>IFERROR(__xludf.DUMMYFUNCTION("TEXT(VALUE(REGEXEXTRACT(C19,""^[+-]?[0-9]*\.?[0-9]+""))*100,""0.00"")&amp;"" +/- ""&amp;TEXT(VALUE(REGEXEXTRACT(C19,""[0-9]*\.?[0-9]+$""))*100,""0.00"")"),"28.96 +/- 0.00")</f>
        <v>28.96 +/- 0.00</v>
      </c>
      <c r="L19" s="9" t="str">
        <f>IFERROR(__xludf.DUMMYFUNCTION("TEXT(VALUE(REGEXEXTRACT(D19,""^[+-]?[0-9]*\.?[0-9]+""))*100,""0.00"")&amp;"" +/- ""&amp;TEXT(VALUE(REGEXEXTRACT(D19,""[0-9]*\.?[0-9]+$""))*100,""0.00"")"),"25.28 +/- 0.00")</f>
        <v>25.28 +/- 0.00</v>
      </c>
      <c r="M19" s="9" t="str">
        <f>IFERROR(__xludf.DUMMYFUNCTION("TEXT(VALUE(REGEXEXTRACT(E19,""^[+-]?[0-9]*\.?[0-9]+""))*100,""0.00"")&amp;"" +/- ""&amp;TEXT(VALUE(REGEXEXTRACT(E19,""[0-9]*\.?[0-9]+$""))*100,""0.00"")"),"45.30 +/- 2.13")</f>
        <v>45.30 +/- 2.13</v>
      </c>
      <c r="N19" s="9" t="str">
        <f>IFERROR(__xludf.DUMMYFUNCTION("TEXT(VALUE(REGEXEXTRACT(F19,""^[+-]?[0-9]*\.?[0-9]+""))*100,""0.00"")&amp;"" +/- ""&amp;TEXT(VALUE(REGEXEXTRACT(F19,""[0-9]*\.?[0-9]+$""))*100,""0.00"")"),"53.77 +/- 1.78")</f>
        <v>53.77 +/- 1.78</v>
      </c>
      <c r="O19" s="9" t="str">
        <f>IFERROR(__xludf.DUMMYFUNCTION("TEXT(VALUE(REGEXEXTRACT(G19,""^[+-]?[0-9]*\.?[0-9]+""))*100,""0.00"")&amp;"" +/- ""&amp;TEXT(VALUE(REGEXEXTRACT(G19,""[0-9]*\.?[0-9]+$""))*100,""0.00"")"),"49.57 +/- 1.94")</f>
        <v>49.57 +/- 1.94</v>
      </c>
      <c r="P19" s="10" t="str">
        <f>IFERROR(__xludf.DUMMYFUNCTION("TEXT(VALUE(REGEXEXTRACT(H19,""^[+-]?[0-9]*\.?[0-9]+""))*100,""0.00"")&amp;"" +/- ""&amp;TEXT(VALUE(REGEXEXTRACT(H19,""[0-9]*\.?[0-9]+$""))*100,""0.00"")"),"53.79 +/- 0.71")</f>
        <v>53.79 +/- 0.71</v>
      </c>
    </row>
    <row r="20">
      <c r="A20" s="6" t="s">
        <v>216</v>
      </c>
      <c r="B20" s="16" t="s">
        <v>2755</v>
      </c>
      <c r="C20" s="16" t="s">
        <v>2756</v>
      </c>
      <c r="D20" s="16" t="s">
        <v>2757</v>
      </c>
      <c r="E20" s="16" t="s">
        <v>2758</v>
      </c>
      <c r="F20" s="16" t="s">
        <v>2759</v>
      </c>
      <c r="G20" s="16" t="s">
        <v>2760</v>
      </c>
      <c r="H20" s="16" t="s">
        <v>2761</v>
      </c>
      <c r="I20" s="8" t="str">
        <f t="shared" si="1"/>
        <v>PC4→MW1</v>
      </c>
      <c r="J20" s="10" t="str">
        <f>IFERROR(__xludf.DUMMYFUNCTION("TEXT(VALUE(REGEXEXTRACT(B20,""^[+-]?[0-9]*\.?[0-9]+""))*100,""0.00"")&amp;"" +/- ""&amp;TEXT(VALUE(REGEXEXTRACT(B20,""[0-9]*\.?[0-9]+$""))*100,""0.00"")"),"42.58 +/- 2.43")</f>
        <v>42.58 +/- 2.43</v>
      </c>
      <c r="K20" s="9" t="str">
        <f>IFERROR(__xludf.DUMMYFUNCTION("TEXT(VALUE(REGEXEXTRACT(C20,""^[+-]?[0-9]*\.?[0-9]+""))*100,""0.00"")&amp;"" +/- ""&amp;TEXT(VALUE(REGEXEXTRACT(C20,""[0-9]*\.?[0-9]+$""))*100,""0.00"")"),"18.91 +/- 0.00")</f>
        <v>18.91 +/- 0.00</v>
      </c>
      <c r="L20" s="9" t="str">
        <f>IFERROR(__xludf.DUMMYFUNCTION("TEXT(VALUE(REGEXEXTRACT(D20,""^[+-]?[0-9]*\.?[0-9]+""))*100,""0.00"")&amp;"" +/- ""&amp;TEXT(VALUE(REGEXEXTRACT(D20,""[0-9]*\.?[0-9]+$""))*100,""0.00"")"),"26.14 +/- 0.00")</f>
        <v>26.14 +/- 0.00</v>
      </c>
      <c r="M20" s="9" t="str">
        <f>IFERROR(__xludf.DUMMYFUNCTION("TEXT(VALUE(REGEXEXTRACT(E20,""^[+-]?[0-9]*\.?[0-9]+""))*100,""0.00"")&amp;"" +/- ""&amp;TEXT(VALUE(REGEXEXTRACT(E20,""[0-9]*\.?[0-9]+$""))*100,""0.00"")"),"38.60 +/- 2.51")</f>
        <v>38.60 +/- 2.51</v>
      </c>
      <c r="N20" s="9" t="str">
        <f>IFERROR(__xludf.DUMMYFUNCTION("TEXT(VALUE(REGEXEXTRACT(F20,""^[+-]?[0-9]*\.?[0-9]+""))*100,""0.00"")&amp;"" +/- ""&amp;TEXT(VALUE(REGEXEXTRACT(F20,""[0-9]*\.?[0-9]+$""))*100,""0.00"")"),"39.13 +/- 0.16")</f>
        <v>39.13 +/- 0.16</v>
      </c>
      <c r="O20" s="9" t="str">
        <f>IFERROR(__xludf.DUMMYFUNCTION("TEXT(VALUE(REGEXEXTRACT(G20,""^[+-]?[0-9]*\.?[0-9]+""))*100,""0.00"")&amp;"" +/- ""&amp;TEXT(VALUE(REGEXEXTRACT(G20,""[0-9]*\.?[0-9]+$""))*100,""0.00"")"),"36.00 +/- 1.55")</f>
        <v>36.00 +/- 1.55</v>
      </c>
      <c r="P20" s="9" t="str">
        <f>IFERROR(__xludf.DUMMYFUNCTION("TEXT(VALUE(REGEXEXTRACT(H20,""^[+-]?[0-9]*\.?[0-9]+""))*100,""0.00"")&amp;"" +/- ""&amp;TEXT(VALUE(REGEXEXTRACT(H20,""[0-9]*\.?[0-9]+$""))*100,""0.00"")"),"33.62 +/- 1.43")</f>
        <v>33.62 +/- 1.43</v>
      </c>
    </row>
    <row r="21">
      <c r="A21" s="6" t="s">
        <v>245</v>
      </c>
      <c r="B21" s="16" t="s">
        <v>2769</v>
      </c>
      <c r="C21" s="16" t="s">
        <v>2770</v>
      </c>
      <c r="D21" s="16" t="s">
        <v>2771</v>
      </c>
      <c r="E21" s="16" t="s">
        <v>2772</v>
      </c>
      <c r="F21" s="16" t="s">
        <v>2773</v>
      </c>
      <c r="G21" s="16" t="s">
        <v>2774</v>
      </c>
      <c r="H21" s="16" t="s">
        <v>2775</v>
      </c>
      <c r="I21" s="8" t="str">
        <f t="shared" si="1"/>
        <v>PC4→PC1</v>
      </c>
      <c r="J21" s="9" t="str">
        <f>IFERROR(__xludf.DUMMYFUNCTION("TEXT(VALUE(REGEXEXTRACT(B21,""^[+-]?[0-9]*\.?[0-9]+""))*100,""0.00"")&amp;"" +/- ""&amp;TEXT(VALUE(REGEXEXTRACT(B21,""[0-9]*\.?[0-9]+$""))*100,""0.00"")"),"60.58 +/- 0.49")</f>
        <v>60.58 +/- 0.49</v>
      </c>
      <c r="K21" s="9" t="str">
        <f>IFERROR(__xludf.DUMMYFUNCTION("TEXT(VALUE(REGEXEXTRACT(C21,""^[+-]?[0-9]*\.?[0-9]+""))*100,""0.00"")&amp;"" +/- ""&amp;TEXT(VALUE(REGEXEXTRACT(C21,""[0-9]*\.?[0-9]+$""))*100,""0.00"")"),"49.80 +/- 0.00")</f>
        <v>49.80 +/- 0.00</v>
      </c>
      <c r="L21" s="9" t="str">
        <f>IFERROR(__xludf.DUMMYFUNCTION("TEXT(VALUE(REGEXEXTRACT(D21,""^[+-]?[0-9]*\.?[0-9]+""))*100,""0.00"")&amp;"" +/- ""&amp;TEXT(VALUE(REGEXEXTRACT(D21,""[0-9]*\.?[0-9]+$""))*100,""0.00"")"),"43.66 +/- 0.00")</f>
        <v>43.66 +/- 0.00</v>
      </c>
      <c r="M21" s="10" t="str">
        <f>IFERROR(__xludf.DUMMYFUNCTION("TEXT(VALUE(REGEXEXTRACT(E21,""^[+-]?[0-9]*\.?[0-9]+""))*100,""0.00"")&amp;"" +/- ""&amp;TEXT(VALUE(REGEXEXTRACT(E21,""[0-9]*\.?[0-9]+$""))*100,""0.00"")"),"61.83 +/- 0.70")</f>
        <v>61.83 +/- 0.70</v>
      </c>
      <c r="N21" s="9" t="str">
        <f>IFERROR(__xludf.DUMMYFUNCTION("TEXT(VALUE(REGEXEXTRACT(F21,""^[+-]?[0-9]*\.?[0-9]+""))*100,""0.00"")&amp;"" +/- ""&amp;TEXT(VALUE(REGEXEXTRACT(F21,""[0-9]*\.?[0-9]+$""))*100,""0.00"")"),"60.03 +/- 0.57")</f>
        <v>60.03 +/- 0.57</v>
      </c>
      <c r="O21" s="9" t="str">
        <f>IFERROR(__xludf.DUMMYFUNCTION("TEXT(VALUE(REGEXEXTRACT(G21,""^[+-]?[0-9]*\.?[0-9]+""))*100,""0.00"")&amp;"" +/- ""&amp;TEXT(VALUE(REGEXEXTRACT(G21,""[0-9]*\.?[0-9]+$""))*100,""0.00"")"),"61.41 +/- 0.63")</f>
        <v>61.41 +/- 0.63</v>
      </c>
      <c r="P21" s="9" t="str">
        <f>IFERROR(__xludf.DUMMYFUNCTION("TEXT(VALUE(REGEXEXTRACT(H21,""^[+-]?[0-9]*\.?[0-9]+""))*100,""0.00"")&amp;"" +/- ""&amp;TEXT(VALUE(REGEXEXTRACT(H21,""[0-9]*\.?[0-9]+$""))*100,""0.00"")"),"59.85 +/- 0.62")</f>
        <v>59.85 +/- 0.62</v>
      </c>
    </row>
    <row r="22">
      <c r="A22" s="6" t="s">
        <v>267</v>
      </c>
      <c r="B22" s="16" t="s">
        <v>2776</v>
      </c>
      <c r="C22" s="16" t="s">
        <v>2777</v>
      </c>
      <c r="D22" s="16" t="s">
        <v>2778</v>
      </c>
      <c r="E22" s="16" t="s">
        <v>2779</v>
      </c>
      <c r="F22" s="16" t="s">
        <v>2781</v>
      </c>
      <c r="G22" s="16" t="s">
        <v>2783</v>
      </c>
      <c r="H22" s="16" t="s">
        <v>2785</v>
      </c>
      <c r="I22" s="8" t="str">
        <f t="shared" si="1"/>
        <v>PC4→PC3</v>
      </c>
      <c r="J22" s="9" t="str">
        <f>IFERROR(__xludf.DUMMYFUNCTION("TEXT(VALUE(REGEXEXTRACT(B22,""^[+-]?[0-9]*\.?[0-9]+""))*100,""0.00"")&amp;"" +/- ""&amp;TEXT(VALUE(REGEXEXTRACT(B22,""[0-9]*\.?[0-9]+$""))*100,""0.00"")"),"56.14 +/- 0.27")</f>
        <v>56.14 +/- 0.27</v>
      </c>
      <c r="K22" s="9" t="str">
        <f>IFERROR(__xludf.DUMMYFUNCTION("TEXT(VALUE(REGEXEXTRACT(C22,""^[+-]?[0-9]*\.?[0-9]+""))*100,""0.00"")&amp;"" +/- ""&amp;TEXT(VALUE(REGEXEXTRACT(C22,""[0-9]*\.?[0-9]+$""))*100,""0.00"")"),"41.98 +/- 0.00")</f>
        <v>41.98 +/- 0.00</v>
      </c>
      <c r="L22" s="9" t="str">
        <f>IFERROR(__xludf.DUMMYFUNCTION("TEXT(VALUE(REGEXEXTRACT(D22,""^[+-]?[0-9]*\.?[0-9]+""))*100,""0.00"")&amp;"" +/- ""&amp;TEXT(VALUE(REGEXEXTRACT(D22,""[0-9]*\.?[0-9]+$""))*100,""0.00"")"),"35.57 +/- 0.00")</f>
        <v>35.57 +/- 0.00</v>
      </c>
      <c r="M22" s="9" t="str">
        <f>IFERROR(__xludf.DUMMYFUNCTION("TEXT(VALUE(REGEXEXTRACT(E22,""^[+-]?[0-9]*\.?[0-9]+""))*100,""0.00"")&amp;"" +/- ""&amp;TEXT(VALUE(REGEXEXTRACT(E22,""[0-9]*\.?[0-9]+$""))*100,""0.00"")"),"60.70 +/- 0.65")</f>
        <v>60.70 +/- 0.65</v>
      </c>
      <c r="N22" s="9" t="str">
        <f>IFERROR(__xludf.DUMMYFUNCTION("TEXT(VALUE(REGEXEXTRACT(F22,""^[+-]?[0-9]*\.?[0-9]+""))*100,""0.00"")&amp;"" +/- ""&amp;TEXT(VALUE(REGEXEXTRACT(F22,""[0-9]*\.?[0-9]+$""))*100,""0.00"")"),"58.86 +/- 0.53")</f>
        <v>58.86 +/- 0.53</v>
      </c>
      <c r="O22" s="9" t="str">
        <f>IFERROR(__xludf.DUMMYFUNCTION("TEXT(VALUE(REGEXEXTRACT(G22,""^[+-]?[0-9]*\.?[0-9]+""))*100,""0.00"")&amp;"" +/- ""&amp;TEXT(VALUE(REGEXEXTRACT(G22,""[0-9]*\.?[0-9]+$""))*100,""0.00"")"),"60.27 +/- 0.25")</f>
        <v>60.27 +/- 0.25</v>
      </c>
      <c r="P22" s="10" t="str">
        <f>IFERROR(__xludf.DUMMYFUNCTION("TEXT(VALUE(REGEXEXTRACT(H22,""^[+-]?[0-9]*\.?[0-9]+""))*100,""0.00"")&amp;"" +/- ""&amp;TEXT(VALUE(REGEXEXTRACT(H22,""[0-9]*\.?[0-9]+$""))*100,""0.00"")"),"60.74 +/- 0.74")</f>
        <v>60.74 +/- 0.74</v>
      </c>
    </row>
    <row r="23">
      <c r="A23" s="6" t="s">
        <v>371</v>
      </c>
      <c r="B23" s="14"/>
      <c r="C23" s="21" t="s">
        <v>487</v>
      </c>
      <c r="D23" s="21" t="s">
        <v>400</v>
      </c>
      <c r="E23" s="21" t="s">
        <v>2790</v>
      </c>
      <c r="F23" s="21" t="s">
        <v>1560</v>
      </c>
      <c r="G23" s="21" t="s">
        <v>474</v>
      </c>
      <c r="H23" s="21" t="s">
        <v>397</v>
      </c>
      <c r="I23" s="8" t="str">
        <f t="shared" si="1"/>
        <v>W/T/L</v>
      </c>
      <c r="K23" s="20" t="str">
        <f>IFERROR(__xludf.DUMMYFUNCTION("SUM(ARRAYFORMULA(IFERROR(
  (VALUE(REGEXEXTRACT($J$3:$J$22,""^[+-]?[0-9]*\.?[0-9]+""))&gt;
   VALUE(REGEXEXTRACT(K$3:K$22,""^[+-]?[0-9]*\.?[0-9]+"")))*1,0)))
&amp;""/""&amp;
SUM(ARRAYFORMULA(IFERROR(
  (VALUE(REGEXEXTRACT($J$3:$J$22,""^[+-]?[0-9]*\.?[0-9]+""))=
   V"&amp;"ALUE(REGEXEXTRACT(K$3:K$22,""^[+-]?[0-9]*\.?[0-9]+"")))*1,0)))
&amp;""/""&amp;
SUM(ARRAYFORMULA(IFERROR(
  (VALUE(REGEXEXTRACT($J$3:$J$22,""^[+-]?[0-9]*\.?[0-9]+""))&lt;
   VALUE(REGEXEXTRACT(K$3:K$22,""^[+-]?[0-9]*\.?[0-9]+"")))*1,0)))"),"20/0/0")</f>
        <v>20/0/0</v>
      </c>
      <c r="L23" s="20" t="str">
        <f>IFERROR(__xludf.DUMMYFUNCTION("SUM(ARRAYFORMULA(IFERROR(
  (VALUE(REGEXEXTRACT($J$3:$J$22,""^[+-]?[0-9]*\.?[0-9]+""))&gt;
   VALUE(REGEXEXTRACT(L$3:L$22,""^[+-]?[0-9]*\.?[0-9]+"")))*1,0)))
&amp;""/""&amp;
SUM(ARRAYFORMULA(IFERROR(
  (VALUE(REGEXEXTRACT($J$3:$J$22,""^[+-]?[0-9]*\.?[0-9]+""))=
   V"&amp;"ALUE(REGEXEXTRACT(L$3:L$22,""^[+-]?[0-9]*\.?[0-9]+"")))*1,0)))
&amp;""/""&amp;
SUM(ARRAYFORMULA(IFERROR(
  (VALUE(REGEXEXTRACT($J$3:$J$22,""^[+-]?[0-9]*\.?[0-9]+""))&lt;
   VALUE(REGEXEXTRACT(L$3:L$22,""^[+-]?[0-9]*\.?[0-9]+"")))*1,0)))"),"19/0/1")</f>
        <v>19/0/1</v>
      </c>
      <c r="M23" s="20" t="str">
        <f>IFERROR(__xludf.DUMMYFUNCTION("SUM(ARRAYFORMULA(IFERROR(
  (VALUE(REGEXEXTRACT($J$3:$J$22,""^[+-]?[0-9]*\.?[0-9]+""))&gt;
   VALUE(REGEXEXTRACT(M$3:M$22,""^[+-]?[0-9]*\.?[0-9]+"")))*1,0)))
&amp;""/""&amp;
SUM(ARRAYFORMULA(IFERROR(
  (VALUE(REGEXEXTRACT($J$3:$J$22,""^[+-]?[0-9]*\.?[0-9]+""))=
   V"&amp;"ALUE(REGEXEXTRACT(M$3:M$22,""^[+-]?[0-9]*\.?[0-9]+"")))*1,0)))
&amp;""/""&amp;
SUM(ARRAYFORMULA(IFERROR(
  (VALUE(REGEXEXTRACT($J$3:$J$22,""^[+-]?[0-9]*\.?[0-9]+""))&lt;
   VALUE(REGEXEXTRACT(M$3:M$22,""^[+-]?[0-9]*\.?[0-9]+"")))*1,0)))"),"8/1/11")</f>
        <v>8/1/11</v>
      </c>
      <c r="N23" s="20" t="str">
        <f>IFERROR(__xludf.DUMMYFUNCTION("SUM(ARRAYFORMULA(IFERROR(
  (VALUE(REGEXEXTRACT($J$3:$J$22,""^[+-]?[0-9]*\.?[0-9]+""))&gt;
   VALUE(REGEXEXTRACT(N$3:N$22,""^[+-]?[0-9]*\.?[0-9]+"")))*1,0)))
&amp;""/""&amp;
SUM(ARRAYFORMULA(IFERROR(
  (VALUE(REGEXEXTRACT($J$3:$J$22,""^[+-]?[0-9]*\.?[0-9]+""))=
   V"&amp;"ALUE(REGEXEXTRACT(N$3:N$22,""^[+-]?[0-9]*\.?[0-9]+"")))*1,0)))
&amp;""/""&amp;
SUM(ARRAYFORMULA(IFERROR(
  (VALUE(REGEXEXTRACT($J$3:$J$22,""^[+-]?[0-9]*\.?[0-9]+""))&lt;
   VALUE(REGEXEXTRACT(N$3:N$22,""^[+-]?[0-9]*\.?[0-9]+"")))*1,0)))"),"10/0/10")</f>
        <v>10/0/10</v>
      </c>
      <c r="O23" s="20" t="str">
        <f>IFERROR(__xludf.DUMMYFUNCTION("SUM(ARRAYFORMULA(IFERROR(
  (VALUE(REGEXEXTRACT($J$3:$J$22,""^[+-]?[0-9]*\.?[0-9]+""))&gt;
   VALUE(REGEXEXTRACT(O$3:O$22,""^[+-]?[0-9]*\.?[0-9]+"")))*1,0)))
&amp;""/""&amp;
SUM(ARRAYFORMULA(IFERROR(
  (VALUE(REGEXEXTRACT($J$3:$J$22,""^[+-]?[0-9]*\.?[0-9]+""))=
   V"&amp;"ALUE(REGEXEXTRACT(O$3:O$22,""^[+-]?[0-9]*\.?[0-9]+"")))*1,0)))
&amp;""/""&amp;
SUM(ARRAYFORMULA(IFERROR(
  (VALUE(REGEXEXTRACT($J$3:$J$22,""^[+-]?[0-9]*\.?[0-9]+""))&lt;
   VALUE(REGEXEXTRACT(O$3:O$22,""^[+-]?[0-9]*\.?[0-9]+"")))*1,0)))"),"11/0/9")</f>
        <v>11/0/9</v>
      </c>
      <c r="P23" s="20" t="str">
        <f>IFERROR(__xludf.DUMMYFUNCTION("SUM(ARRAYFORMULA(IFERROR(
  (VALUE(REGEXEXTRACT($J$3:$J$22,""^[+-]?[0-9]*\.?[0-9]+""))&gt;
   VALUE(REGEXEXTRACT(P$3:P$22,""^[+-]?[0-9]*\.?[0-9]+"")))*1,0)))
&amp;""/""&amp;
SUM(ARRAYFORMULA(IFERROR(
  (VALUE(REGEXEXTRACT($J$3:$J$22,""^[+-]?[0-9]*\.?[0-9]+""))=
   V"&amp;"ALUE(REGEXEXTRACT(P$3:P$22,""^[+-]?[0-9]*\.?[0-9]+"")))*1,0)))
&amp;""/""&amp;
SUM(ARRAYFORMULA(IFERROR(
  (VALUE(REGEXEXTRACT($J$3:$J$22,""^[+-]?[0-9]*\.?[0-9]+""))&lt;
   VALUE(REGEXEXTRACT(P$3:P$22,""^[+-]?[0-9]*\.?[0-9]+"")))*1,0)))"),"8/0/12")</f>
        <v>8/0/12</v>
      </c>
    </row>
    <row r="24">
      <c r="A24" s="6" t="s">
        <v>489</v>
      </c>
      <c r="B24" s="14" t="s">
        <v>2795</v>
      </c>
      <c r="C24" s="14" t="s">
        <v>2796</v>
      </c>
      <c r="D24" s="14" t="s">
        <v>2797</v>
      </c>
      <c r="E24" s="14" t="s">
        <v>2798</v>
      </c>
      <c r="F24" s="14" t="s">
        <v>2799</v>
      </c>
      <c r="G24" s="14" t="s">
        <v>2800</v>
      </c>
      <c r="H24" s="14" t="s">
        <v>2801</v>
      </c>
      <c r="I24" s="8" t="str">
        <f t="shared" si="1"/>
        <v>Average (%)</v>
      </c>
      <c r="J24" s="14">
        <f>IFERROR(__xludf.DUMMYFUNCTION("ROUND(AVERAGE(ARRAYFORMULA(IFERROR(VALUE(REGEXEXTRACT(J$3:J$22,""^[+-]?[0-9]*\.?[0-9]+"")),""""))),2)"),55.75)</f>
        <v>55.75</v>
      </c>
      <c r="K24" s="14">
        <f>IFERROR(__xludf.DUMMYFUNCTION("ROUND(AVERAGE(ARRAYFORMULA(IFERROR(VALUE(REGEXEXTRACT(K$3:K$22,""^[+-]?[0-9]*\.?[0-9]+"")),""""))),2)"),35.95)</f>
        <v>35.95</v>
      </c>
      <c r="L24" s="14">
        <f>IFERROR(__xludf.DUMMYFUNCTION("ROUND(AVERAGE(ARRAYFORMULA(IFERROR(VALUE(REGEXEXTRACT(L$3:L$22,""^[+-]?[0-9]*\.?[0-9]+"")),""""))),2)"),36.57)</f>
        <v>36.57</v>
      </c>
      <c r="M24" s="14">
        <f>IFERROR(__xludf.DUMMYFUNCTION("ROUND(AVERAGE(ARRAYFORMULA(IFERROR(VALUE(REGEXEXTRACT(M$3:M$22,""^[+-]?[0-9]*\.?[0-9]+"")),""""))),2)"),55.72)</f>
        <v>55.72</v>
      </c>
      <c r="N24" s="14">
        <f>IFERROR(__xludf.DUMMYFUNCTION("ROUND(AVERAGE(ARRAYFORMULA(IFERROR(VALUE(REGEXEXTRACT(N$3:N$22,""^[+-]?[0-9]*\.?[0-9]+"")),""""))),2)"),55.33)</f>
        <v>55.33</v>
      </c>
      <c r="O24" s="14">
        <f>IFERROR(__xludf.DUMMYFUNCTION("ROUND(AVERAGE(ARRAYFORMULA(IFERROR(VALUE(REGEXEXTRACT(O$3:O$22,""^[+-]?[0-9]*\.?[0-9]+"")),""""))),2)"),55.08)</f>
        <v>55.08</v>
      </c>
      <c r="P24" s="14">
        <f>IFERROR(__xludf.DUMMYFUNCTION("ROUND(AVERAGE(ARRAYFORMULA(IFERROR(VALUE(REGEXEXTRACT(P$3:P$22,""^[+-]?[0-9]*\.?[0-9]+"")),""""))),2)"),55.57)</f>
        <v>55.57</v>
      </c>
    </row>
    <row r="25">
      <c r="A25" s="4" t="s">
        <v>504</v>
      </c>
      <c r="B25" s="2"/>
      <c r="C25" s="2"/>
      <c r="D25" s="2"/>
      <c r="E25" s="2"/>
      <c r="F25" s="2"/>
      <c r="G25" s="2"/>
      <c r="H25" s="2"/>
      <c r="I25" s="4" t="s">
        <v>504</v>
      </c>
    </row>
    <row r="26">
      <c r="A26" s="23" t="s">
        <v>505</v>
      </c>
      <c r="B26" s="16" t="s">
        <v>2802</v>
      </c>
      <c r="C26" s="16" t="s">
        <v>2802</v>
      </c>
      <c r="D26" s="16" t="s">
        <v>2803</v>
      </c>
      <c r="E26" s="16" t="s">
        <v>2802</v>
      </c>
      <c r="F26" s="16" t="s">
        <v>2802</v>
      </c>
      <c r="G26" s="16" t="s">
        <v>2802</v>
      </c>
      <c r="H26" s="16" t="s">
        <v>2802</v>
      </c>
      <c r="I26" s="8" t="str">
        <f t="shared" ref="I26:I33" si="2">A26</f>
        <v>A→S</v>
      </c>
      <c r="J26" s="9" t="str">
        <f>IFERROR(__xludf.DUMMYFUNCTION("TEXT(VALUE(REGEXEXTRACT(B26,""^[+-]?[0-9]*\.?[0-9]+""))*100,""0.00"")&amp;"" +/- ""&amp;TEXT(VALUE(REGEXEXTRACT(B26,""[0-9]*\.?[0-9]+$""))*100,""0.00"")"),"51.45 +/- 0.00")</f>
        <v>51.45 +/- 0.00</v>
      </c>
      <c r="K26" s="9" t="str">
        <f>IFERROR(__xludf.DUMMYFUNCTION("TEXT(VALUE(REGEXEXTRACT(C26,""^[+-]?[0-9]*\.?[0-9]+""))*100,""0.00"")&amp;"" +/- ""&amp;TEXT(VALUE(REGEXEXTRACT(C26,""[0-9]*\.?[0-9]+$""))*100,""0.00"")"),"51.45 +/- 0.00")</f>
        <v>51.45 +/- 0.00</v>
      </c>
      <c r="L26" s="10" t="str">
        <f>IFERROR(__xludf.DUMMYFUNCTION("TEXT(VALUE(REGEXEXTRACT(D26,""^[+-]?[0-9]*\.?[0-9]+""))*100,""0.00"")&amp;"" +/- ""&amp;TEXT(VALUE(REGEXEXTRACT(D26,""[0-9]*\.?[0-9]+$""))*100,""0.00"")"),"73.58 +/- 0.00")</f>
        <v>73.58 +/- 0.00</v>
      </c>
      <c r="M26" s="9" t="str">
        <f>IFERROR(__xludf.DUMMYFUNCTION("TEXT(VALUE(REGEXEXTRACT(E26,""^[+-]?[0-9]*\.?[0-9]+""))*100,""0.00"")&amp;"" +/- ""&amp;TEXT(VALUE(REGEXEXTRACT(E26,""[0-9]*\.?[0-9]+$""))*100,""0.00"")"),"51.45 +/- 0.00")</f>
        <v>51.45 +/- 0.00</v>
      </c>
      <c r="N26" s="9" t="str">
        <f>IFERROR(__xludf.DUMMYFUNCTION("TEXT(VALUE(REGEXEXTRACT(F26,""^[+-]?[0-9]*\.?[0-9]+""))*100,""0.00"")&amp;"" +/- ""&amp;TEXT(VALUE(REGEXEXTRACT(F26,""[0-9]*\.?[0-9]+$""))*100,""0.00"")"),"51.45 +/- 0.00")</f>
        <v>51.45 +/- 0.00</v>
      </c>
      <c r="O26" s="9" t="str">
        <f>IFERROR(__xludf.DUMMYFUNCTION("TEXT(VALUE(REGEXEXTRACT(G26,""^[+-]?[0-9]*\.?[0-9]+""))*100,""0.00"")&amp;"" +/- ""&amp;TEXT(VALUE(REGEXEXTRACT(G26,""[0-9]*\.?[0-9]+$""))*100,""0.00"")"),"51.45 +/- 0.00")</f>
        <v>51.45 +/- 0.00</v>
      </c>
      <c r="P26" s="9" t="str">
        <f>IFERROR(__xludf.DUMMYFUNCTION("TEXT(VALUE(REGEXEXTRACT(H26,""^[+-]?[0-9]*\.?[0-9]+""))*100,""0.00"")&amp;"" +/- ""&amp;TEXT(VALUE(REGEXEXTRACT(H26,""[0-9]*\.?[0-9]+$""))*100,""0.00"")"),"51.45 +/- 0.00")</f>
        <v>51.45 +/- 0.00</v>
      </c>
    </row>
    <row r="27">
      <c r="A27" s="6" t="s">
        <v>529</v>
      </c>
      <c r="B27" s="16" t="s">
        <v>2807</v>
      </c>
      <c r="C27" s="16" t="s">
        <v>2807</v>
      </c>
      <c r="D27" s="16" t="s">
        <v>2810</v>
      </c>
      <c r="E27" s="16" t="s">
        <v>2807</v>
      </c>
      <c r="F27" s="16" t="s">
        <v>2807</v>
      </c>
      <c r="G27" s="16" t="s">
        <v>2807</v>
      </c>
      <c r="H27" s="16" t="s">
        <v>2807</v>
      </c>
      <c r="I27" s="8" t="str">
        <f t="shared" si="2"/>
        <v>A→Z</v>
      </c>
      <c r="J27" s="10" t="str">
        <f>IFERROR(__xludf.DUMMYFUNCTION("TEXT(VALUE(REGEXEXTRACT(B27,""^[+-]?[0-9]*\.?[0-9]+""))*100,""0.00"")&amp;"" +/- ""&amp;TEXT(VALUE(REGEXEXTRACT(B27,""[0-9]*\.?[0-9]+$""))*100,""0.00"")"),"62.00 +/- 0.00")</f>
        <v>62.00 +/- 0.00</v>
      </c>
      <c r="K27" s="10" t="str">
        <f>IFERROR(__xludf.DUMMYFUNCTION("TEXT(VALUE(REGEXEXTRACT(C27,""^[+-]?[0-9]*\.?[0-9]+""))*100,""0.00"")&amp;"" +/- ""&amp;TEXT(VALUE(REGEXEXTRACT(C27,""[0-9]*\.?[0-9]+$""))*100,""0.00"")"),"62.00 +/- 0.00")</f>
        <v>62.00 +/- 0.00</v>
      </c>
      <c r="L27" s="9" t="str">
        <f>IFERROR(__xludf.DUMMYFUNCTION("TEXT(VALUE(REGEXEXTRACT(D27,""^[+-]?[0-9]*\.?[0-9]+""))*100,""0.00"")&amp;"" +/- ""&amp;TEXT(VALUE(REGEXEXTRACT(D27,""[0-9]*\.?[0-9]+$""))*100,""0.00"")"),"57.74 +/- 0.00")</f>
        <v>57.74 +/- 0.00</v>
      </c>
      <c r="M27" s="10" t="str">
        <f>IFERROR(__xludf.DUMMYFUNCTION("TEXT(VALUE(REGEXEXTRACT(E27,""^[+-]?[0-9]*\.?[0-9]+""))*100,""0.00"")&amp;"" +/- ""&amp;TEXT(VALUE(REGEXEXTRACT(E27,""[0-9]*\.?[0-9]+$""))*100,""0.00"")"),"62.00 +/- 0.00")</f>
        <v>62.00 +/- 0.00</v>
      </c>
      <c r="N27" s="10" t="str">
        <f>IFERROR(__xludf.DUMMYFUNCTION("TEXT(VALUE(REGEXEXTRACT(F27,""^[+-]?[0-9]*\.?[0-9]+""))*100,""0.00"")&amp;"" +/- ""&amp;TEXT(VALUE(REGEXEXTRACT(F27,""[0-9]*\.?[0-9]+$""))*100,""0.00"")"),"62.00 +/- 0.00")</f>
        <v>62.00 +/- 0.00</v>
      </c>
      <c r="O27" s="10" t="str">
        <f>IFERROR(__xludf.DUMMYFUNCTION("TEXT(VALUE(REGEXEXTRACT(G27,""^[+-]?[0-9]*\.?[0-9]+""))*100,""0.00"")&amp;"" +/- ""&amp;TEXT(VALUE(REGEXEXTRACT(G27,""[0-9]*\.?[0-9]+$""))*100,""0.00"")"),"62.00 +/- 0.00")</f>
        <v>62.00 +/- 0.00</v>
      </c>
      <c r="P27" s="10" t="str">
        <f>IFERROR(__xludf.DUMMYFUNCTION("TEXT(VALUE(REGEXEXTRACT(H27,""^[+-]?[0-9]*\.?[0-9]+""))*100,""0.00"")&amp;"" +/- ""&amp;TEXT(VALUE(REGEXEXTRACT(H27,""[0-9]*\.?[0-9]+$""))*100,""0.00"")"),"62.00 +/- 0.00")</f>
        <v>62.00 +/- 0.00</v>
      </c>
    </row>
    <row r="28">
      <c r="A28" s="6" t="s">
        <v>539</v>
      </c>
      <c r="B28" s="16" t="s">
        <v>2813</v>
      </c>
      <c r="C28" s="16" t="s">
        <v>2814</v>
      </c>
      <c r="D28" s="16" t="s">
        <v>2815</v>
      </c>
      <c r="E28" s="16" t="s">
        <v>2816</v>
      </c>
      <c r="F28" s="16" t="s">
        <v>2817</v>
      </c>
      <c r="G28" s="16" t="s">
        <v>2818</v>
      </c>
      <c r="H28" s="16" t="s">
        <v>2819</v>
      </c>
      <c r="I28" s="8" t="str">
        <f t="shared" si="2"/>
        <v>S→A</v>
      </c>
      <c r="J28" s="9" t="str">
        <f>IFERROR(__xludf.DUMMYFUNCTION("TEXT(VALUE(REGEXEXTRACT(B28,""^[+-]?[0-9]*\.?[0-9]+""))*100,""0.00"")&amp;"" +/- ""&amp;TEXT(VALUE(REGEXEXTRACT(B28,""[0-9]*\.?[0-9]+$""))*100,""0.00"")"),"58.27 +/- 0.95")</f>
        <v>58.27 +/- 0.95</v>
      </c>
      <c r="K28" s="9" t="str">
        <f>IFERROR(__xludf.DUMMYFUNCTION("TEXT(VALUE(REGEXEXTRACT(C28,""^[+-]?[0-9]*\.?[0-9]+""))*100,""0.00"")&amp;"" +/- ""&amp;TEXT(VALUE(REGEXEXTRACT(C28,""[0-9]*\.?[0-9]+$""))*100,""0.00"")"),"55.63 +/- 0.00")</f>
        <v>55.63 +/- 0.00</v>
      </c>
      <c r="L28" s="10" t="str">
        <f>IFERROR(__xludf.DUMMYFUNCTION("TEXT(VALUE(REGEXEXTRACT(D28,""^[+-]?[0-9]*\.?[0-9]+""))*100,""0.00"")&amp;"" +/- ""&amp;TEXT(VALUE(REGEXEXTRACT(D28,""[0-9]*\.?[0-9]+$""))*100,""0.00"")"),"63.24 +/- 0.00")</f>
        <v>63.24 +/- 0.00</v>
      </c>
      <c r="M28" s="9" t="str">
        <f>IFERROR(__xludf.DUMMYFUNCTION("TEXT(VALUE(REGEXEXTRACT(E28,""^[+-]?[0-9]*\.?[0-9]+""))*100,""0.00"")&amp;"" +/- ""&amp;TEXT(VALUE(REGEXEXTRACT(E28,""[0-9]*\.?[0-9]+$""))*100,""0.00"")"),"57.57 +/- 1.58")</f>
        <v>57.57 +/- 1.58</v>
      </c>
      <c r="N28" s="9" t="str">
        <f>IFERROR(__xludf.DUMMYFUNCTION("TEXT(VALUE(REGEXEXTRACT(F28,""^[+-]?[0-9]*\.?[0-9]+""))*100,""0.00"")&amp;"" +/- ""&amp;TEXT(VALUE(REGEXEXTRACT(F28,""[0-9]*\.?[0-9]+$""))*100,""0.00"")"),"57.29 +/- 0.77")</f>
        <v>57.29 +/- 0.77</v>
      </c>
      <c r="O28" s="9" t="str">
        <f>IFERROR(__xludf.DUMMYFUNCTION("TEXT(VALUE(REGEXEXTRACT(G28,""^[+-]?[0-9]*\.?[0-9]+""))*100,""0.00"")&amp;"" +/- ""&amp;TEXT(VALUE(REGEXEXTRACT(G28,""[0-9]*\.?[0-9]+$""))*100,""0.00"")"),"57.81 +/- 1.11")</f>
        <v>57.81 +/- 1.11</v>
      </c>
      <c r="P28" s="9" t="str">
        <f>IFERROR(__xludf.DUMMYFUNCTION("TEXT(VALUE(REGEXEXTRACT(H28,""^[+-]?[0-9]*\.?[0-9]+""))*100,""0.00"")&amp;"" +/- ""&amp;TEXT(VALUE(REGEXEXTRACT(H28,""[0-9]*\.?[0-9]+$""))*100,""0.00"")"),"55.78 +/- 1.18")</f>
        <v>55.78 +/- 1.18</v>
      </c>
    </row>
    <row r="29">
      <c r="A29" s="6" t="s">
        <v>556</v>
      </c>
      <c r="B29" s="16" t="s">
        <v>2827</v>
      </c>
      <c r="C29" s="16" t="s">
        <v>2828</v>
      </c>
      <c r="D29" s="16" t="s">
        <v>2829</v>
      </c>
      <c r="E29" s="16" t="s">
        <v>2830</v>
      </c>
      <c r="F29" s="16" t="s">
        <v>2831</v>
      </c>
      <c r="G29" s="16" t="s">
        <v>2832</v>
      </c>
      <c r="H29" s="16" t="s">
        <v>2833</v>
      </c>
      <c r="I29" s="8" t="str">
        <f t="shared" si="2"/>
        <v>S→Z</v>
      </c>
      <c r="J29" s="9" t="str">
        <f>IFERROR(__xludf.DUMMYFUNCTION("TEXT(VALUE(REGEXEXTRACT(B29,""^[+-]?[0-9]*\.?[0-9]+""))*100,""0.00"")&amp;"" +/- ""&amp;TEXT(VALUE(REGEXEXTRACT(B29,""[0-9]*\.?[0-9]+$""))*100,""0.00"")"),"56.97 +/- 0.61")</f>
        <v>56.97 +/- 0.61</v>
      </c>
      <c r="K29" s="9" t="str">
        <f>IFERROR(__xludf.DUMMYFUNCTION("TEXT(VALUE(REGEXEXTRACT(C29,""^[+-]?[0-9]*\.?[0-9]+""))*100,""0.00"")&amp;"" +/- ""&amp;TEXT(VALUE(REGEXEXTRACT(C29,""[0-9]*\.?[0-9]+$""))*100,""0.00"")"),"56.58 +/- 0.00")</f>
        <v>56.58 +/- 0.00</v>
      </c>
      <c r="L29" s="9" t="str">
        <f>IFERROR(__xludf.DUMMYFUNCTION("TEXT(VALUE(REGEXEXTRACT(D29,""^[+-]?[0-9]*\.?[0-9]+""))*100,""0.00"")&amp;"" +/- ""&amp;TEXT(VALUE(REGEXEXTRACT(D29,""[0-9]*\.?[0-9]+$""))*100,""0.00"")"),"56.67 +/- 0.00")</f>
        <v>56.67 +/- 0.00</v>
      </c>
      <c r="M29" s="9" t="str">
        <f>IFERROR(__xludf.DUMMYFUNCTION("TEXT(VALUE(REGEXEXTRACT(E29,""^[+-]?[0-9]*\.?[0-9]+""))*100,""0.00"")&amp;"" +/- ""&amp;TEXT(VALUE(REGEXEXTRACT(E29,""[0-9]*\.?[0-9]+$""))*100,""0.00"")"),"56.58 +/- 1.06")</f>
        <v>56.58 +/- 1.06</v>
      </c>
      <c r="N29" s="9" t="str">
        <f>IFERROR(__xludf.DUMMYFUNCTION("TEXT(VALUE(REGEXEXTRACT(F29,""^[+-]?[0-9]*\.?[0-9]+""))*100,""0.00"")&amp;"" +/- ""&amp;TEXT(VALUE(REGEXEXTRACT(F29,""[0-9]*\.?[0-9]+$""))*100,""0.00"")"),"56.38 +/- 0.48")</f>
        <v>56.38 +/- 0.48</v>
      </c>
      <c r="O29" s="9" t="str">
        <f>IFERROR(__xludf.DUMMYFUNCTION("TEXT(VALUE(REGEXEXTRACT(G29,""^[+-]?[0-9]*\.?[0-9]+""))*100,""0.00"")&amp;"" +/- ""&amp;TEXT(VALUE(REGEXEXTRACT(G29,""[0-9]*\.?[0-9]+$""))*100,""0.00"")"),"56.78 +/- 0.73")</f>
        <v>56.78 +/- 0.73</v>
      </c>
      <c r="P29" s="9" t="str">
        <f>IFERROR(__xludf.DUMMYFUNCTION("TEXT(VALUE(REGEXEXTRACT(H29,""^[+-]?[0-9]*\.?[0-9]+""))*100,""0.00"")&amp;"" +/- ""&amp;TEXT(VALUE(REGEXEXTRACT(H29,""[0-9]*\.?[0-9]+$""))*100,""0.00"")"),"55.36 +/- 0.87")</f>
        <v>55.36 +/- 0.87</v>
      </c>
    </row>
    <row r="30">
      <c r="A30" s="6" t="s">
        <v>572</v>
      </c>
      <c r="B30" s="16" t="s">
        <v>2834</v>
      </c>
      <c r="C30" s="16" t="s">
        <v>2835</v>
      </c>
      <c r="D30" s="16" t="s">
        <v>2836</v>
      </c>
      <c r="E30" s="16" t="s">
        <v>2837</v>
      </c>
      <c r="F30" s="16" t="s">
        <v>2838</v>
      </c>
      <c r="G30" s="16" t="s">
        <v>2839</v>
      </c>
      <c r="H30" s="16" t="s">
        <v>2840</v>
      </c>
      <c r="I30" s="8" t="str">
        <f t="shared" si="2"/>
        <v>Z→A</v>
      </c>
      <c r="J30" s="9" t="str">
        <f>IFERROR(__xludf.DUMMYFUNCTION("TEXT(VALUE(REGEXEXTRACT(B30,""^[+-]?[0-9]*\.?[0-9]+""))*100,""0.00"")&amp;"" +/- ""&amp;TEXT(VALUE(REGEXEXTRACT(B30,""[0-9]*\.?[0-9]+$""))*100,""0.00"")"),"55.84 +/- 1.07")</f>
        <v>55.84 +/- 1.07</v>
      </c>
      <c r="K30" s="9" t="str">
        <f>IFERROR(__xludf.DUMMYFUNCTION("TEXT(VALUE(REGEXEXTRACT(C30,""^[+-]?[0-9]*\.?[0-9]+""))*100,""0.00"")&amp;"" +/- ""&amp;TEXT(VALUE(REGEXEXTRACT(C30,""[0-9]*\.?[0-9]+$""))*100,""0.00"")"),"39.65 +/- 0.00")</f>
        <v>39.65 +/- 0.00</v>
      </c>
      <c r="L30" s="10" t="str">
        <f>IFERROR(__xludf.DUMMYFUNCTION("TEXT(VALUE(REGEXEXTRACT(D30,""^[+-]?[0-9]*\.?[0-9]+""))*100,""0.00"")&amp;"" +/- ""&amp;TEXT(VALUE(REGEXEXTRACT(D30,""[0-9]*\.?[0-9]+$""))*100,""0.00"")"),"64.78 +/- 0.00")</f>
        <v>64.78 +/- 0.00</v>
      </c>
      <c r="M30" s="9" t="str">
        <f>IFERROR(__xludf.DUMMYFUNCTION("TEXT(VALUE(REGEXEXTRACT(E30,""^[+-]?[0-9]*\.?[0-9]+""))*100,""0.00"")&amp;"" +/- ""&amp;TEXT(VALUE(REGEXEXTRACT(E30,""[0-9]*\.?[0-9]+$""))*100,""0.00"")"),"58.38 +/- 1.58")</f>
        <v>58.38 +/- 1.58</v>
      </c>
      <c r="N30" s="9" t="str">
        <f>IFERROR(__xludf.DUMMYFUNCTION("TEXT(VALUE(REGEXEXTRACT(F30,""^[+-]?[0-9]*\.?[0-9]+""))*100,""0.00"")&amp;"" +/- ""&amp;TEXT(VALUE(REGEXEXTRACT(F30,""[0-9]*\.?[0-9]+$""))*100,""0.00"")"),"56.77 +/- 1.53")</f>
        <v>56.77 +/- 1.53</v>
      </c>
      <c r="O30" s="9" t="str">
        <f>IFERROR(__xludf.DUMMYFUNCTION("TEXT(VALUE(REGEXEXTRACT(G30,""^[+-]?[0-9]*\.?[0-9]+""))*100,""0.00"")&amp;"" +/- ""&amp;TEXT(VALUE(REGEXEXTRACT(G30,""[0-9]*\.?[0-9]+$""))*100,""0.00"")"),"58.05 +/- 1.97")</f>
        <v>58.05 +/- 1.97</v>
      </c>
      <c r="P30" s="9" t="str">
        <f>IFERROR(__xludf.DUMMYFUNCTION("TEXT(VALUE(REGEXEXTRACT(H30,""^[+-]?[0-9]*\.?[0-9]+""))*100,""0.00"")&amp;"" +/- ""&amp;TEXT(VALUE(REGEXEXTRACT(H30,""[0-9]*\.?[0-9]+$""))*100,""0.00"")"),"54.02 +/- 1.18")</f>
        <v>54.02 +/- 1.18</v>
      </c>
    </row>
    <row r="31">
      <c r="A31" s="6" t="s">
        <v>583</v>
      </c>
      <c r="B31" s="16" t="s">
        <v>2841</v>
      </c>
      <c r="C31" s="16" t="s">
        <v>2842</v>
      </c>
      <c r="D31" s="16" t="s">
        <v>2843</v>
      </c>
      <c r="E31" s="16" t="s">
        <v>2844</v>
      </c>
      <c r="F31" s="16" t="s">
        <v>2845</v>
      </c>
      <c r="G31" s="16" t="s">
        <v>2846</v>
      </c>
      <c r="H31" s="16" t="s">
        <v>2847</v>
      </c>
      <c r="I31" s="8" t="str">
        <f t="shared" si="2"/>
        <v>Z→S</v>
      </c>
      <c r="J31" s="10" t="str">
        <f>IFERROR(__xludf.DUMMYFUNCTION("TEXT(VALUE(REGEXEXTRACT(B31,""^[+-]?[0-9]*\.?[0-9]+""))*100,""0.00"")&amp;"" +/- ""&amp;TEXT(VALUE(REGEXEXTRACT(B31,""[0-9]*\.?[0-9]+$""))*100,""0.00"")"),"71.47 +/- 2.16")</f>
        <v>71.47 +/- 2.16</v>
      </c>
      <c r="K31" s="9" t="str">
        <f>IFERROR(__xludf.DUMMYFUNCTION("TEXT(VALUE(REGEXEXTRACT(C31,""^[+-]?[0-9]*\.?[0-9]+""))*100,""0.00"")&amp;"" +/- ""&amp;TEXT(VALUE(REGEXEXTRACT(C31,""[0-9]*\.?[0-9]+$""))*100,""0.00"")"),"46.25 +/- 0.00")</f>
        <v>46.25 +/- 0.00</v>
      </c>
      <c r="L31" s="9" t="str">
        <f>IFERROR(__xludf.DUMMYFUNCTION("TEXT(VALUE(REGEXEXTRACT(D31,""^[+-]?[0-9]*\.?[0-9]+""))*100,""0.00"")&amp;"" +/- ""&amp;TEXT(VALUE(REGEXEXTRACT(D31,""[0-9]*\.?[0-9]+$""))*100,""0.00"")"),"55.57 +/- 0.00")</f>
        <v>55.57 +/- 0.00</v>
      </c>
      <c r="M31" s="9" t="str">
        <f>IFERROR(__xludf.DUMMYFUNCTION("TEXT(VALUE(REGEXEXTRACT(E31,""^[+-]?[0-9]*\.?[0-9]+""))*100,""0.00"")&amp;"" +/- ""&amp;TEXT(VALUE(REGEXEXTRACT(E31,""[0-9]*\.?[0-9]+$""))*100,""0.00"")"),"62.28 +/- 2.50")</f>
        <v>62.28 +/- 2.50</v>
      </c>
      <c r="N31" s="9" t="str">
        <f>IFERROR(__xludf.DUMMYFUNCTION("TEXT(VALUE(REGEXEXTRACT(F31,""^[+-]?[0-9]*\.?[0-9]+""))*100,""0.00"")&amp;"" +/- ""&amp;TEXT(VALUE(REGEXEXTRACT(F31,""[0-9]*\.?[0-9]+$""))*100,""0.00"")"),"60.54 +/- 1.69")</f>
        <v>60.54 +/- 1.69</v>
      </c>
      <c r="O31" s="9" t="str">
        <f>IFERROR(__xludf.DUMMYFUNCTION("TEXT(VALUE(REGEXEXTRACT(G31,""^[+-]?[0-9]*\.?[0-9]+""))*100,""0.00"")&amp;"" +/- ""&amp;TEXT(VALUE(REGEXEXTRACT(G31,""[0-9]*\.?[0-9]+$""))*100,""0.00"")"),"59.86 +/- 1.97")</f>
        <v>59.86 +/- 1.97</v>
      </c>
      <c r="P31" s="9" t="str">
        <f>IFERROR(__xludf.DUMMYFUNCTION("TEXT(VALUE(REGEXEXTRACT(H31,""^[+-]?[0-9]*\.?[0-9]+""))*100,""0.00"")&amp;"" +/- ""&amp;TEXT(VALUE(REGEXEXTRACT(H31,""[0-9]*\.?[0-9]+$""))*100,""0.00"")"),"57.12 +/- 3.13")</f>
        <v>57.12 +/- 3.13</v>
      </c>
    </row>
    <row r="32">
      <c r="A32" s="6" t="s">
        <v>371</v>
      </c>
      <c r="B32" s="14"/>
      <c r="C32" s="21" t="s">
        <v>671</v>
      </c>
      <c r="D32" s="21" t="s">
        <v>2851</v>
      </c>
      <c r="E32" s="21" t="s">
        <v>605</v>
      </c>
      <c r="F32" s="21" t="s">
        <v>605</v>
      </c>
      <c r="G32" s="21" t="s">
        <v>605</v>
      </c>
      <c r="H32" s="21" t="s">
        <v>671</v>
      </c>
      <c r="I32" s="8" t="str">
        <f t="shared" si="2"/>
        <v>W/T/L</v>
      </c>
      <c r="K32" s="20" t="str">
        <f>IFERROR(__xludf.DUMMYFUNCTION("SUM(ARRAYFORMULA(IFERROR(
  (VALUE(REGEXEXTRACT($J$26:$J$31,""^[+-]?[0-9]*\.?[0-9]+""))&gt;
   VALUE(REGEXEXTRACT(K$26:K$31,""^[+-]?[0-9]*\.?[0-9]+"")))*1,0)))
&amp;""/""&amp;
SUM(ARRAYFORMULA(IFERROR(
  (VALUE(REGEXEXTRACT($J$26:$J$31,""^[+-]?[0-9]*\.?[0-9]+""))=
 "&amp;"  VALUE(REGEXEXTRACT(K$26:K$31,""^[+-]?[0-9]*\.?[0-9]+"")))*1,0)))
&amp;""/""&amp;
SUM(ARRAYFORMULA(IFERROR(
  (VALUE(REGEXEXTRACT($J$26:$J$31,""^[+-]?[0-9]*\.?[0-9]+""))&lt;
   VALUE(REGEXEXTRACT(K$26:K$31,""^[+-]?[0-9]*\.?[0-9]+"")))*1,0)))"),"4/2/0")</f>
        <v>4/2/0</v>
      </c>
      <c r="L32" s="20" t="str">
        <f>IFERROR(__xludf.DUMMYFUNCTION("SUM(ARRAYFORMULA(IFERROR(
  (VALUE(REGEXEXTRACT($J$26:$J$31,""^[+-]?[0-9]*\.?[0-9]+""))&gt;
   VALUE(REGEXEXTRACT(L$26:L$31,""^[+-]?[0-9]*\.?[0-9]+"")))*1,0)))
&amp;""/""&amp;
SUM(ARRAYFORMULA(IFERROR(
  (VALUE(REGEXEXTRACT($J$26:$J$31,""^[+-]?[0-9]*\.?[0-9]+""))=
 "&amp;"  VALUE(REGEXEXTRACT(L$26:L$31,""^[+-]?[0-9]*\.?[0-9]+"")))*1,0)))
&amp;""/""&amp;
SUM(ARRAYFORMULA(IFERROR(
  (VALUE(REGEXEXTRACT($J$26:$J$31,""^[+-]?[0-9]*\.?[0-9]+""))&lt;
   VALUE(REGEXEXTRACT(L$26:L$31,""^[+-]?[0-9]*\.?[0-9]+"")))*1,0)))"),"3/0/3")</f>
        <v>3/0/3</v>
      </c>
      <c r="M32" s="20" t="str">
        <f>IFERROR(__xludf.DUMMYFUNCTION("SUM(ARRAYFORMULA(IFERROR(
  (VALUE(REGEXEXTRACT($J$26:$J$31,""^[+-]?[0-9]*\.?[0-9]+""))&gt;
   VALUE(REGEXEXTRACT(M$26:M$31,""^[+-]?[0-9]*\.?[0-9]+"")))*1,0)))
&amp;""/""&amp;
SUM(ARRAYFORMULA(IFERROR(
  (VALUE(REGEXEXTRACT($J$26:$J$31,""^[+-]?[0-9]*\.?[0-9]+""))=
 "&amp;"  VALUE(REGEXEXTRACT(M$26:M$31,""^[+-]?[0-9]*\.?[0-9]+"")))*1,0)))
&amp;""/""&amp;
SUM(ARRAYFORMULA(IFERROR(
  (VALUE(REGEXEXTRACT($J$26:$J$31,""^[+-]?[0-9]*\.?[0-9]+""))&lt;
   VALUE(REGEXEXTRACT(M$26:M$31,""^[+-]?[0-9]*\.?[0-9]+"")))*1,0)))"),"3/2/1")</f>
        <v>3/2/1</v>
      </c>
      <c r="N32" s="20" t="str">
        <f>IFERROR(__xludf.DUMMYFUNCTION("SUM(ARRAYFORMULA(IFERROR(
  (VALUE(REGEXEXTRACT($J$26:$J$31,""^[+-]?[0-9]*\.?[0-9]+""))&gt;
   VALUE(REGEXEXTRACT(N$26:N$31,""^[+-]?[0-9]*\.?[0-9]+"")))*1,0)))
&amp;""/""&amp;
SUM(ARRAYFORMULA(IFERROR(
  (VALUE(REGEXEXTRACT($J$26:$J$31,""^[+-]?[0-9]*\.?[0-9]+""))=
 "&amp;"  VALUE(REGEXEXTRACT(N$26:N$31,""^[+-]?[0-9]*\.?[0-9]+"")))*1,0)))
&amp;""/""&amp;
SUM(ARRAYFORMULA(IFERROR(
  (VALUE(REGEXEXTRACT($J$26:$J$31,""^[+-]?[0-9]*\.?[0-9]+""))&lt;
   VALUE(REGEXEXTRACT(N$26:N$31,""^[+-]?[0-9]*\.?[0-9]+"")))*1,0)))"),"3/2/1")</f>
        <v>3/2/1</v>
      </c>
      <c r="O32" s="20" t="str">
        <f>IFERROR(__xludf.DUMMYFUNCTION("SUM(ARRAYFORMULA(IFERROR(
  (VALUE(REGEXEXTRACT($J$26:$J$31,""^[+-]?[0-9]*\.?[0-9]+""))&gt;
   VALUE(REGEXEXTRACT(O$26:O$31,""^[+-]?[0-9]*\.?[0-9]+"")))*1,0)))
&amp;""/""&amp;
SUM(ARRAYFORMULA(IFERROR(
  (VALUE(REGEXEXTRACT($J$26:$J$31,""^[+-]?[0-9]*\.?[0-9]+""))=
 "&amp;"  VALUE(REGEXEXTRACT(O$26:O$31,""^[+-]?[0-9]*\.?[0-9]+"")))*1,0)))
&amp;""/""&amp;
SUM(ARRAYFORMULA(IFERROR(
  (VALUE(REGEXEXTRACT($J$26:$J$31,""^[+-]?[0-9]*\.?[0-9]+""))&lt;
   VALUE(REGEXEXTRACT(O$26:O$31,""^[+-]?[0-9]*\.?[0-9]+"")))*1,0)))"),"3/2/1")</f>
        <v>3/2/1</v>
      </c>
      <c r="P32" s="20" t="str">
        <f>IFERROR(__xludf.DUMMYFUNCTION("SUM(ARRAYFORMULA(IFERROR(
  (VALUE(REGEXEXTRACT($J$26:$J$31,""^[+-]?[0-9]*\.?[0-9]+""))&gt;
   VALUE(REGEXEXTRACT(P$26:P$31,""^[+-]?[0-9]*\.?[0-9]+"")))*1,0)))
&amp;""/""&amp;
SUM(ARRAYFORMULA(IFERROR(
  (VALUE(REGEXEXTRACT($J$26:$J$31,""^[+-]?[0-9]*\.?[0-9]+""))=
 "&amp;"  VALUE(REGEXEXTRACT(P$26:P$31,""^[+-]?[0-9]*\.?[0-9]+"")))*1,0)))
&amp;""/""&amp;
SUM(ARRAYFORMULA(IFERROR(
  (VALUE(REGEXEXTRACT($J$26:$J$31,""^[+-]?[0-9]*\.?[0-9]+""))&lt;
   VALUE(REGEXEXTRACT(P$26:P$31,""^[+-]?[0-9]*\.?[0-9]+"")))*1,0)))"),"4/2/0")</f>
        <v>4/2/0</v>
      </c>
    </row>
    <row r="33">
      <c r="A33" s="6" t="s">
        <v>489</v>
      </c>
      <c r="B33" s="14" t="s">
        <v>2856</v>
      </c>
      <c r="C33" s="14" t="s">
        <v>2857</v>
      </c>
      <c r="D33" s="14" t="s">
        <v>1986</v>
      </c>
      <c r="E33" s="14" t="s">
        <v>2858</v>
      </c>
      <c r="F33" s="14" t="s">
        <v>2859</v>
      </c>
      <c r="G33" s="14" t="s">
        <v>2860</v>
      </c>
      <c r="H33" s="14" t="s">
        <v>2861</v>
      </c>
      <c r="I33" s="8" t="str">
        <f t="shared" si="2"/>
        <v>Average (%)</v>
      </c>
      <c r="J33" s="9">
        <f>IFERROR(__xludf.DUMMYFUNCTION("ROUND(AVERAGE(ARRAYFORMULA(IFERROR(VALUE(REGEXEXTRACT(J$26:J$31,""^[+-]?[0-9]*\.?[0-9]+"")),""""))),2)"),59.33)</f>
        <v>59.33</v>
      </c>
      <c r="K33" s="9">
        <f>IFERROR(__xludf.DUMMYFUNCTION("ROUND(AVERAGE(ARRAYFORMULA(IFERROR(VALUE(REGEXEXTRACT(K$26:K$31,""^[+-]?[0-9]*\.?[0-9]+"")),""""))),2)"),51.93)</f>
        <v>51.93</v>
      </c>
      <c r="L33" s="9">
        <f>IFERROR(__xludf.DUMMYFUNCTION("ROUND(AVERAGE(ARRAYFORMULA(IFERROR(VALUE(REGEXEXTRACT(L$26:L$31,""^[+-]?[0-9]*\.?[0-9]+"")),""""))),2)"),61.93)</f>
        <v>61.93</v>
      </c>
      <c r="M33" s="9">
        <f>IFERROR(__xludf.DUMMYFUNCTION("ROUND(AVERAGE(ARRAYFORMULA(IFERROR(VALUE(REGEXEXTRACT(M$26:M$31,""^[+-]?[0-9]*\.?[0-9]+"")),""""))),2)"),58.04)</f>
        <v>58.04</v>
      </c>
      <c r="N33" s="9">
        <f>IFERROR(__xludf.DUMMYFUNCTION("ROUND(AVERAGE(ARRAYFORMULA(IFERROR(VALUE(REGEXEXTRACT(N$26:N$31,""^[+-]?[0-9]*\.?[0-9]+"")),""""))),2)"),57.41)</f>
        <v>57.41</v>
      </c>
      <c r="O33" s="9">
        <f>IFERROR(__xludf.DUMMYFUNCTION("ROUND(AVERAGE(ARRAYFORMULA(IFERROR(VALUE(REGEXEXTRACT(O$26:O$31,""^[+-]?[0-9]*\.?[0-9]+"")),""""))),2)"),57.66)</f>
        <v>57.66</v>
      </c>
      <c r="P33" s="9">
        <f>IFERROR(__xludf.DUMMYFUNCTION("ROUND(AVERAGE(ARRAYFORMULA(IFERROR(VALUE(REGEXEXTRACT(P$26:P$31,""^[+-]?[0-9]*\.?[0-9]+"")),""""))),2)"),55.96)</f>
        <v>55.96</v>
      </c>
    </row>
    <row r="34">
      <c r="A34" s="4" t="s">
        <v>659</v>
      </c>
      <c r="B34" s="2"/>
      <c r="C34" s="2"/>
      <c r="D34" s="2"/>
      <c r="E34" s="2"/>
      <c r="F34" s="2"/>
      <c r="G34" s="2"/>
      <c r="H34" s="2"/>
      <c r="I34" s="4" t="s">
        <v>659</v>
      </c>
    </row>
    <row r="35">
      <c r="A35" s="6" t="s">
        <v>660</v>
      </c>
      <c r="B35" s="16" t="s">
        <v>2868</v>
      </c>
      <c r="C35" s="16" t="s">
        <v>2869</v>
      </c>
      <c r="D35" s="16" t="s">
        <v>686</v>
      </c>
      <c r="E35" s="16" t="s">
        <v>2870</v>
      </c>
      <c r="F35" s="16" t="s">
        <v>2871</v>
      </c>
      <c r="G35" s="16" t="s">
        <v>2872</v>
      </c>
      <c r="H35" s="16" t="s">
        <v>2873</v>
      </c>
      <c r="I35" s="8" t="str">
        <f t="shared" ref="I35:I56" si="3">A35</f>
        <v>AR1→AR3</v>
      </c>
      <c r="J35" s="9" t="str">
        <f>IFERROR(__xludf.DUMMYFUNCTION("TEXT(VALUE(REGEXEXTRACT(B35,""^[+-]?[0-9]*\.?[0-9]+""))*100,""0.00"")&amp;"" +/- ""&amp;TEXT(VALUE(REGEXEXTRACT(B35,""[0-9]*\.?[0-9]+$""))*100,""0.00"")"),"31.15 +/- 0.26")</f>
        <v>31.15 +/- 0.26</v>
      </c>
      <c r="K35" s="9" t="str">
        <f>IFERROR(__xludf.DUMMYFUNCTION("TEXT(VALUE(REGEXEXTRACT(C35,""^[+-]?[0-9]*\.?[0-9]+""))*100,""0.00"")&amp;"" +/- ""&amp;TEXT(VALUE(REGEXEXTRACT(C35,""[0-9]*\.?[0-9]+$""))*100,""0.00"")"),"34.71 +/- 0.00")</f>
        <v>34.71 +/- 0.00</v>
      </c>
      <c r="L35" s="9" t="str">
        <f>IFERROR(__xludf.DUMMYFUNCTION("TEXT(VALUE(REGEXEXTRACT(D35,""^[+-]?[0-9]*\.?[0-9]+""))*100,""0.00"")&amp;"" +/- ""&amp;TEXT(VALUE(REGEXEXTRACT(D35,""[0-9]*\.?[0-9]+$""))*100,""0.00"")"),"0.00 +/- 0.00")</f>
        <v>0.00 +/- 0.00</v>
      </c>
      <c r="M35" s="9" t="str">
        <f>IFERROR(__xludf.DUMMYFUNCTION("TEXT(VALUE(REGEXEXTRACT(E35,""^[+-]?[0-9]*\.?[0-9]+""))*100,""0.00"")&amp;"" +/- ""&amp;TEXT(VALUE(REGEXEXTRACT(E35,""[0-9]*\.?[0-9]+$""))*100,""0.00"")"),"31.61 +/- 2.30")</f>
        <v>31.61 +/- 2.30</v>
      </c>
      <c r="N35" s="9" t="str">
        <f>IFERROR(__xludf.DUMMYFUNCTION("TEXT(VALUE(REGEXEXTRACT(F35,""^[+-]?[0-9]*\.?[0-9]+""))*100,""0.00"")&amp;"" +/- ""&amp;TEXT(VALUE(REGEXEXTRACT(F35,""[0-9]*\.?[0-9]+$""))*100,""0.00"")"),"31.14 +/- 0.22")</f>
        <v>31.14 +/- 0.22</v>
      </c>
      <c r="O35" s="9" t="str">
        <f>IFERROR(__xludf.DUMMYFUNCTION("TEXT(VALUE(REGEXEXTRACT(G35,""^[+-]?[0-9]*\.?[0-9]+""))*100,""0.00"")&amp;"" +/- ""&amp;TEXT(VALUE(REGEXEXTRACT(G35,""[0-9]*\.?[0-9]+$""))*100,""0.00"")"),"31.68 +/- 2.38")</f>
        <v>31.68 +/- 2.38</v>
      </c>
      <c r="P35" s="10" t="str">
        <f>IFERROR(__xludf.DUMMYFUNCTION("TEXT(VALUE(REGEXEXTRACT(H35,""^[+-]?[0-9]*\.?[0-9]+""))*100,""0.00"")&amp;"" +/- ""&amp;TEXT(VALUE(REGEXEXTRACT(H35,""[0-9]*\.?[0-9]+$""))*100,""0.00"")"),"35.56 +/- 5.84")</f>
        <v>35.56 +/- 5.84</v>
      </c>
    </row>
    <row r="36">
      <c r="A36" s="6" t="s">
        <v>676</v>
      </c>
      <c r="B36" s="16" t="s">
        <v>2880</v>
      </c>
      <c r="C36" s="16" t="s">
        <v>686</v>
      </c>
      <c r="D36" s="16" t="s">
        <v>2881</v>
      </c>
      <c r="E36" s="16" t="s">
        <v>2882</v>
      </c>
      <c r="F36" s="16" t="s">
        <v>2883</v>
      </c>
      <c r="G36" s="16" t="s">
        <v>2884</v>
      </c>
      <c r="H36" s="16" t="s">
        <v>2885</v>
      </c>
      <c r="I36" s="8" t="str">
        <f t="shared" si="3"/>
        <v>AR1→AR4</v>
      </c>
      <c r="J36" s="10" t="str">
        <f>IFERROR(__xludf.DUMMYFUNCTION("TEXT(VALUE(REGEXEXTRACT(B36,""^[+-]?[0-9]*\.?[0-9]+""))*100,""0.00"")&amp;"" +/- ""&amp;TEXT(VALUE(REGEXEXTRACT(B36,""[0-9]*\.?[0-9]+$""))*100,""0.00"")"),"59.48 +/- 2.67")</f>
        <v>59.48 +/- 2.67</v>
      </c>
      <c r="K36" s="9" t="str">
        <f>IFERROR(__xludf.DUMMYFUNCTION("TEXT(VALUE(REGEXEXTRACT(C36,""^[+-]?[0-9]*\.?[0-9]+""))*100,""0.00"")&amp;"" +/- ""&amp;TEXT(VALUE(REGEXEXTRACT(C36,""[0-9]*\.?[0-9]+$""))*100,""0.00"")"),"0.00 +/- 0.00")</f>
        <v>0.00 +/- 0.00</v>
      </c>
      <c r="L36" s="9" t="str">
        <f>IFERROR(__xludf.DUMMYFUNCTION("TEXT(VALUE(REGEXEXTRACT(D36,""^[+-]?[0-9]*\.?[0-9]+""))*100,""0.00"")&amp;"" +/- ""&amp;TEXT(VALUE(REGEXEXTRACT(D36,""[0-9]*\.?[0-9]+$""))*100,""0.00"")"),"43.94 +/- 0.00")</f>
        <v>43.94 +/- 0.00</v>
      </c>
      <c r="M36" s="9" t="str">
        <f>IFERROR(__xludf.DUMMYFUNCTION("TEXT(VALUE(REGEXEXTRACT(E36,""^[+-]?[0-9]*\.?[0-9]+""))*100,""0.00"")&amp;"" +/- ""&amp;TEXT(VALUE(REGEXEXTRACT(E36,""[0-9]*\.?[0-9]+$""))*100,""0.00"")"),"59.89 +/- 2.37")</f>
        <v>59.89 +/- 2.37</v>
      </c>
      <c r="N36" s="9" t="str">
        <f>IFERROR(__xludf.DUMMYFUNCTION("TEXT(VALUE(REGEXEXTRACT(F36,""^[+-]?[0-9]*\.?[0-9]+""))*100,""0.00"")&amp;"" +/- ""&amp;TEXT(VALUE(REGEXEXTRACT(F36,""[0-9]*\.?[0-9]+$""))*100,""0.00"")"),"59.66 +/- 1.75")</f>
        <v>59.66 +/- 1.75</v>
      </c>
      <c r="O36" s="9" t="str">
        <f>IFERROR(__xludf.DUMMYFUNCTION("TEXT(VALUE(REGEXEXTRACT(G36,""^[+-]?[0-9]*\.?[0-9]+""))*100,""0.00"")&amp;"" +/- ""&amp;TEXT(VALUE(REGEXEXTRACT(G36,""[0-9]*\.?[0-9]+$""))*100,""0.00"")"),"58.45 +/- 1.64")</f>
        <v>58.45 +/- 1.64</v>
      </c>
      <c r="P36" s="9" t="str">
        <f>IFERROR(__xludf.DUMMYFUNCTION("TEXT(VALUE(REGEXEXTRACT(H36,""^[+-]?[0-9]*\.?[0-9]+""))*100,""0.00"")&amp;"" +/- ""&amp;TEXT(VALUE(REGEXEXTRACT(H36,""[0-9]*\.?[0-9]+$""))*100,""0.00"")"),"54.72 +/- 1.16")</f>
        <v>54.72 +/- 1.16</v>
      </c>
    </row>
    <row r="37">
      <c r="A37" s="6" t="s">
        <v>684</v>
      </c>
      <c r="B37" s="16" t="s">
        <v>2889</v>
      </c>
      <c r="C37" s="16" t="s">
        <v>686</v>
      </c>
      <c r="D37" s="16" t="s">
        <v>686</v>
      </c>
      <c r="E37" s="16" t="s">
        <v>2892</v>
      </c>
      <c r="F37" s="16" t="s">
        <v>2893</v>
      </c>
      <c r="G37" s="16" t="s">
        <v>2894</v>
      </c>
      <c r="H37" s="16" t="s">
        <v>2895</v>
      </c>
      <c r="I37" s="8" t="str">
        <f t="shared" si="3"/>
        <v>AR1→AR5</v>
      </c>
      <c r="J37" s="9" t="str">
        <f>IFERROR(__xludf.DUMMYFUNCTION("TEXT(VALUE(REGEXEXTRACT(B37,""^[+-]?[0-9]*\.?[0-9]+""))*100,""0.00"")&amp;"" +/- ""&amp;TEXT(VALUE(REGEXEXTRACT(B37,""[0-9]*\.?[0-9]+$""))*100,""0.00"")"),"62.87 +/- 4.09")</f>
        <v>62.87 +/- 4.09</v>
      </c>
      <c r="K37" s="9" t="str">
        <f>IFERROR(__xludf.DUMMYFUNCTION("TEXT(VALUE(REGEXEXTRACT(C37,""^[+-]?[0-9]*\.?[0-9]+""))*100,""0.00"")&amp;"" +/- ""&amp;TEXT(VALUE(REGEXEXTRACT(C37,""[0-9]*\.?[0-9]+$""))*100,""0.00"")"),"0.00 +/- 0.00")</f>
        <v>0.00 +/- 0.00</v>
      </c>
      <c r="L37" s="9" t="str">
        <f>IFERROR(__xludf.DUMMYFUNCTION("TEXT(VALUE(REGEXEXTRACT(D37,""^[+-]?[0-9]*\.?[0-9]+""))*100,""0.00"")&amp;"" +/- ""&amp;TEXT(VALUE(REGEXEXTRACT(D37,""[0-9]*\.?[0-9]+$""))*100,""0.00"")"),"0.00 +/- 0.00")</f>
        <v>0.00 +/- 0.00</v>
      </c>
      <c r="M37" s="9" t="str">
        <f>IFERROR(__xludf.DUMMYFUNCTION("TEXT(VALUE(REGEXEXTRACT(E37,""^[+-]?[0-9]*\.?[0-9]+""))*100,""0.00"")&amp;"" +/- ""&amp;TEXT(VALUE(REGEXEXTRACT(E37,""[0-9]*\.?[0-9]+$""))*100,""0.00"")"),"63.20 +/- 3.78")</f>
        <v>63.20 +/- 3.78</v>
      </c>
      <c r="N37" s="9" t="str">
        <f>IFERROR(__xludf.DUMMYFUNCTION("TEXT(VALUE(REGEXEXTRACT(F37,""^[+-]?[0-9]*\.?[0-9]+""))*100,""0.00"")&amp;"" +/- ""&amp;TEXT(VALUE(REGEXEXTRACT(F37,""[0-9]*\.?[0-9]+$""))*100,""0.00"")"),"63.40 +/- 3.66")</f>
        <v>63.40 +/- 3.66</v>
      </c>
      <c r="O37" s="10" t="str">
        <f>IFERROR(__xludf.DUMMYFUNCTION("TEXT(VALUE(REGEXEXTRACT(G37,""^[+-]?[0-9]*\.?[0-9]+""))*100,""0.00"")&amp;"" +/- ""&amp;TEXT(VALUE(REGEXEXTRACT(G37,""[0-9]*\.?[0-9]+$""))*100,""0.00"")"),"65.08 +/- 1.62")</f>
        <v>65.08 +/- 1.62</v>
      </c>
      <c r="P37" s="9" t="str">
        <f>IFERROR(__xludf.DUMMYFUNCTION("TEXT(VALUE(REGEXEXTRACT(H37,""^[+-]?[0-9]*\.?[0-9]+""))*100,""0.00"")&amp;"" +/- ""&amp;TEXT(VALUE(REGEXEXTRACT(H37,""[0-9]*\.?[0-9]+$""))*100,""0.00"")"),"52.82 +/- 6.32")</f>
        <v>52.82 +/- 6.32</v>
      </c>
    </row>
    <row r="38">
      <c r="A38" s="6" t="s">
        <v>702</v>
      </c>
      <c r="B38" s="16" t="s">
        <v>2896</v>
      </c>
      <c r="C38" s="16" t="s">
        <v>2897</v>
      </c>
      <c r="D38" s="16" t="s">
        <v>2898</v>
      </c>
      <c r="E38" s="16" t="s">
        <v>2899</v>
      </c>
      <c r="F38" s="16" t="s">
        <v>2900</v>
      </c>
      <c r="G38" s="16" t="s">
        <v>2901</v>
      </c>
      <c r="H38" s="16" t="s">
        <v>2902</v>
      </c>
      <c r="I38" s="8" t="str">
        <f t="shared" si="3"/>
        <v>AR1→AR6</v>
      </c>
      <c r="J38" s="9" t="str">
        <f>IFERROR(__xludf.DUMMYFUNCTION("TEXT(VALUE(REGEXEXTRACT(B38,""^[+-]?[0-9]*\.?[0-9]+""))*100,""0.00"")&amp;"" +/- ""&amp;TEXT(VALUE(REGEXEXTRACT(B38,""[0-9]*\.?[0-9]+$""))*100,""0.00"")"),"49.66 +/- 2.85")</f>
        <v>49.66 +/- 2.85</v>
      </c>
      <c r="K38" s="9" t="str">
        <f>IFERROR(__xludf.DUMMYFUNCTION("TEXT(VALUE(REGEXEXTRACT(C38,""^[+-]?[0-9]*\.?[0-9]+""))*100,""0.00"")&amp;"" +/- ""&amp;TEXT(VALUE(REGEXEXTRACT(C38,""[0-9]*\.?[0-9]+$""))*100,""0.00"")"),"43.40 +/- 0.00")</f>
        <v>43.40 +/- 0.00</v>
      </c>
      <c r="L38" s="9" t="str">
        <f>IFERROR(__xludf.DUMMYFUNCTION("TEXT(VALUE(REGEXEXTRACT(D38,""^[+-]?[0-9]*\.?[0-9]+""))*100,""0.00"")&amp;"" +/- ""&amp;TEXT(VALUE(REGEXEXTRACT(D38,""[0-9]*\.?[0-9]+$""))*100,""0.00"")"),"57.53 +/- 0.00")</f>
        <v>57.53 +/- 0.00</v>
      </c>
      <c r="M38" s="9" t="str">
        <f>IFERROR(__xludf.DUMMYFUNCTION("TEXT(VALUE(REGEXEXTRACT(E38,""^[+-]?[0-9]*\.?[0-9]+""))*100,""0.00"")&amp;"" +/- ""&amp;TEXT(VALUE(REGEXEXTRACT(E38,""[0-9]*\.?[0-9]+$""))*100,""0.00"")"),"49.13 +/- 3.05")</f>
        <v>49.13 +/- 3.05</v>
      </c>
      <c r="N38" s="9" t="str">
        <f>IFERROR(__xludf.DUMMYFUNCTION("TEXT(VALUE(REGEXEXTRACT(F38,""^[+-]?[0-9]*\.?[0-9]+""))*100,""0.00"")&amp;"" +/- ""&amp;TEXT(VALUE(REGEXEXTRACT(F38,""[0-9]*\.?[0-9]+$""))*100,""0.00"")"),"49.79 +/- 3.54")</f>
        <v>49.79 +/- 3.54</v>
      </c>
      <c r="O38" s="9" t="str">
        <f>IFERROR(__xludf.DUMMYFUNCTION("TEXT(VALUE(REGEXEXTRACT(G38,""^[+-]?[0-9]*\.?[0-9]+""))*100,""0.00"")&amp;"" +/- ""&amp;TEXT(VALUE(REGEXEXTRACT(G38,""[0-9]*\.?[0-9]+$""))*100,""0.00"")"),"49.70 +/- 2.82")</f>
        <v>49.70 +/- 2.82</v>
      </c>
      <c r="P38" s="10" t="str">
        <f>IFERROR(__xludf.DUMMYFUNCTION("TEXT(VALUE(REGEXEXTRACT(H38,""^[+-]?[0-9]*\.?[0-9]+""))*100,""0.00"")&amp;"" +/- ""&amp;TEXT(VALUE(REGEXEXTRACT(H38,""[0-9]*\.?[0-9]+$""))*100,""0.00"")"),"55.36 +/- 1.35")</f>
        <v>55.36 +/- 1.35</v>
      </c>
    </row>
    <row r="39">
      <c r="A39" s="6" t="s">
        <v>738</v>
      </c>
      <c r="B39" s="16" t="s">
        <v>2910</v>
      </c>
      <c r="C39" s="16" t="s">
        <v>2911</v>
      </c>
      <c r="D39" s="16" t="s">
        <v>2912</v>
      </c>
      <c r="E39" s="16" t="s">
        <v>2913</v>
      </c>
      <c r="F39" s="16" t="s">
        <v>2914</v>
      </c>
      <c r="G39" s="16" t="s">
        <v>2915</v>
      </c>
      <c r="H39" s="16" t="s">
        <v>2916</v>
      </c>
      <c r="I39" s="8" t="str">
        <f t="shared" si="3"/>
        <v>AR3→AR1</v>
      </c>
      <c r="J39" s="9" t="str">
        <f>IFERROR(__xludf.DUMMYFUNCTION("TEXT(VALUE(REGEXEXTRACT(B39,""^[+-]?[0-9]*\.?[0-9]+""))*100,""0.00"")&amp;"" +/- ""&amp;TEXT(VALUE(REGEXEXTRACT(B39,""[0-9]*\.?[0-9]+$""))*100,""0.00"")"),"56.89 +/- 4.12")</f>
        <v>56.89 +/- 4.12</v>
      </c>
      <c r="K39" s="9" t="str">
        <f>IFERROR(__xludf.DUMMYFUNCTION("TEXT(VALUE(REGEXEXTRACT(C39,""^[+-]?[0-9]*\.?[0-9]+""))*100,""0.00"")&amp;"" +/- ""&amp;TEXT(VALUE(REGEXEXTRACT(C39,""[0-9]*\.?[0-9]+$""))*100,""0.00"")"),"43.19 +/- 0.00")</f>
        <v>43.19 +/- 0.00</v>
      </c>
      <c r="L39" s="9" t="str">
        <f>IFERROR(__xludf.DUMMYFUNCTION("TEXT(VALUE(REGEXEXTRACT(D39,""^[+-]?[0-9]*\.?[0-9]+""))*100,""0.00"")&amp;"" +/- ""&amp;TEXT(VALUE(REGEXEXTRACT(D39,""[0-9]*\.?[0-9]+$""))*100,""0.00"")"),"30.21 +/- 0.00")</f>
        <v>30.21 +/- 0.00</v>
      </c>
      <c r="M39" s="9" t="str">
        <f>IFERROR(__xludf.DUMMYFUNCTION("TEXT(VALUE(REGEXEXTRACT(E39,""^[+-]?[0-9]*\.?[0-9]+""))*100,""0.00"")&amp;"" +/- ""&amp;TEXT(VALUE(REGEXEXTRACT(E39,""[0-9]*\.?[0-9]+$""))*100,""0.00"")"),"57.32 +/- 3.98")</f>
        <v>57.32 +/- 3.98</v>
      </c>
      <c r="N39" s="9" t="str">
        <f>IFERROR(__xludf.DUMMYFUNCTION("TEXT(VALUE(REGEXEXTRACT(F39,""^[+-]?[0-9]*\.?[0-9]+""))*100,""0.00"")&amp;"" +/- ""&amp;TEXT(VALUE(REGEXEXTRACT(F39,""[0-9]*\.?[0-9]+$""))*100,""0.00"")"),"53.17 +/- 3.51")</f>
        <v>53.17 +/- 3.51</v>
      </c>
      <c r="O39" s="10" t="str">
        <f>IFERROR(__xludf.DUMMYFUNCTION("TEXT(VALUE(REGEXEXTRACT(G39,""^[+-]?[0-9]*\.?[0-9]+""))*100,""0.00"")&amp;"" +/- ""&amp;TEXT(VALUE(REGEXEXTRACT(G39,""[0-9]*\.?[0-9]+$""))*100,""0.00"")"),"57.10 +/- 4.10")</f>
        <v>57.10 +/- 4.10</v>
      </c>
      <c r="P39" s="9" t="str">
        <f>IFERROR(__xludf.DUMMYFUNCTION("TEXT(VALUE(REGEXEXTRACT(H39,""^[+-]?[0-9]*\.?[0-9]+""))*100,""0.00"")&amp;"" +/- ""&amp;TEXT(VALUE(REGEXEXTRACT(H39,""[0-9]*\.?[0-9]+$""))*100,""0.00"")"),"55.68 +/- 4.15")</f>
        <v>55.68 +/- 4.15</v>
      </c>
    </row>
    <row r="40">
      <c r="A40" s="6" t="s">
        <v>752</v>
      </c>
      <c r="B40" s="16" t="s">
        <v>2922</v>
      </c>
      <c r="C40" s="16" t="s">
        <v>2923</v>
      </c>
      <c r="D40" s="16" t="s">
        <v>2924</v>
      </c>
      <c r="E40" s="16" t="s">
        <v>2925</v>
      </c>
      <c r="F40" s="16" t="s">
        <v>2926</v>
      </c>
      <c r="G40" s="16" t="s">
        <v>2927</v>
      </c>
      <c r="H40" s="16" t="s">
        <v>2928</v>
      </c>
      <c r="I40" s="8" t="str">
        <f t="shared" si="3"/>
        <v>AR3→AR4</v>
      </c>
      <c r="J40" s="9" t="str">
        <f>IFERROR(__xludf.DUMMYFUNCTION("TEXT(VALUE(REGEXEXTRACT(B40,""^[+-]?[0-9]*\.?[0-9]+""))*100,""0.00"")&amp;"" +/- ""&amp;TEXT(VALUE(REGEXEXTRACT(B40,""[0-9]*\.?[0-9]+$""))*100,""0.00"")"),"62.13 +/- 1.22")</f>
        <v>62.13 +/- 1.22</v>
      </c>
      <c r="K40" s="10" t="str">
        <f>IFERROR(__xludf.DUMMYFUNCTION("TEXT(VALUE(REGEXEXTRACT(C40,""^[+-]?[0-9]*\.?[0-9]+""))*100,""0.00"")&amp;"" +/- ""&amp;TEXT(VALUE(REGEXEXTRACT(C40,""[0-9]*\.?[0-9]+$""))*100,""0.00"")"),"63.11 +/- 0.00")</f>
        <v>63.11 +/- 0.00</v>
      </c>
      <c r="L40" s="9" t="str">
        <f>IFERROR(__xludf.DUMMYFUNCTION("TEXT(VALUE(REGEXEXTRACT(D40,""^[+-]?[0-9]*\.?[0-9]+""))*100,""0.00"")&amp;"" +/- ""&amp;TEXT(VALUE(REGEXEXTRACT(D40,""[0-9]*\.?[0-9]+$""))*100,""0.00"")"),"40.68 +/- 0.00")</f>
        <v>40.68 +/- 0.00</v>
      </c>
      <c r="M40" s="9" t="str">
        <f>IFERROR(__xludf.DUMMYFUNCTION("TEXT(VALUE(REGEXEXTRACT(E40,""^[+-]?[0-9]*\.?[0-9]+""))*100,""0.00"")&amp;"" +/- ""&amp;TEXT(VALUE(REGEXEXTRACT(E40,""[0-9]*\.?[0-9]+$""))*100,""0.00"")"),"61.79 +/- 0.75")</f>
        <v>61.79 +/- 0.75</v>
      </c>
      <c r="N40" s="9" t="str">
        <f>IFERROR(__xludf.DUMMYFUNCTION("TEXT(VALUE(REGEXEXTRACT(F40,""^[+-]?[0-9]*\.?[0-9]+""))*100,""0.00"")&amp;"" +/- ""&amp;TEXT(VALUE(REGEXEXTRACT(F40,""[0-9]*\.?[0-9]+$""))*100,""0.00"")"),"62.42 +/- 0.54")</f>
        <v>62.42 +/- 0.54</v>
      </c>
      <c r="O40" s="9" t="str">
        <f>IFERROR(__xludf.DUMMYFUNCTION("TEXT(VALUE(REGEXEXTRACT(G40,""^[+-]?[0-9]*\.?[0-9]+""))*100,""0.00"")&amp;"" +/- ""&amp;TEXT(VALUE(REGEXEXTRACT(G40,""[0-9]*\.?[0-9]+$""))*100,""0.00"")"),"62.05 +/- 1.18")</f>
        <v>62.05 +/- 1.18</v>
      </c>
      <c r="P40" s="9" t="str">
        <f>IFERROR(__xludf.DUMMYFUNCTION("TEXT(VALUE(REGEXEXTRACT(H40,""^[+-]?[0-9]*\.?[0-9]+""))*100,""0.00"")&amp;"" +/- ""&amp;TEXT(VALUE(REGEXEXTRACT(H40,""[0-9]*\.?[0-9]+$""))*100,""0.00"")"),"55.96 +/- 4.12")</f>
        <v>55.96 +/- 4.12</v>
      </c>
    </row>
    <row r="41">
      <c r="A41" s="6" t="s">
        <v>771</v>
      </c>
      <c r="B41" s="16" t="s">
        <v>2936</v>
      </c>
      <c r="C41" s="16" t="s">
        <v>2937</v>
      </c>
      <c r="D41" s="16" t="s">
        <v>2938</v>
      </c>
      <c r="E41" s="16" t="s">
        <v>2939</v>
      </c>
      <c r="F41" s="16" t="s">
        <v>2940</v>
      </c>
      <c r="G41" s="16" t="s">
        <v>2940</v>
      </c>
      <c r="H41" s="16" t="s">
        <v>2941</v>
      </c>
      <c r="I41" s="8" t="str">
        <f t="shared" si="3"/>
        <v>AR3→AR5</v>
      </c>
      <c r="J41" s="9" t="str">
        <f>IFERROR(__xludf.DUMMYFUNCTION("TEXT(VALUE(REGEXEXTRACT(B41,""^[+-]?[0-9]*\.?[0-9]+""))*100,""0.00"")&amp;"" +/- ""&amp;TEXT(VALUE(REGEXEXTRACT(B41,""[0-9]*\.?[0-9]+$""))*100,""0.00"")"),"73.24 +/- 0.28")</f>
        <v>73.24 +/- 0.28</v>
      </c>
      <c r="K41" s="9" t="str">
        <f>IFERROR(__xludf.DUMMYFUNCTION("TEXT(VALUE(REGEXEXTRACT(C41,""^[+-]?[0-9]*\.?[0-9]+""))*100,""0.00"")&amp;"" +/- ""&amp;TEXT(VALUE(REGEXEXTRACT(C41,""[0-9]*\.?[0-9]+$""))*100,""0.00"")"),"74.70 +/- 0.00")</f>
        <v>74.70 +/- 0.00</v>
      </c>
      <c r="L41" s="10" t="str">
        <f>IFERROR(__xludf.DUMMYFUNCTION("TEXT(VALUE(REGEXEXTRACT(D41,""^[+-]?[0-9]*\.?[0-9]+""))*100,""0.00"")&amp;"" +/- ""&amp;TEXT(VALUE(REGEXEXTRACT(D41,""[0-9]*\.?[0-9]+$""))*100,""0.00"")"),"80.18 +/- 0.00")</f>
        <v>80.18 +/- 0.00</v>
      </c>
      <c r="M41" s="9" t="str">
        <f>IFERROR(__xludf.DUMMYFUNCTION("TEXT(VALUE(REGEXEXTRACT(E41,""^[+-]?[0-9]*\.?[0-9]+""))*100,""0.00"")&amp;"" +/- ""&amp;TEXT(VALUE(REGEXEXTRACT(E41,""[0-9]*\.?[0-9]+$""))*100,""0.00"")"),"74.17 +/- 2.41")</f>
        <v>74.17 +/- 2.41</v>
      </c>
      <c r="N41" s="9" t="str">
        <f>IFERROR(__xludf.DUMMYFUNCTION("TEXT(VALUE(REGEXEXTRACT(F41,""^[+-]?[0-9]*\.?[0-9]+""))*100,""0.00"")&amp;"" +/- ""&amp;TEXT(VALUE(REGEXEXTRACT(F41,""[0-9]*\.?[0-9]+$""))*100,""0.00"")"),"73.19 +/- 0.00")</f>
        <v>73.19 +/- 0.00</v>
      </c>
      <c r="O41" s="9" t="str">
        <f>IFERROR(__xludf.DUMMYFUNCTION("TEXT(VALUE(REGEXEXTRACT(G41,""^[+-]?[0-9]*\.?[0-9]+""))*100,""0.00"")&amp;"" +/- ""&amp;TEXT(VALUE(REGEXEXTRACT(G41,""[0-9]*\.?[0-9]+$""))*100,""0.00"")"),"73.19 +/- 0.00")</f>
        <v>73.19 +/- 0.00</v>
      </c>
      <c r="P41" s="9" t="str">
        <f>IFERROR(__xludf.DUMMYFUNCTION("TEXT(VALUE(REGEXEXTRACT(H41,""^[+-]?[0-9]*\.?[0-9]+""))*100,""0.00"")&amp;"" +/- ""&amp;TEXT(VALUE(REGEXEXTRACT(H41,""[0-9]*\.?[0-9]+$""))*100,""0.00"")"),"68.09 +/- 9.32")</f>
        <v>68.09 +/- 9.32</v>
      </c>
    </row>
    <row r="42">
      <c r="A42" s="6" t="s">
        <v>798</v>
      </c>
      <c r="B42" s="16" t="s">
        <v>2942</v>
      </c>
      <c r="C42" s="16" t="s">
        <v>2943</v>
      </c>
      <c r="D42" s="16" t="s">
        <v>2944</v>
      </c>
      <c r="E42" s="16" t="s">
        <v>2945</v>
      </c>
      <c r="F42" s="16" t="s">
        <v>2946</v>
      </c>
      <c r="G42" s="16" t="s">
        <v>2947</v>
      </c>
      <c r="H42" s="16" t="s">
        <v>2948</v>
      </c>
      <c r="I42" s="8" t="str">
        <f t="shared" si="3"/>
        <v>AR3→AR6</v>
      </c>
      <c r="J42" s="10" t="str">
        <f>IFERROR(__xludf.DUMMYFUNCTION("TEXT(VALUE(REGEXEXTRACT(B42,""^[+-]?[0-9]*\.?[0-9]+""))*100,""0.00"")&amp;"" +/- ""&amp;TEXT(VALUE(REGEXEXTRACT(B42,""[0-9]*\.?[0-9]+$""))*100,""0.00"")"),"62.99 +/- 1.73")</f>
        <v>62.99 +/- 1.73</v>
      </c>
      <c r="K42" s="9" t="str">
        <f>IFERROR(__xludf.DUMMYFUNCTION("TEXT(VALUE(REGEXEXTRACT(C42,""^[+-]?[0-9]*\.?[0-9]+""))*100,""0.00"")&amp;"" +/- ""&amp;TEXT(VALUE(REGEXEXTRACT(C42,""[0-9]*\.?[0-9]+$""))*100,""0.00"")"),"55.68 +/- 0.00")</f>
        <v>55.68 +/- 0.00</v>
      </c>
      <c r="L42" s="9" t="str">
        <f>IFERROR(__xludf.DUMMYFUNCTION("TEXT(VALUE(REGEXEXTRACT(D42,""^[+-]?[0-9]*\.?[0-9]+""))*100,""0.00"")&amp;"" +/- ""&amp;TEXT(VALUE(REGEXEXTRACT(D42,""[0-9]*\.?[0-9]+$""))*100,""0.00"")"),"45.75 +/- 0.00")</f>
        <v>45.75 +/- 0.00</v>
      </c>
      <c r="M42" s="9" t="str">
        <f>IFERROR(__xludf.DUMMYFUNCTION("TEXT(VALUE(REGEXEXTRACT(E42,""^[+-]?[0-9]*\.?[0-9]+""))*100,""0.00"")&amp;"" +/- ""&amp;TEXT(VALUE(REGEXEXTRACT(E42,""[0-9]*\.?[0-9]+$""))*100,""0.00"")"),"61.65 +/- 0.93")</f>
        <v>61.65 +/- 0.93</v>
      </c>
      <c r="N42" s="9" t="str">
        <f>IFERROR(__xludf.DUMMYFUNCTION("TEXT(VALUE(REGEXEXTRACT(F42,""^[+-]?[0-9]*\.?[0-9]+""))*100,""0.00"")&amp;"" +/- ""&amp;TEXT(VALUE(REGEXEXTRACT(F42,""[0-9]*\.?[0-9]+$""))*100,""0.00"")"),"62.82 +/- 0.91")</f>
        <v>62.82 +/- 0.91</v>
      </c>
      <c r="O42" s="9" t="str">
        <f>IFERROR(__xludf.DUMMYFUNCTION("TEXT(VALUE(REGEXEXTRACT(G42,""^[+-]?[0-9]*\.?[0-9]+""))*100,""0.00"")&amp;"" +/- ""&amp;TEXT(VALUE(REGEXEXTRACT(G42,""[0-9]*\.?[0-9]+$""))*100,""0.00"")"),"62.91 +/- 1.67")</f>
        <v>62.91 +/- 1.67</v>
      </c>
      <c r="P42" s="9" t="str">
        <f>IFERROR(__xludf.DUMMYFUNCTION("TEXT(VALUE(REGEXEXTRACT(H42,""^[+-]?[0-9]*\.?[0-9]+""))*100,""0.00"")&amp;"" +/- ""&amp;TEXT(VALUE(REGEXEXTRACT(H42,""[0-9]*\.?[0-9]+$""))*100,""0.00"")"),"53.94 +/- 4.03")</f>
        <v>53.94 +/- 4.03</v>
      </c>
    </row>
    <row r="43">
      <c r="A43" s="6" t="s">
        <v>806</v>
      </c>
      <c r="B43" s="16" t="s">
        <v>2955</v>
      </c>
      <c r="C43" s="16" t="s">
        <v>2956</v>
      </c>
      <c r="D43" s="16" t="s">
        <v>2957</v>
      </c>
      <c r="E43" s="16" t="s">
        <v>2958</v>
      </c>
      <c r="F43" s="16" t="s">
        <v>2959</v>
      </c>
      <c r="G43" s="16" t="s">
        <v>2960</v>
      </c>
      <c r="H43" s="16" t="s">
        <v>2961</v>
      </c>
      <c r="I43" s="8" t="str">
        <f t="shared" si="3"/>
        <v>AR4→AR1</v>
      </c>
      <c r="J43" s="9" t="str">
        <f>IFERROR(__xludf.DUMMYFUNCTION("TEXT(VALUE(REGEXEXTRACT(B43,""^[+-]?[0-9]*\.?[0-9]+""))*100,""0.00"")&amp;"" +/- ""&amp;TEXT(VALUE(REGEXEXTRACT(B43,""[0-9]*\.?[0-9]+$""))*100,""0.00"")"),"68.53 +/- 0.38")</f>
        <v>68.53 +/- 0.38</v>
      </c>
      <c r="K43" s="10" t="str">
        <f>IFERROR(__xludf.DUMMYFUNCTION("TEXT(VALUE(REGEXEXTRACT(C43,""^[+-]?[0-9]*\.?[0-9]+""))*100,""0.00"")&amp;"" +/- ""&amp;TEXT(VALUE(REGEXEXTRACT(C43,""[0-9]*\.?[0-9]+$""))*100,""0.00"")"),"75.20 +/- 0.00")</f>
        <v>75.20 +/- 0.00</v>
      </c>
      <c r="L43" s="9" t="str">
        <f>IFERROR(__xludf.DUMMYFUNCTION("TEXT(VALUE(REGEXEXTRACT(D43,""^[+-]?[0-9]*\.?[0-9]+""))*100,""0.00"")&amp;"" +/- ""&amp;TEXT(VALUE(REGEXEXTRACT(D43,""[0-9]*\.?[0-9]+$""))*100,""0.00"")"),"39.34 +/- 0.00")</f>
        <v>39.34 +/- 0.00</v>
      </c>
      <c r="M43" s="9" t="str">
        <f>IFERROR(__xludf.DUMMYFUNCTION("TEXT(VALUE(REGEXEXTRACT(E43,""^[+-]?[0-9]*\.?[0-9]+""))*100,""0.00"")&amp;"" +/- ""&amp;TEXT(VALUE(REGEXEXTRACT(E43,""[0-9]*\.?[0-9]+$""))*100,""0.00"")"),"72.12 +/- 2.50")</f>
        <v>72.12 +/- 2.50</v>
      </c>
      <c r="N43" s="9" t="str">
        <f>IFERROR(__xludf.DUMMYFUNCTION("TEXT(VALUE(REGEXEXTRACT(F43,""^[+-]?[0-9]*\.?[0-9]+""))*100,""0.00"")&amp;"" +/- ""&amp;TEXT(VALUE(REGEXEXTRACT(F43,""[0-9]*\.?[0-9]+$""))*100,""0.00"")"),"72.76 +/- 1.59")</f>
        <v>72.76 +/- 1.59</v>
      </c>
      <c r="O43" s="9" t="str">
        <f>IFERROR(__xludf.DUMMYFUNCTION("TEXT(VALUE(REGEXEXTRACT(G43,""^[+-]?[0-9]*\.?[0-9]+""))*100,""0.00"")&amp;"" +/- ""&amp;TEXT(VALUE(REGEXEXTRACT(G43,""[0-9]*\.?[0-9]+$""))*100,""0.00"")"),"72.75 +/- 2.19")</f>
        <v>72.75 +/- 2.19</v>
      </c>
      <c r="P43" s="9" t="str">
        <f>IFERROR(__xludf.DUMMYFUNCTION("TEXT(VALUE(REGEXEXTRACT(H43,""^[+-]?[0-9]*\.?[0-9]+""))*100,""0.00"")&amp;"" +/- ""&amp;TEXT(VALUE(REGEXEXTRACT(H43,""[0-9]*\.?[0-9]+$""))*100,""0.00"")"),"72.01 +/- 3.18")</f>
        <v>72.01 +/- 3.18</v>
      </c>
    </row>
    <row r="44">
      <c r="A44" s="6" t="s">
        <v>819</v>
      </c>
      <c r="B44" s="16" t="s">
        <v>2969</v>
      </c>
      <c r="C44" s="16" t="s">
        <v>2970</v>
      </c>
      <c r="D44" s="16" t="s">
        <v>2971</v>
      </c>
      <c r="E44" s="16" t="s">
        <v>2972</v>
      </c>
      <c r="F44" s="16" t="s">
        <v>2973</v>
      </c>
      <c r="G44" s="16" t="s">
        <v>2974</v>
      </c>
      <c r="H44" s="16" t="s">
        <v>2975</v>
      </c>
      <c r="I44" s="8" t="str">
        <f t="shared" si="3"/>
        <v>AR4→AR3</v>
      </c>
      <c r="J44" s="10" t="str">
        <f>IFERROR(__xludf.DUMMYFUNCTION("TEXT(VALUE(REGEXEXTRACT(B44,""^[+-]?[0-9]*\.?[0-9]+""))*100,""0.00"")&amp;"" +/- ""&amp;TEXT(VALUE(REGEXEXTRACT(B44,""[0-9]*\.?[0-9]+$""))*100,""0.00"")"),"74.66 +/- 3.51")</f>
        <v>74.66 +/- 3.51</v>
      </c>
      <c r="K44" s="9" t="str">
        <f>IFERROR(__xludf.DUMMYFUNCTION("TEXT(VALUE(REGEXEXTRACT(C44,""^[+-]?[0-9]*\.?[0-9]+""))*100,""0.00"")&amp;"" +/- ""&amp;TEXT(VALUE(REGEXEXTRACT(C44,""[0-9]*\.?[0-9]+$""))*100,""0.00"")"),"57.80 +/- 0.00")</f>
        <v>57.80 +/- 0.00</v>
      </c>
      <c r="L44" s="9" t="str">
        <f>IFERROR(__xludf.DUMMYFUNCTION("TEXT(VALUE(REGEXEXTRACT(D44,""^[+-]?[0-9]*\.?[0-9]+""))*100,""0.00"")&amp;"" +/- ""&amp;TEXT(VALUE(REGEXEXTRACT(D44,""[0-9]*\.?[0-9]+$""))*100,""0.00"")"),"58.97 +/- 0.00")</f>
        <v>58.97 +/- 0.00</v>
      </c>
      <c r="M44" s="9" t="str">
        <f>IFERROR(__xludf.DUMMYFUNCTION("TEXT(VALUE(REGEXEXTRACT(E44,""^[+-]?[0-9]*\.?[0-9]+""))*100,""0.00"")&amp;"" +/- ""&amp;TEXT(VALUE(REGEXEXTRACT(E44,""[0-9]*\.?[0-9]+$""))*100,""0.00"")"),"66.39 +/- 3.12")</f>
        <v>66.39 +/- 3.12</v>
      </c>
      <c r="N44" s="9" t="str">
        <f>IFERROR(__xludf.DUMMYFUNCTION("TEXT(VALUE(REGEXEXTRACT(F44,""^[+-]?[0-9]*\.?[0-9]+""))*100,""0.00"")&amp;"" +/- ""&amp;TEXT(VALUE(REGEXEXTRACT(F44,""[0-9]*\.?[0-9]+$""))*100,""0.00"")"),"53.08 +/- 2.11")</f>
        <v>53.08 +/- 2.11</v>
      </c>
      <c r="O44" s="9" t="str">
        <f>IFERROR(__xludf.DUMMYFUNCTION("TEXT(VALUE(REGEXEXTRACT(G44,""^[+-]?[0-9]*\.?[0-9]+""))*100,""0.00"")&amp;"" +/- ""&amp;TEXT(VALUE(REGEXEXTRACT(G44,""[0-9]*\.?[0-9]+$""))*100,""0.00"")"),"64.40 +/- 3.72")</f>
        <v>64.40 +/- 3.72</v>
      </c>
      <c r="P44" s="9" t="str">
        <f>IFERROR(__xludf.DUMMYFUNCTION("TEXT(VALUE(REGEXEXTRACT(H44,""^[+-]?[0-9]*\.?[0-9]+""))*100,""0.00"")&amp;"" +/- ""&amp;TEXT(VALUE(REGEXEXTRACT(H44,""[0-9]*\.?[0-9]+$""))*100,""0.00"")"),"48.35 +/- 0.97")</f>
        <v>48.35 +/- 0.97</v>
      </c>
    </row>
    <row r="45">
      <c r="A45" s="6" t="s">
        <v>833</v>
      </c>
      <c r="B45" s="16" t="s">
        <v>2980</v>
      </c>
      <c r="C45" s="16" t="s">
        <v>2982</v>
      </c>
      <c r="D45" s="16" t="s">
        <v>2983</v>
      </c>
      <c r="E45" s="16" t="s">
        <v>2985</v>
      </c>
      <c r="F45" s="16" t="s">
        <v>2987</v>
      </c>
      <c r="G45" s="16" t="s">
        <v>2988</v>
      </c>
      <c r="H45" s="16" t="s">
        <v>2989</v>
      </c>
      <c r="I45" s="8" t="str">
        <f t="shared" si="3"/>
        <v>AR4→AR5</v>
      </c>
      <c r="J45" s="9" t="str">
        <f>IFERROR(__xludf.DUMMYFUNCTION("TEXT(VALUE(REGEXEXTRACT(B45,""^[+-]?[0-9]*\.?[0-9]+""))*100,""0.00"")&amp;"" +/- ""&amp;TEXT(VALUE(REGEXEXTRACT(B45,""[0-9]*\.?[0-9]+$""))*100,""0.00"")"),"79.64 +/- 1.90")</f>
        <v>79.64 +/- 1.90</v>
      </c>
      <c r="K45" s="9" t="str">
        <f>IFERROR(__xludf.DUMMYFUNCTION("TEXT(VALUE(REGEXEXTRACT(C45,""^[+-]?[0-9]*\.?[0-9]+""))*100,""0.00"")&amp;"" +/- ""&amp;TEXT(VALUE(REGEXEXTRACT(C45,""[0-9]*\.?[0-9]+$""))*100,""0.00"")"),"68.14 +/- 0.00")</f>
        <v>68.14 +/- 0.00</v>
      </c>
      <c r="L45" s="10" t="str">
        <f>IFERROR(__xludf.DUMMYFUNCTION("TEXT(VALUE(REGEXEXTRACT(D45,""^[+-]?[0-9]*\.?[0-9]+""))*100,""0.00"")&amp;"" +/- ""&amp;TEXT(VALUE(REGEXEXTRACT(D45,""[0-9]*\.?[0-9]+$""))*100,""0.00"")"),"83.45 +/- 0.00")</f>
        <v>83.45 +/- 0.00</v>
      </c>
      <c r="M45" s="9" t="str">
        <f>IFERROR(__xludf.DUMMYFUNCTION("TEXT(VALUE(REGEXEXTRACT(E45,""^[+-]?[0-9]*\.?[0-9]+""))*100,""0.00"")&amp;"" +/- ""&amp;TEXT(VALUE(REGEXEXTRACT(E45,""[0-9]*\.?[0-9]+$""))*100,""0.00"")"),"78.34 +/- 2.82")</f>
        <v>78.34 +/- 2.82</v>
      </c>
      <c r="N45" s="9" t="str">
        <f>IFERROR(__xludf.DUMMYFUNCTION("TEXT(VALUE(REGEXEXTRACT(F45,""^[+-]?[0-9]*\.?[0-9]+""))*100,""0.00"")&amp;"" +/- ""&amp;TEXT(VALUE(REGEXEXTRACT(F45,""[0-9]*\.?[0-9]+$""))*100,""0.00"")"),"71.32 +/- 3.64")</f>
        <v>71.32 +/- 3.64</v>
      </c>
      <c r="O45" s="9" t="str">
        <f>IFERROR(__xludf.DUMMYFUNCTION("TEXT(VALUE(REGEXEXTRACT(G45,""^[+-]?[0-9]*\.?[0-9]+""))*100,""0.00"")&amp;"" +/- ""&amp;TEXT(VALUE(REGEXEXTRACT(G45,""[0-9]*\.?[0-9]+$""))*100,""0.00"")"),"76.72 +/- 3.34")</f>
        <v>76.72 +/- 3.34</v>
      </c>
      <c r="P45" s="9" t="str">
        <f>IFERROR(__xludf.DUMMYFUNCTION("TEXT(VALUE(REGEXEXTRACT(H45,""^[+-]?[0-9]*\.?[0-9]+""))*100,""0.00"")&amp;"" +/- ""&amp;TEXT(VALUE(REGEXEXTRACT(H45,""[0-9]*\.?[0-9]+$""))*100,""0.00"")"),"74.52 +/- 1.95")</f>
        <v>74.52 +/- 1.95</v>
      </c>
    </row>
    <row r="46">
      <c r="A46" s="6" t="s">
        <v>849</v>
      </c>
      <c r="B46" s="16" t="s">
        <v>2990</v>
      </c>
      <c r="C46" s="16" t="s">
        <v>2991</v>
      </c>
      <c r="D46" s="16" t="s">
        <v>2992</v>
      </c>
      <c r="E46" s="16" t="s">
        <v>2993</v>
      </c>
      <c r="F46" s="16" t="s">
        <v>2994</v>
      </c>
      <c r="G46" s="16" t="s">
        <v>2995</v>
      </c>
      <c r="H46" s="16" t="s">
        <v>2997</v>
      </c>
      <c r="I46" s="8" t="str">
        <f t="shared" si="3"/>
        <v>AR4→AR6</v>
      </c>
      <c r="J46" s="10" t="str">
        <f>IFERROR(__xludf.DUMMYFUNCTION("TEXT(VALUE(REGEXEXTRACT(B46,""^[+-]?[0-9]*\.?[0-9]+""))*100,""0.00"")&amp;"" +/- ""&amp;TEXT(VALUE(REGEXEXTRACT(B46,""[0-9]*\.?[0-9]+$""))*100,""0.00"")"),"48.20 +/- 2.30")</f>
        <v>48.20 +/- 2.30</v>
      </c>
      <c r="K46" s="9" t="str">
        <f>IFERROR(__xludf.DUMMYFUNCTION("TEXT(VALUE(REGEXEXTRACT(C46,""^[+-]?[0-9]*\.?[0-9]+""))*100,""0.00"")&amp;"" +/- ""&amp;TEXT(VALUE(REGEXEXTRACT(C46,""[0-9]*\.?[0-9]+$""))*100,""0.00"")"),"40.92 +/- 0.00")</f>
        <v>40.92 +/- 0.00</v>
      </c>
      <c r="L46" s="9" t="str">
        <f>IFERROR(__xludf.DUMMYFUNCTION("TEXT(VALUE(REGEXEXTRACT(D46,""^[+-]?[0-9]*\.?[0-9]+""))*100,""0.00"")&amp;"" +/- ""&amp;TEXT(VALUE(REGEXEXTRACT(D46,""[0-9]*\.?[0-9]+$""))*100,""0.00"")"),"38.38 +/- 0.00")</f>
        <v>38.38 +/- 0.00</v>
      </c>
      <c r="M46" s="9" t="str">
        <f>IFERROR(__xludf.DUMMYFUNCTION("TEXT(VALUE(REGEXEXTRACT(E46,""^[+-]?[0-9]*\.?[0-9]+""))*100,""0.00"")&amp;"" +/- ""&amp;TEXT(VALUE(REGEXEXTRACT(E46,""[0-9]*\.?[0-9]+$""))*100,""0.00"")"),"47.15 +/- 2.44")</f>
        <v>47.15 +/- 2.44</v>
      </c>
      <c r="N46" s="9" t="str">
        <f>IFERROR(__xludf.DUMMYFUNCTION("TEXT(VALUE(REGEXEXTRACT(F46,""^[+-]?[0-9]*\.?[0-9]+""))*100,""0.00"")&amp;"" +/- ""&amp;TEXT(VALUE(REGEXEXTRACT(F46,""[0-9]*\.?[0-9]+$""))*100,""0.00"")"),"47.57 +/- 2.12")</f>
        <v>47.57 +/- 2.12</v>
      </c>
      <c r="O46" s="9" t="str">
        <f>IFERROR(__xludf.DUMMYFUNCTION("TEXT(VALUE(REGEXEXTRACT(G46,""^[+-]?[0-9]*\.?[0-9]+""))*100,""0.00"")&amp;"" +/- ""&amp;TEXT(VALUE(REGEXEXTRACT(G46,""[0-9]*\.?[0-9]+$""))*100,""0.00"")"),"46.76 +/- 2.52")</f>
        <v>46.76 +/- 2.52</v>
      </c>
      <c r="P46" s="9" t="str">
        <f>IFERROR(__xludf.DUMMYFUNCTION("TEXT(VALUE(REGEXEXTRACT(H46,""^[+-]?[0-9]*\.?[0-9]+""))*100,""0.00"")&amp;"" +/- ""&amp;TEXT(VALUE(REGEXEXTRACT(H46,""[0-9]*\.?[0-9]+$""))*100,""0.00"")"),"46.38 +/- 2.79")</f>
        <v>46.38 +/- 2.79</v>
      </c>
    </row>
    <row r="47">
      <c r="A47" s="6" t="s">
        <v>864</v>
      </c>
      <c r="B47" s="16" t="s">
        <v>3003</v>
      </c>
      <c r="C47" s="16" t="s">
        <v>3004</v>
      </c>
      <c r="D47" s="16" t="s">
        <v>3005</v>
      </c>
      <c r="E47" s="16" t="s">
        <v>3006</v>
      </c>
      <c r="F47" s="16" t="s">
        <v>3007</v>
      </c>
      <c r="G47" s="16" t="s">
        <v>3008</v>
      </c>
      <c r="H47" s="46" t="s">
        <v>3011</v>
      </c>
      <c r="I47" s="8" t="str">
        <f t="shared" si="3"/>
        <v>AR5→AR1</v>
      </c>
      <c r="J47" s="9" t="str">
        <f>IFERROR(__xludf.DUMMYFUNCTION("TEXT(VALUE(REGEXEXTRACT(B47,""^[+-]?[0-9]*\.?[0-9]+""))*100,""0.00"")&amp;"" +/- ""&amp;TEXT(VALUE(REGEXEXTRACT(B47,""[0-9]*\.?[0-9]+$""))*100,""0.00"")"),"63.09 +/- 1.45")</f>
        <v>63.09 +/- 1.45</v>
      </c>
      <c r="K47" s="9" t="str">
        <f>IFERROR(__xludf.DUMMYFUNCTION("TEXT(VALUE(REGEXEXTRACT(C47,""^[+-]?[0-9]*\.?[0-9]+""))*100,""0.00"")&amp;"" +/- ""&amp;TEXT(VALUE(REGEXEXTRACT(C47,""[0-9]*\.?[0-9]+$""))*100,""0.00"")"),"63.78 +/- 0.00")</f>
        <v>63.78 +/- 0.00</v>
      </c>
      <c r="L47" s="9" t="str">
        <f>IFERROR(__xludf.DUMMYFUNCTION("TEXT(VALUE(REGEXEXTRACT(D47,""^[+-]?[0-9]*\.?[0-9]+""))*100,""0.00"")&amp;"" +/- ""&amp;TEXT(VALUE(REGEXEXTRACT(D47,""[0-9]*\.?[0-9]+$""))*100,""0.00"")"),"61.08 +/- 0.00")</f>
        <v>61.08 +/- 0.00</v>
      </c>
      <c r="M47" s="10" t="str">
        <f>IFERROR(__xludf.DUMMYFUNCTION("TEXT(VALUE(REGEXEXTRACT(E47,""^[+-]?[0-9]*\.?[0-9]+""))*100,""0.00"")&amp;"" +/- ""&amp;TEXT(VALUE(REGEXEXTRACT(E47,""[0-9]*\.?[0-9]+$""))*100,""0.00"")"),"66.60 +/- 2.83")</f>
        <v>66.60 +/- 2.83</v>
      </c>
      <c r="N47" s="9" t="str">
        <f>IFERROR(__xludf.DUMMYFUNCTION("TEXT(VALUE(REGEXEXTRACT(F47,""^[+-]?[0-9]*\.?[0-9]+""))*100,""0.00"")&amp;"" +/- ""&amp;TEXT(VALUE(REGEXEXTRACT(F47,""[0-9]*\.?[0-9]+$""))*100,""0.00"")"),"65.32 +/- 3.04")</f>
        <v>65.32 +/- 3.04</v>
      </c>
      <c r="O47" s="9" t="str">
        <f>IFERROR(__xludf.DUMMYFUNCTION("TEXT(VALUE(REGEXEXTRACT(G47,""^[+-]?[0-9]*\.?[0-9]+""))*100,""0.00"")&amp;"" +/- ""&amp;TEXT(VALUE(REGEXEXTRACT(G47,""[0-9]*\.?[0-9]+$""))*100,""0.00"")"),"64.13 +/- 2.39")</f>
        <v>64.13 +/- 2.39</v>
      </c>
      <c r="P47" s="9" t="str">
        <f>IFERROR(__xludf.DUMMYFUNCTION("TEXT(VALUE(REGEXEXTRACT(H47,""^[+-]?[0-9]*\.?[0-9]+""))*100,""0.00"")&amp;"" +/- ""&amp;TEXT(VALUE(REGEXEXTRACT(H47,""[0-9]*\.?[0-9]+$""))*100,""0.00"")"),"58.70 +/- 2.65")</f>
        <v>58.70 +/- 2.65</v>
      </c>
    </row>
    <row r="48">
      <c r="A48" s="6" t="s">
        <v>878</v>
      </c>
      <c r="B48" s="16" t="s">
        <v>3017</v>
      </c>
      <c r="C48" s="16" t="s">
        <v>3018</v>
      </c>
      <c r="D48" s="16" t="s">
        <v>3019</v>
      </c>
      <c r="E48" s="16" t="s">
        <v>3020</v>
      </c>
      <c r="F48" s="16" t="s">
        <v>3021</v>
      </c>
      <c r="G48" s="16" t="s">
        <v>3022</v>
      </c>
      <c r="H48" s="16" t="s">
        <v>3023</v>
      </c>
      <c r="I48" s="8" t="str">
        <f t="shared" si="3"/>
        <v>AR5→AR3</v>
      </c>
      <c r="J48" s="9" t="str">
        <f>IFERROR(__xludf.DUMMYFUNCTION("TEXT(VALUE(REGEXEXTRACT(B48,""^[+-]?[0-9]*\.?[0-9]+""))*100,""0.00"")&amp;"" +/- ""&amp;TEXT(VALUE(REGEXEXTRACT(B48,""[0-9]*\.?[0-9]+$""))*100,""0.00"")"),"76.84 +/- 0.96")</f>
        <v>76.84 +/- 0.96</v>
      </c>
      <c r="K48" s="10" t="str">
        <f>IFERROR(__xludf.DUMMYFUNCTION("TEXT(VALUE(REGEXEXTRACT(C48,""^[+-]?[0-9]*\.?[0-9]+""))*100,""0.00"")&amp;"" +/- ""&amp;TEXT(VALUE(REGEXEXTRACT(C48,""[0-9]*\.?[0-9]+$""))*100,""0.00"")"),"79.20 +/- 0.00")</f>
        <v>79.20 +/- 0.00</v>
      </c>
      <c r="L48" s="9" t="str">
        <f>IFERROR(__xludf.DUMMYFUNCTION("TEXT(VALUE(REGEXEXTRACT(D48,""^[+-]?[0-9]*\.?[0-9]+""))*100,""0.00"")&amp;"" +/- ""&amp;TEXT(VALUE(REGEXEXTRACT(D48,""[0-9]*\.?[0-9]+$""))*100,""0.00"")"),"56.61 +/- 0.00")</f>
        <v>56.61 +/- 0.00</v>
      </c>
      <c r="M48" s="9" t="str">
        <f>IFERROR(__xludf.DUMMYFUNCTION("TEXT(VALUE(REGEXEXTRACT(E48,""^[+-]?[0-9]*\.?[0-9]+""))*100,""0.00"")&amp;"" +/- ""&amp;TEXT(VALUE(REGEXEXTRACT(E48,""[0-9]*\.?[0-9]+$""))*100,""0.00"")"),"76.22 +/- 0.55")</f>
        <v>76.22 +/- 0.55</v>
      </c>
      <c r="N48" s="9" t="str">
        <f>IFERROR(__xludf.DUMMYFUNCTION("TEXT(VALUE(REGEXEXTRACT(F48,""^[+-]?[0-9]*\.?[0-9]+""))*100,""0.00"")&amp;"" +/- ""&amp;TEXT(VALUE(REGEXEXTRACT(F48,""[0-9]*\.?[0-9]+$""))*100,""0.00"")"),"76.90 +/- 0.75")</f>
        <v>76.90 +/- 0.75</v>
      </c>
      <c r="O48" s="9" t="str">
        <f>IFERROR(__xludf.DUMMYFUNCTION("TEXT(VALUE(REGEXEXTRACT(G48,""^[+-]?[0-9]*\.?[0-9]+""))*100,""0.00"")&amp;"" +/- ""&amp;TEXT(VALUE(REGEXEXTRACT(G48,""[0-9]*\.?[0-9]+$""))*100,""0.00"")"),"76.75 +/- 0.89")</f>
        <v>76.75 +/- 0.89</v>
      </c>
      <c r="P48" s="9" t="str">
        <f>IFERROR(__xludf.DUMMYFUNCTION("TEXT(VALUE(REGEXEXTRACT(H48,""^[+-]?[0-9]*\.?[0-9]+""))*100,""0.00"")&amp;"" +/- ""&amp;TEXT(VALUE(REGEXEXTRACT(H48,""[0-9]*\.?[0-9]+$""))*100,""0.00"")"),"65.80 +/- 7.68")</f>
        <v>65.80 +/- 7.68</v>
      </c>
    </row>
    <row r="49">
      <c r="A49" s="6" t="s">
        <v>892</v>
      </c>
      <c r="B49" s="16" t="s">
        <v>3031</v>
      </c>
      <c r="C49" s="16" t="s">
        <v>3032</v>
      </c>
      <c r="D49" s="16" t="s">
        <v>3033</v>
      </c>
      <c r="E49" s="16" t="s">
        <v>3034</v>
      </c>
      <c r="F49" s="16" t="s">
        <v>3035</v>
      </c>
      <c r="G49" s="16" t="s">
        <v>3036</v>
      </c>
      <c r="H49" s="16" t="s">
        <v>3037</v>
      </c>
      <c r="I49" s="8" t="str">
        <f t="shared" si="3"/>
        <v>AR5→AR4</v>
      </c>
      <c r="J49" s="9" t="str">
        <f>IFERROR(__xludf.DUMMYFUNCTION("TEXT(VALUE(REGEXEXTRACT(B49,""^[+-]?[0-9]*\.?[0-9]+""))*100,""0.00"")&amp;"" +/- ""&amp;TEXT(VALUE(REGEXEXTRACT(B49,""[0-9]*\.?[0-9]+$""))*100,""0.00"")"),"69.78 +/- 3.40")</f>
        <v>69.78 +/- 3.40</v>
      </c>
      <c r="K49" s="9" t="str">
        <f>IFERROR(__xludf.DUMMYFUNCTION("TEXT(VALUE(REGEXEXTRACT(C49,""^[+-]?[0-9]*\.?[0-9]+""))*100,""0.00"")&amp;"" +/- ""&amp;TEXT(VALUE(REGEXEXTRACT(C49,""[0-9]*\.?[0-9]+$""))*100,""0.00"")"),"61.45 +/- 0.00")</f>
        <v>61.45 +/- 0.00</v>
      </c>
      <c r="L49" s="9" t="str">
        <f>IFERROR(__xludf.DUMMYFUNCTION("TEXT(VALUE(REGEXEXTRACT(D49,""^[+-]?[0-9]*\.?[0-9]+""))*100,""0.00"")&amp;"" +/- ""&amp;TEXT(VALUE(REGEXEXTRACT(D49,""[0-9]*\.?[0-9]+$""))*100,""0.00"")"),"57.54 +/- 0.00")</f>
        <v>57.54 +/- 0.00</v>
      </c>
      <c r="M49" s="9" t="str">
        <f>IFERROR(__xludf.DUMMYFUNCTION("TEXT(VALUE(REGEXEXTRACT(E49,""^[+-]?[0-9]*\.?[0-9]+""))*100,""0.00"")&amp;"" +/- ""&amp;TEXT(VALUE(REGEXEXTRACT(E49,""[0-9]*\.?[0-9]+$""))*100,""0.00"")"),"71.84 +/- 3.29")</f>
        <v>71.84 +/- 3.29</v>
      </c>
      <c r="N49" s="10" t="str">
        <f>IFERROR(__xludf.DUMMYFUNCTION("TEXT(VALUE(REGEXEXTRACT(F49,""^[+-]?[0-9]*\.?[0-9]+""))*100,""0.00"")&amp;"" +/- ""&amp;TEXT(VALUE(REGEXEXTRACT(F49,""[0-9]*\.?[0-9]+$""))*100,""0.00"")"),"72.96 +/- 2.24")</f>
        <v>72.96 +/- 2.24</v>
      </c>
      <c r="O49" s="9" t="str">
        <f>IFERROR(__xludf.DUMMYFUNCTION("TEXT(VALUE(REGEXEXTRACT(G49,""^[+-]?[0-9]*\.?[0-9]+""))*100,""0.00"")&amp;"" +/- ""&amp;TEXT(VALUE(REGEXEXTRACT(G49,""[0-9]*\.?[0-9]+$""))*100,""0.00"")"),"70.97 +/- 2.80")</f>
        <v>70.97 +/- 2.80</v>
      </c>
      <c r="P49" s="9" t="str">
        <f>IFERROR(__xludf.DUMMYFUNCTION("TEXT(VALUE(REGEXEXTRACT(H49,""^[+-]?[0-9]*\.?[0-9]+""))*100,""0.00"")&amp;"" +/- ""&amp;TEXT(VALUE(REGEXEXTRACT(H49,""[0-9]*\.?[0-9]+$""))*100,""0.00"")"),"65.33 +/- 2.61")</f>
        <v>65.33 +/- 2.61</v>
      </c>
    </row>
    <row r="50">
      <c r="A50" s="6" t="s">
        <v>907</v>
      </c>
      <c r="B50" s="16" t="s">
        <v>3045</v>
      </c>
      <c r="C50" s="16" t="s">
        <v>3046</v>
      </c>
      <c r="D50" s="16" t="s">
        <v>3047</v>
      </c>
      <c r="E50" s="16" t="s">
        <v>3048</v>
      </c>
      <c r="F50" s="16" t="s">
        <v>3049</v>
      </c>
      <c r="G50" s="16" t="s">
        <v>3050</v>
      </c>
      <c r="H50" s="16" t="s">
        <v>3051</v>
      </c>
      <c r="I50" s="8" t="str">
        <f t="shared" si="3"/>
        <v>AR5→AR6</v>
      </c>
      <c r="J50" s="9" t="str">
        <f>IFERROR(__xludf.DUMMYFUNCTION("TEXT(VALUE(REGEXEXTRACT(B50,""^[+-]?[0-9]*\.?[0-9]+""))*100,""0.00"")&amp;"" +/- ""&amp;TEXT(VALUE(REGEXEXTRACT(B50,""[0-9]*\.?[0-9]+$""))*100,""0.00"")"),"66.68 +/- 2.20")</f>
        <v>66.68 +/- 2.20</v>
      </c>
      <c r="K50" s="9" t="str">
        <f>IFERROR(__xludf.DUMMYFUNCTION("TEXT(VALUE(REGEXEXTRACT(C50,""^[+-]?[0-9]*\.?[0-9]+""))*100,""0.00"")&amp;"" +/- ""&amp;TEXT(VALUE(REGEXEXTRACT(C50,""[0-9]*\.?[0-9]+$""))*100,""0.00"")"),"61.63 +/- 0.00")</f>
        <v>61.63 +/- 0.00</v>
      </c>
      <c r="L50" s="9" t="str">
        <f>IFERROR(__xludf.DUMMYFUNCTION("TEXT(VALUE(REGEXEXTRACT(D50,""^[+-]?[0-9]*\.?[0-9]+""))*100,""0.00"")&amp;"" +/- ""&amp;TEXT(VALUE(REGEXEXTRACT(D50,""[0-9]*\.?[0-9]+$""))*100,""0.00"")"),"35.22 +/- 0.00")</f>
        <v>35.22 +/- 0.00</v>
      </c>
      <c r="M50" s="9" t="str">
        <f>IFERROR(__xludf.DUMMYFUNCTION("TEXT(VALUE(REGEXEXTRACT(E50,""^[+-]?[0-9]*\.?[0-9]+""))*100,""0.00"")&amp;"" +/- ""&amp;TEXT(VALUE(REGEXEXTRACT(E50,""[0-9]*\.?[0-9]+$""))*100,""0.00"")"),"65.82 +/- 1.56")</f>
        <v>65.82 +/- 1.56</v>
      </c>
      <c r="N50" s="9" t="str">
        <f>IFERROR(__xludf.DUMMYFUNCTION("TEXT(VALUE(REGEXEXTRACT(F50,""^[+-]?[0-9]*\.?[0-9]+""))*100,""0.00"")&amp;"" +/- ""&amp;TEXT(VALUE(REGEXEXTRACT(F50,""[0-9]*\.?[0-9]+$""))*100,""0.00"")"),"67.26 +/- 1.53")</f>
        <v>67.26 +/- 1.53</v>
      </c>
      <c r="O50" s="9" t="str">
        <f>IFERROR(__xludf.DUMMYFUNCTION("TEXT(VALUE(REGEXEXTRACT(G50,""^[+-]?[0-9]*\.?[0-9]+""))*100,""0.00"")&amp;"" +/- ""&amp;TEXT(VALUE(REGEXEXTRACT(G50,""[0-9]*\.?[0-9]+$""))*100,""0.00"")"),"65.89 +/- 2.43")</f>
        <v>65.89 +/- 2.43</v>
      </c>
      <c r="P50" s="10" t="str">
        <f>IFERROR(__xludf.DUMMYFUNCTION("TEXT(VALUE(REGEXEXTRACT(H50,""^[+-]?[0-9]*\.?[0-9]+""))*100,""0.00"")&amp;"" +/- ""&amp;TEXT(VALUE(REGEXEXTRACT(H50,""[0-9]*\.?[0-9]+$""))*100,""0.00"")"),"67.72 +/- 3.92")</f>
        <v>67.72 +/- 3.92</v>
      </c>
    </row>
    <row r="51">
      <c r="A51" s="6" t="s">
        <v>922</v>
      </c>
      <c r="B51" s="16" t="s">
        <v>3059</v>
      </c>
      <c r="C51" s="16" t="s">
        <v>3060</v>
      </c>
      <c r="D51" s="16" t="s">
        <v>3061</v>
      </c>
      <c r="E51" s="16" t="s">
        <v>3062</v>
      </c>
      <c r="F51" s="16" t="s">
        <v>3063</v>
      </c>
      <c r="G51" s="16" t="s">
        <v>3064</v>
      </c>
      <c r="H51" s="16" t="s">
        <v>3065</v>
      </c>
      <c r="I51" s="8" t="str">
        <f t="shared" si="3"/>
        <v>AR6→AR1</v>
      </c>
      <c r="J51" s="10" t="str">
        <f>IFERROR(__xludf.DUMMYFUNCTION("TEXT(VALUE(REGEXEXTRACT(B51,""^[+-]?[0-9]*\.?[0-9]+""))*100,""0.00"")&amp;"" +/- ""&amp;TEXT(VALUE(REGEXEXTRACT(B51,""[0-9]*\.?[0-9]+$""))*100,""0.00"")"),"59.67 +/- 1.30")</f>
        <v>59.67 +/- 1.30</v>
      </c>
      <c r="K51" s="9" t="str">
        <f>IFERROR(__xludf.DUMMYFUNCTION("TEXT(VALUE(REGEXEXTRACT(C51,""^[+-]?[0-9]*\.?[0-9]+""))*100,""0.00"")&amp;"" +/- ""&amp;TEXT(VALUE(REGEXEXTRACT(C51,""[0-9]*\.?[0-9]+$""))*100,""0.00"")"),"54.83 +/- 0.00")</f>
        <v>54.83 +/- 0.00</v>
      </c>
      <c r="L51" s="9" t="str">
        <f>IFERROR(__xludf.DUMMYFUNCTION("TEXT(VALUE(REGEXEXTRACT(D51,""^[+-]?[0-9]*\.?[0-9]+""))*100,""0.00"")&amp;"" +/- ""&amp;TEXT(VALUE(REGEXEXTRACT(D51,""[0-9]*\.?[0-9]+$""))*100,""0.00"")"),"61.40 +/- 0.00")</f>
        <v>61.40 +/- 0.00</v>
      </c>
      <c r="M51" s="9" t="str">
        <f>IFERROR(__xludf.DUMMYFUNCTION("TEXT(VALUE(REGEXEXTRACT(E51,""^[+-]?[0-9]*\.?[0-9]+""))*100,""0.00"")&amp;"" +/- ""&amp;TEXT(VALUE(REGEXEXTRACT(E51,""[0-9]*\.?[0-9]+$""))*100,""0.00"")"),"57.89 +/- 1.67")</f>
        <v>57.89 +/- 1.67</v>
      </c>
      <c r="N51" s="9" t="str">
        <f>IFERROR(__xludf.DUMMYFUNCTION("TEXT(VALUE(REGEXEXTRACT(F51,""^[+-]?[0-9]*\.?[0-9]+""))*100,""0.00"")&amp;"" +/- ""&amp;TEXT(VALUE(REGEXEXTRACT(F51,""[0-9]*\.?[0-9]+$""))*100,""0.00"")"),"55.39 +/- 3.55")</f>
        <v>55.39 +/- 3.55</v>
      </c>
      <c r="O51" s="9" t="str">
        <f>IFERROR(__xludf.DUMMYFUNCTION("TEXT(VALUE(REGEXEXTRACT(G51,""^[+-]?[0-9]*\.?[0-9]+""))*100,""0.00"")&amp;"" +/- ""&amp;TEXT(VALUE(REGEXEXTRACT(G51,""[0-9]*\.?[0-9]+$""))*100,""0.00"")"),"56.32 +/- 3.17")</f>
        <v>56.32 +/- 3.17</v>
      </c>
      <c r="P51" s="9" t="str">
        <f>IFERROR(__xludf.DUMMYFUNCTION("TEXT(VALUE(REGEXEXTRACT(H51,""^[+-]?[0-9]*\.?[0-9]+""))*100,""0.00"")&amp;"" +/- ""&amp;TEXT(VALUE(REGEXEXTRACT(H51,""[0-9]*\.?[0-9]+$""))*100,""0.00"")"),"55.26 +/- 2.87")</f>
        <v>55.26 +/- 2.87</v>
      </c>
    </row>
    <row r="52">
      <c r="A52" s="6" t="s">
        <v>944</v>
      </c>
      <c r="B52" s="16" t="s">
        <v>3072</v>
      </c>
      <c r="C52" s="16" t="s">
        <v>3019</v>
      </c>
      <c r="D52" s="16" t="s">
        <v>3073</v>
      </c>
      <c r="E52" s="16" t="s">
        <v>3074</v>
      </c>
      <c r="F52" s="16" t="s">
        <v>3075</v>
      </c>
      <c r="G52" s="16" t="s">
        <v>3076</v>
      </c>
      <c r="H52" s="16" t="s">
        <v>3078</v>
      </c>
      <c r="I52" s="8" t="str">
        <f t="shared" si="3"/>
        <v>AR6→AR3</v>
      </c>
      <c r="J52" s="10" t="str">
        <f>IFERROR(__xludf.DUMMYFUNCTION("TEXT(VALUE(REGEXEXTRACT(B52,""^[+-]?[0-9]*\.?[0-9]+""))*100,""0.00"")&amp;"" +/- ""&amp;TEXT(VALUE(REGEXEXTRACT(B52,""[0-9]*\.?[0-9]+$""))*100,""0.00"")"),"75.40 +/- 0.79")</f>
        <v>75.40 +/- 0.79</v>
      </c>
      <c r="K52" s="9" t="str">
        <f>IFERROR(__xludf.DUMMYFUNCTION("TEXT(VALUE(REGEXEXTRACT(C52,""^[+-]?[0-9]*\.?[0-9]+""))*100,""0.00"")&amp;"" +/- ""&amp;TEXT(VALUE(REGEXEXTRACT(C52,""[0-9]*\.?[0-9]+$""))*100,""0.00"")"),"56.61 +/- 0.00")</f>
        <v>56.61 +/- 0.00</v>
      </c>
      <c r="L52" s="9" t="str">
        <f>IFERROR(__xludf.DUMMYFUNCTION("TEXT(VALUE(REGEXEXTRACT(D52,""^[+-]?[0-9]*\.?[0-9]+""))*100,""0.00"")&amp;"" +/- ""&amp;TEXT(VALUE(REGEXEXTRACT(D52,""[0-9]*\.?[0-9]+$""))*100,""0.00"")"),"51.57 +/- 0.00")</f>
        <v>51.57 +/- 0.00</v>
      </c>
      <c r="M52" s="9" t="str">
        <f>IFERROR(__xludf.DUMMYFUNCTION("TEXT(VALUE(REGEXEXTRACT(E52,""^[+-]?[0-9]*\.?[0-9]+""))*100,""0.00"")&amp;"" +/- ""&amp;TEXT(VALUE(REGEXEXTRACT(E52,""[0-9]*\.?[0-9]+$""))*100,""0.00"")"),"76.05 +/- 2.31")</f>
        <v>76.05 +/- 2.31</v>
      </c>
      <c r="N52" s="9" t="str">
        <f>IFERROR(__xludf.DUMMYFUNCTION("TEXT(VALUE(REGEXEXTRACT(F52,""^[+-]?[0-9]*\.?[0-9]+""))*100,""0.00"")&amp;"" +/- ""&amp;TEXT(VALUE(REGEXEXTRACT(F52,""[0-9]*\.?[0-9]+$""))*100,""0.00"")"),"72.23 +/- 3.51")</f>
        <v>72.23 +/- 3.51</v>
      </c>
      <c r="O52" s="9" t="str">
        <f>IFERROR(__xludf.DUMMYFUNCTION("TEXT(VALUE(REGEXEXTRACT(G52,""^[+-]?[0-9]*\.?[0-9]+""))*100,""0.00"")&amp;"" +/- ""&amp;TEXT(VALUE(REGEXEXTRACT(G52,""[0-9]*\.?[0-9]+$""))*100,""0.00"")"),"74.01 +/- 3.26")</f>
        <v>74.01 +/- 3.26</v>
      </c>
      <c r="P52" s="9" t="str">
        <f>IFERROR(__xludf.DUMMYFUNCTION("TEXT(VALUE(REGEXEXTRACT(H52,""^[+-]?[0-9]*\.?[0-9]+""))*100,""0.00"")&amp;"" +/- ""&amp;TEXT(VALUE(REGEXEXTRACT(H52,""[0-9]*\.?[0-9]+$""))*100,""0.00"")"),"67.74 +/- 3.74")</f>
        <v>67.74 +/- 3.74</v>
      </c>
    </row>
    <row r="53">
      <c r="A53" s="6" t="s">
        <v>959</v>
      </c>
      <c r="B53" s="16" t="s">
        <v>3085</v>
      </c>
      <c r="C53" s="16" t="s">
        <v>3086</v>
      </c>
      <c r="D53" s="16" t="s">
        <v>3087</v>
      </c>
      <c r="E53" s="16" t="s">
        <v>3088</v>
      </c>
      <c r="F53" s="16" t="s">
        <v>3089</v>
      </c>
      <c r="G53" s="16" t="s">
        <v>3090</v>
      </c>
      <c r="H53" s="16" t="s">
        <v>3091</v>
      </c>
      <c r="I53" s="8" t="str">
        <f t="shared" si="3"/>
        <v>AR6→AR4</v>
      </c>
      <c r="J53" s="10" t="str">
        <f>IFERROR(__xludf.DUMMYFUNCTION("TEXT(VALUE(REGEXEXTRACT(B53,""^[+-]?[0-9]*\.?[0-9]+""))*100,""0.00"")&amp;"" +/- ""&amp;TEXT(VALUE(REGEXEXTRACT(B53,""[0-9]*\.?[0-9]+$""))*100,""0.00"")"),"61.50 +/- 1.71")</f>
        <v>61.50 +/- 1.71</v>
      </c>
      <c r="K53" s="9" t="str">
        <f>IFERROR(__xludf.DUMMYFUNCTION("TEXT(VALUE(REGEXEXTRACT(C53,""^[+-]?[0-9]*\.?[0-9]+""))*100,""0.00"")&amp;"" +/- ""&amp;TEXT(VALUE(REGEXEXTRACT(C53,""[0-9]*\.?[0-9]+$""))*100,""0.00"")"),"35.96 +/- 0.00")</f>
        <v>35.96 +/- 0.00</v>
      </c>
      <c r="L53" s="9" t="str">
        <f>IFERROR(__xludf.DUMMYFUNCTION("TEXT(VALUE(REGEXEXTRACT(D53,""^[+-]?[0-9]*\.?[0-9]+""))*100,""0.00"")&amp;"" +/- ""&amp;TEXT(VALUE(REGEXEXTRACT(D53,""[0-9]*\.?[0-9]+$""))*100,""0.00"")"),"59.31 +/- 0.00")</f>
        <v>59.31 +/- 0.00</v>
      </c>
      <c r="M53" s="9" t="str">
        <f>IFERROR(__xludf.DUMMYFUNCTION("TEXT(VALUE(REGEXEXTRACT(E53,""^[+-]?[0-9]*\.?[0-9]+""))*100,""0.00"")&amp;"" +/- ""&amp;TEXT(VALUE(REGEXEXTRACT(E53,""[0-9]*\.?[0-9]+$""))*100,""0.00"")"),"57.43 +/- 2.80")</f>
        <v>57.43 +/- 2.80</v>
      </c>
      <c r="N53" s="9" t="str">
        <f>IFERROR(__xludf.DUMMYFUNCTION("TEXT(VALUE(REGEXEXTRACT(F53,""^[+-]?[0-9]*\.?[0-9]+""))*100,""0.00"")&amp;"" +/- ""&amp;TEXT(VALUE(REGEXEXTRACT(F53,""[0-9]*\.?[0-9]+$""))*100,""0.00"")"),"52.22 +/- 2.76")</f>
        <v>52.22 +/- 2.76</v>
      </c>
      <c r="O53" s="9" t="str">
        <f>IFERROR(__xludf.DUMMYFUNCTION("TEXT(VALUE(REGEXEXTRACT(G53,""^[+-]?[0-9]*\.?[0-9]+""))*100,""0.00"")&amp;"" +/- ""&amp;TEXT(VALUE(REGEXEXTRACT(G53,""[0-9]*\.?[0-9]+$""))*100,""0.00"")"),"53.64 +/- 3.03")</f>
        <v>53.64 +/- 3.03</v>
      </c>
      <c r="P53" s="9" t="str">
        <f>IFERROR(__xludf.DUMMYFUNCTION("TEXT(VALUE(REGEXEXTRACT(H53,""^[+-]?[0-9]*\.?[0-9]+""))*100,""0.00"")&amp;"" +/- ""&amp;TEXT(VALUE(REGEXEXTRACT(H53,""[0-9]*\.?[0-9]+$""))*100,""0.00"")"),"42.02 +/- 2.42")</f>
        <v>42.02 +/- 2.42</v>
      </c>
    </row>
    <row r="54">
      <c r="A54" s="6" t="s">
        <v>974</v>
      </c>
      <c r="B54" s="16" t="s">
        <v>3105</v>
      </c>
      <c r="C54" s="16" t="s">
        <v>3106</v>
      </c>
      <c r="D54" s="16" t="s">
        <v>3107</v>
      </c>
      <c r="E54" s="16" t="s">
        <v>3108</v>
      </c>
      <c r="F54" s="16" t="s">
        <v>3109</v>
      </c>
      <c r="G54" s="16" t="s">
        <v>3110</v>
      </c>
      <c r="H54" s="16" t="s">
        <v>3111</v>
      </c>
      <c r="I54" s="8" t="str">
        <f t="shared" si="3"/>
        <v>AR6→AR5</v>
      </c>
      <c r="J54" s="9" t="str">
        <f>IFERROR(__xludf.DUMMYFUNCTION("TEXT(VALUE(REGEXEXTRACT(B54,""^[+-]?[0-9]*\.?[0-9]+""))*100,""0.00"")&amp;"" +/- ""&amp;TEXT(VALUE(REGEXEXTRACT(B54,""[0-9]*\.?[0-9]+$""))*100,""0.00"")"),"74.71 +/- 2.57")</f>
        <v>74.71 +/- 2.57</v>
      </c>
      <c r="K54" s="9" t="str">
        <f>IFERROR(__xludf.DUMMYFUNCTION("TEXT(VALUE(REGEXEXTRACT(C54,""^[+-]?[0-9]*\.?[0-9]+""))*100,""0.00"")&amp;"" +/- ""&amp;TEXT(VALUE(REGEXEXTRACT(C54,""[0-9]*\.?[0-9]+$""))*100,""0.00"")"),"59.01 +/- 0.00")</f>
        <v>59.01 +/- 0.00</v>
      </c>
      <c r="L54" s="9" t="str">
        <f>IFERROR(__xludf.DUMMYFUNCTION("TEXT(VALUE(REGEXEXTRACT(D54,""^[+-]?[0-9]*\.?[0-9]+""))*100,""0.00"")&amp;"" +/- ""&amp;TEXT(VALUE(REGEXEXTRACT(D54,""[0-9]*\.?[0-9]+$""))*100,""0.00"")"),"57.86 +/- 0.00")</f>
        <v>57.86 +/- 0.00</v>
      </c>
      <c r="M54" s="10" t="str">
        <f>IFERROR(__xludf.DUMMYFUNCTION("TEXT(VALUE(REGEXEXTRACT(E54,""^[+-]?[0-9]*\.?[0-9]+""))*100,""0.00"")&amp;"" +/- ""&amp;TEXT(VALUE(REGEXEXTRACT(E54,""[0-9]*\.?[0-9]+$""))*100,""0.00"")"),"76.33 +/- 4.62")</f>
        <v>76.33 +/- 4.62</v>
      </c>
      <c r="N54" s="9" t="str">
        <f>IFERROR(__xludf.DUMMYFUNCTION("TEXT(VALUE(REGEXEXTRACT(F54,""^[+-]?[0-9]*\.?[0-9]+""))*100,""0.00"")&amp;"" +/- ""&amp;TEXT(VALUE(REGEXEXTRACT(F54,""[0-9]*\.?[0-9]+$""))*100,""0.00"")"),"72.76 +/- 1.60")</f>
        <v>72.76 +/- 1.60</v>
      </c>
      <c r="O54" s="9" t="str">
        <f>IFERROR(__xludf.DUMMYFUNCTION("TEXT(VALUE(REGEXEXTRACT(G54,""^[+-]?[0-9]*\.?[0-9]+""))*100,""0.00"")&amp;"" +/- ""&amp;TEXT(VALUE(REGEXEXTRACT(G54,""[0-9]*\.?[0-9]+$""))*100,""0.00"")"),"74.75 +/- 3.76")</f>
        <v>74.75 +/- 3.76</v>
      </c>
      <c r="P54" s="9" t="str">
        <f>IFERROR(__xludf.DUMMYFUNCTION("TEXT(VALUE(REGEXEXTRACT(H54,""^[+-]?[0-9]*\.?[0-9]+""))*100,""0.00"")&amp;"" +/- ""&amp;TEXT(VALUE(REGEXEXTRACT(H54,""[0-9]*\.?[0-9]+$""))*100,""0.00"")"),"63.86 +/- 2.68")</f>
        <v>63.86 +/- 2.68</v>
      </c>
    </row>
    <row r="55">
      <c r="A55" s="6" t="s">
        <v>371</v>
      </c>
      <c r="B55" s="14"/>
      <c r="C55" s="21" t="s">
        <v>392</v>
      </c>
      <c r="D55" s="21" t="s">
        <v>388</v>
      </c>
      <c r="E55" s="21" t="s">
        <v>1560</v>
      </c>
      <c r="F55" s="21" t="s">
        <v>474</v>
      </c>
      <c r="G55" s="21" t="s">
        <v>992</v>
      </c>
      <c r="H55" s="21" t="s">
        <v>388</v>
      </c>
      <c r="I55" s="8" t="str">
        <f t="shared" si="3"/>
        <v>W/T/L</v>
      </c>
      <c r="K55" s="20" t="str">
        <f>IFERROR(__xludf.DUMMYFUNCTION("SUM(ARRAYFORMULA(IFERROR(
  (VALUE(REGEXEXTRACT($J$35:$J$54,""^[+-]?[0-9]*\.?[0-9]+""))&gt;
   VALUE(REGEXEXTRACT(K$35:K$54,""^[+-]?[0-9]*\.?[0-9]+"")))*1,0)))
&amp;""/""&amp;
SUM(ARRAYFORMULA(IFERROR(
  (VALUE(REGEXEXTRACT($J$35:$J$54,""^[+-]?[0-9]*\.?[0-9]+""))=
 "&amp;"  VALUE(REGEXEXTRACT(K$35:K$54,""^[+-]?[0-9]*\.?[0-9]+"")))*1,0)))
&amp;""/""&amp;
SUM(ARRAYFORMULA(IFERROR(
  (VALUE(REGEXEXTRACT($J$35:$J$54,""^[+-]?[0-9]*\.?[0-9]+""))&lt;
   VALUE(REGEXEXTRACT(K$35:K$54,""^[+-]?[0-9]*\.?[0-9]+"")))*1,0)))"),"14/0/6")</f>
        <v>14/0/6</v>
      </c>
      <c r="L55" s="20" t="str">
        <f>IFERROR(__xludf.DUMMYFUNCTION("SUM(ARRAYFORMULA(IFERROR(
  (VALUE(REGEXEXTRACT($J$35:$J$54,""^[+-]?[0-9]*\.?[0-9]+""))&gt;
   VALUE(REGEXEXTRACT(L$35:L$54,""^[+-]?[0-9]*\.?[0-9]+"")))*1,0)))
&amp;""/""&amp;
SUM(ARRAYFORMULA(IFERROR(
  (VALUE(REGEXEXTRACT($J$35:$J$54,""^[+-]?[0-9]*\.?[0-9]+""))=
 "&amp;"  VALUE(REGEXEXTRACT(L$35:L$54,""^[+-]?[0-9]*\.?[0-9]+"")))*1,0)))
&amp;""/""&amp;
SUM(ARRAYFORMULA(IFERROR(
  (VALUE(REGEXEXTRACT($J$35:$J$54,""^[+-]?[0-9]*\.?[0-9]+""))&lt;
   VALUE(REGEXEXTRACT(L$35:L$54,""^[+-]?[0-9]*\.?[0-9]+"")))*1,0)))"),"16/0/4")</f>
        <v>16/0/4</v>
      </c>
      <c r="M55" s="20" t="str">
        <f>IFERROR(__xludf.DUMMYFUNCTION("SUM(ARRAYFORMULA(IFERROR(
  (VALUE(REGEXEXTRACT($J$35:$J$54,""^[+-]?[0-9]*\.?[0-9]+""))&gt;
   VALUE(REGEXEXTRACT(M$35:M$54,""^[+-]?[0-9]*\.?[0-9]+"")))*1,0)))
&amp;""/""&amp;
SUM(ARRAYFORMULA(IFERROR(
  (VALUE(REGEXEXTRACT($J$35:$J$54,""^[+-]?[0-9]*\.?[0-9]+""))=
 "&amp;"  VALUE(REGEXEXTRACT(M$35:M$54,""^[+-]?[0-9]*\.?[0-9]+"")))*1,0)))
&amp;""/""&amp;
SUM(ARRAYFORMULA(IFERROR(
  (VALUE(REGEXEXTRACT($J$35:$J$54,""^[+-]?[0-9]*\.?[0-9]+""))&lt;
   VALUE(REGEXEXTRACT(M$35:M$54,""^[+-]?[0-9]*\.?[0-9]+"")))*1,0)))"),"10/0/10")</f>
        <v>10/0/10</v>
      </c>
      <c r="N55" s="20" t="str">
        <f>IFERROR(__xludf.DUMMYFUNCTION("SUM(ARRAYFORMULA(IFERROR(
  (VALUE(REGEXEXTRACT($J$35:$J$54,""^[+-]?[0-9]*\.?[0-9]+""))&gt;
   VALUE(REGEXEXTRACT(N$35:N$54,""^[+-]?[0-9]*\.?[0-9]+"")))*1,0)))
&amp;""/""&amp;
SUM(ARRAYFORMULA(IFERROR(
  (VALUE(REGEXEXTRACT($J$35:$J$54,""^[+-]?[0-9]*\.?[0-9]+""))=
 "&amp;"  VALUE(REGEXEXTRACT(N$35:N$54,""^[+-]?[0-9]*\.?[0-9]+"")))*1,0)))
&amp;""/""&amp;
SUM(ARRAYFORMULA(IFERROR(
  (VALUE(REGEXEXTRACT($J$35:$J$54,""^[+-]?[0-9]*\.?[0-9]+""))&lt;
   VALUE(REGEXEXTRACT(N$35:N$54,""^[+-]?[0-9]*\.?[0-9]+"")))*1,0)))"),"11/0/9")</f>
        <v>11/0/9</v>
      </c>
      <c r="O55" s="20" t="str">
        <f>IFERROR(__xludf.DUMMYFUNCTION("SUM(ARRAYFORMULA(IFERROR(
  (VALUE(REGEXEXTRACT($J$35:$J$54,""^[+-]?[0-9]*\.?[0-9]+""))&gt;
   VALUE(REGEXEXTRACT(O$35:O$54,""^[+-]?[0-9]*\.?[0-9]+"")))*1,0)))
&amp;""/""&amp;
SUM(ARRAYFORMULA(IFERROR(
  (VALUE(REGEXEXTRACT($J$35:$J$54,""^[+-]?[0-9]*\.?[0-9]+""))=
 "&amp;"  VALUE(REGEXEXTRACT(O$35:O$54,""^[+-]?[0-9]*\.?[0-9]+"")))*1,0)))
&amp;""/""&amp;
SUM(ARRAYFORMULA(IFERROR(
  (VALUE(REGEXEXTRACT($J$35:$J$54,""^[+-]?[0-9]*\.?[0-9]+""))&lt;
   VALUE(REGEXEXTRACT(O$35:O$54,""^[+-]?[0-9]*\.?[0-9]+"")))*1,0)))"),"12/0/8")</f>
        <v>12/0/8</v>
      </c>
      <c r="P55" s="20" t="str">
        <f>IFERROR(__xludf.DUMMYFUNCTION("SUM(ARRAYFORMULA(IFERROR(
  (VALUE(REGEXEXTRACT($J$35:$J$54,""^[+-]?[0-9]*\.?[0-9]+""))&gt;
   VALUE(REGEXEXTRACT(P$35:P$54,""^[+-]?[0-9]*\.?[0-9]+"")))*1,0)))
&amp;""/""&amp;
SUM(ARRAYFORMULA(IFERROR(
  (VALUE(REGEXEXTRACT($J$35:$J$54,""^[+-]?[0-9]*\.?[0-9]+""))=
 "&amp;"  VALUE(REGEXEXTRACT(P$35:P$54,""^[+-]?[0-9]*\.?[0-9]+"")))*1,0)))
&amp;""/""&amp;
SUM(ARRAYFORMULA(IFERROR(
  (VALUE(REGEXEXTRACT($J$35:$J$54,""^[+-]?[0-9]*\.?[0-9]+""))&lt;
   VALUE(REGEXEXTRACT(P$35:P$54,""^[+-]?[0-9]*\.?[0-9]+"")))*1,0)))"),"16/0/4")</f>
        <v>16/0/4</v>
      </c>
    </row>
    <row r="56">
      <c r="A56" s="6" t="s">
        <v>489</v>
      </c>
      <c r="B56" s="14" t="s">
        <v>3131</v>
      </c>
      <c r="C56" s="14" t="s">
        <v>3132</v>
      </c>
      <c r="D56" s="14" t="s">
        <v>3134</v>
      </c>
      <c r="E56" s="14" t="s">
        <v>3135</v>
      </c>
      <c r="F56" s="14" t="s">
        <v>3137</v>
      </c>
      <c r="G56" s="14" t="s">
        <v>3139</v>
      </c>
      <c r="H56" s="14" t="s">
        <v>3141</v>
      </c>
      <c r="I56" s="8" t="str">
        <f t="shared" si="3"/>
        <v>Average (%)</v>
      </c>
      <c r="J56" s="9">
        <f>IFERROR(__xludf.DUMMYFUNCTION("ROUND(AVERAGE(ARRAYFORMULA(IFERROR(VALUE(REGEXEXTRACT(J$35:J$54,""^[+-]?[0-9]*\.?[0-9]+"")),""""))),2)"),63.86)</f>
        <v>63.86</v>
      </c>
      <c r="K56" s="9">
        <f>IFERROR(__xludf.DUMMYFUNCTION("ROUND(AVERAGE(ARRAYFORMULA(IFERROR(VALUE(REGEXEXTRACT(K$35:K$54,""^[+-]?[0-9]*\.?[0-9]+"")),""""))),2)"),51.47)</f>
        <v>51.47</v>
      </c>
      <c r="L56" s="9">
        <f>IFERROR(__xludf.DUMMYFUNCTION("ROUND(AVERAGE(ARRAYFORMULA(IFERROR(VALUE(REGEXEXTRACT(L$35:L$54,""^[+-]?[0-9]*\.?[0-9]+"")),""""))),2)"),47.95)</f>
        <v>47.95</v>
      </c>
      <c r="M56" s="9">
        <f>IFERROR(__xludf.DUMMYFUNCTION("ROUND(AVERAGE(ARRAYFORMULA(IFERROR(VALUE(REGEXEXTRACT(M$35:M$54,""^[+-]?[0-9]*\.?[0-9]+"")),""""))),2)"),63.55)</f>
        <v>63.55</v>
      </c>
      <c r="N56" s="9">
        <f>IFERROR(__xludf.DUMMYFUNCTION("ROUND(AVERAGE(ARRAYFORMULA(IFERROR(VALUE(REGEXEXTRACT(N$35:N$54,""^[+-]?[0-9]*\.?[0-9]+"")),""""))),2)"),61.77)</f>
        <v>61.77</v>
      </c>
      <c r="O56" s="9">
        <f>IFERROR(__xludf.DUMMYFUNCTION("ROUND(AVERAGE(ARRAYFORMULA(IFERROR(VALUE(REGEXEXTRACT(O$35:O$54,""^[+-]?[0-9]*\.?[0-9]+"")),""""))),2)"),62.86)</f>
        <v>62.86</v>
      </c>
      <c r="P56" s="9">
        <f>IFERROR(__xludf.DUMMYFUNCTION("ROUND(AVERAGE(ARRAYFORMULA(IFERROR(VALUE(REGEXEXTRACT(P$35:P$54,""^[+-]?[0-9]*\.?[0-9]+"")),""""))),2)"),57.99)</f>
        <v>57.99</v>
      </c>
    </row>
    <row r="57">
      <c r="A57" s="4" t="s">
        <v>1013</v>
      </c>
      <c r="B57" s="2"/>
      <c r="C57" s="2"/>
      <c r="D57" s="2"/>
      <c r="E57" s="2"/>
      <c r="F57" s="2"/>
      <c r="G57" s="2"/>
      <c r="H57" s="2"/>
      <c r="I57" s="4" t="s">
        <v>1013</v>
      </c>
    </row>
    <row r="58">
      <c r="A58" s="6" t="s">
        <v>1014</v>
      </c>
      <c r="B58" s="16" t="s">
        <v>3143</v>
      </c>
      <c r="C58" s="16" t="s">
        <v>3144</v>
      </c>
      <c r="D58" s="16" t="s">
        <v>3145</v>
      </c>
      <c r="E58" s="16" t="s">
        <v>3146</v>
      </c>
      <c r="F58" s="16" t="s">
        <v>3147</v>
      </c>
      <c r="G58" s="16" t="s">
        <v>3148</v>
      </c>
      <c r="H58" s="16" t="s">
        <v>3149</v>
      </c>
      <c r="I58" s="8" t="str">
        <f t="shared" ref="I58:I81" si="4">A58</f>
        <v>EQ→JDT</v>
      </c>
      <c r="J58" s="10" t="str">
        <f>IFERROR(__xludf.DUMMYFUNCTION("TEXT(VALUE(REGEXEXTRACT(B58,""^[+-]?[0-9]*\.?[0-9]+""))*100,""0.00"")&amp;"" +/- ""&amp;TEXT(VALUE(REGEXEXTRACT(B58,""[0-9]*\.?[0-9]+$""))*100,""0.00"")"),"67.33 +/- 0.72")</f>
        <v>67.33 +/- 0.72</v>
      </c>
      <c r="K58" s="9" t="str">
        <f>IFERROR(__xludf.DUMMYFUNCTION("TEXT(VALUE(REGEXEXTRACT(C58,""^[+-]?[0-9]*\.?[0-9]+""))*100,""0.00"")&amp;"" +/- ""&amp;TEXT(VALUE(REGEXEXTRACT(C58,""[0-9]*\.?[0-9]+$""))*100,""0.00"")"),"64.59 +/- 0.00")</f>
        <v>64.59 +/- 0.00</v>
      </c>
      <c r="L58" s="9" t="str">
        <f>IFERROR(__xludf.DUMMYFUNCTION("TEXT(VALUE(REGEXEXTRACT(D58,""^[+-]?[0-9]*\.?[0-9]+""))*100,""0.00"")&amp;"" +/- ""&amp;TEXT(VALUE(REGEXEXTRACT(D58,""[0-9]*\.?[0-9]+$""))*100,""0.00"")"),"51.42 +/- 0.00")</f>
        <v>51.42 +/- 0.00</v>
      </c>
      <c r="M58" s="9" t="str">
        <f>IFERROR(__xludf.DUMMYFUNCTION("TEXT(VALUE(REGEXEXTRACT(E58,""^[+-]?[0-9]*\.?[0-9]+""))*100,""0.00"")&amp;"" +/- ""&amp;TEXT(VALUE(REGEXEXTRACT(E58,""[0-9]*\.?[0-9]+$""))*100,""0.00"")"),"62.89 +/- 1.15")</f>
        <v>62.89 +/- 1.15</v>
      </c>
      <c r="N58" s="9" t="str">
        <f>IFERROR(__xludf.DUMMYFUNCTION("TEXT(VALUE(REGEXEXTRACT(F58,""^[+-]?[0-9]*\.?[0-9]+""))*100,""0.00"")&amp;"" +/- ""&amp;TEXT(VALUE(REGEXEXTRACT(F58,""[0-9]*\.?[0-9]+$""))*100,""0.00"")"),"62.91 +/- 0.75")</f>
        <v>62.91 +/- 0.75</v>
      </c>
      <c r="O58" s="9" t="str">
        <f>IFERROR(__xludf.DUMMYFUNCTION("TEXT(VALUE(REGEXEXTRACT(G58,""^[+-]?[0-9]*\.?[0-9]+""))*100,""0.00"")&amp;"" +/- ""&amp;TEXT(VALUE(REGEXEXTRACT(G58,""[0-9]*\.?[0-9]+$""))*100,""0.00"")"),"63.34 +/- 1.24")</f>
        <v>63.34 +/- 1.24</v>
      </c>
      <c r="P58" s="9" t="str">
        <f>IFERROR(__xludf.DUMMYFUNCTION("TEXT(VALUE(REGEXEXTRACT(H58,""^[+-]?[0-9]*\.?[0-9]+""))*100,""0.00"")&amp;"" +/- ""&amp;TEXT(VALUE(REGEXEXTRACT(H58,""[0-9]*\.?[0-9]+$""))*100,""0.00"")"),"62.56 +/- 0.94")</f>
        <v>62.56 +/- 0.94</v>
      </c>
    </row>
    <row r="59">
      <c r="A59" s="6" t="s">
        <v>1026</v>
      </c>
      <c r="B59" s="16" t="s">
        <v>3150</v>
      </c>
      <c r="C59" s="16" t="s">
        <v>3151</v>
      </c>
      <c r="D59" s="16" t="s">
        <v>3152</v>
      </c>
      <c r="E59" s="16" t="s">
        <v>3153</v>
      </c>
      <c r="F59" s="16" t="s">
        <v>3154</v>
      </c>
      <c r="G59" s="16" t="s">
        <v>3155</v>
      </c>
      <c r="H59" s="16" t="s">
        <v>3156</v>
      </c>
      <c r="I59" s="8" t="str">
        <f t="shared" si="4"/>
        <v>EQ→LC</v>
      </c>
      <c r="J59" s="10" t="str">
        <f>IFERROR(__xludf.DUMMYFUNCTION("TEXT(VALUE(REGEXEXTRACT(B59,""^[+-]?[0-9]*\.?[0-9]+""))*100,""0.00"")&amp;"" +/- ""&amp;TEXT(VALUE(REGEXEXTRACT(B59,""[0-9]*\.?[0-9]+$""))*100,""0.00"")"),"65.83 +/- 0.73")</f>
        <v>65.83 +/- 0.73</v>
      </c>
      <c r="K59" s="9" t="str">
        <f>IFERROR(__xludf.DUMMYFUNCTION("TEXT(VALUE(REGEXEXTRACT(C59,""^[+-]?[0-9]*\.?[0-9]+""))*100,""0.00"")&amp;"" +/- ""&amp;TEXT(VALUE(REGEXEXTRACT(C59,""[0-9]*\.?[0-9]+$""))*100,""0.00"")"),"65.82 +/- 0.00")</f>
        <v>65.82 +/- 0.00</v>
      </c>
      <c r="L59" s="9" t="str">
        <f>IFERROR(__xludf.DUMMYFUNCTION("TEXT(VALUE(REGEXEXTRACT(D59,""^[+-]?[0-9]*\.?[0-9]+""))*100,""0.00"")&amp;"" +/- ""&amp;TEXT(VALUE(REGEXEXTRACT(D59,""[0-9]*\.?[0-9]+$""))*100,""0.00"")"),"36.02 +/- 0.00")</f>
        <v>36.02 +/- 0.00</v>
      </c>
      <c r="M59" s="9" t="str">
        <f>IFERROR(__xludf.DUMMYFUNCTION("TEXT(VALUE(REGEXEXTRACT(E59,""^[+-]?[0-9]*\.?[0-9]+""))*100,""0.00"")&amp;"" +/- ""&amp;TEXT(VALUE(REGEXEXTRACT(E59,""[0-9]*\.?[0-9]+$""))*100,""0.00"")"),"63.76 +/- 1.48")</f>
        <v>63.76 +/- 1.48</v>
      </c>
      <c r="N59" s="9" t="str">
        <f>IFERROR(__xludf.DUMMYFUNCTION("TEXT(VALUE(REGEXEXTRACT(F59,""^[+-]?[0-9]*\.?[0-9]+""))*100,""0.00"")&amp;"" +/- ""&amp;TEXT(VALUE(REGEXEXTRACT(F59,""[0-9]*\.?[0-9]+$""))*100,""0.00"")"),"61.16 +/- 0.91")</f>
        <v>61.16 +/- 0.91</v>
      </c>
      <c r="O59" s="9" t="str">
        <f>IFERROR(__xludf.DUMMYFUNCTION("TEXT(VALUE(REGEXEXTRACT(G59,""^[+-]?[0-9]*\.?[0-9]+""))*100,""0.00"")&amp;"" +/- ""&amp;TEXT(VALUE(REGEXEXTRACT(G59,""[0-9]*\.?[0-9]+$""))*100,""0.00"")"),"63.09 +/- 1.11")</f>
        <v>63.09 +/- 1.11</v>
      </c>
      <c r="P59" s="9" t="str">
        <f>IFERROR(__xludf.DUMMYFUNCTION("TEXT(VALUE(REGEXEXTRACT(H59,""^[+-]?[0-9]*\.?[0-9]+""))*100,""0.00"")&amp;"" +/- ""&amp;TEXT(VALUE(REGEXEXTRACT(H59,""[0-9]*\.?[0-9]+$""))*100,""0.00"")"),"61.90 +/- 1.61")</f>
        <v>61.90 +/- 1.61</v>
      </c>
    </row>
    <row r="60">
      <c r="A60" s="6" t="s">
        <v>1036</v>
      </c>
      <c r="B60" s="16" t="s">
        <v>3171</v>
      </c>
      <c r="C60" s="16" t="s">
        <v>3172</v>
      </c>
      <c r="D60" s="16" t="s">
        <v>3173</v>
      </c>
      <c r="E60" s="16" t="s">
        <v>3174</v>
      </c>
      <c r="F60" s="16" t="s">
        <v>3175</v>
      </c>
      <c r="G60" s="16" t="s">
        <v>3176</v>
      </c>
      <c r="H60" s="16" t="s">
        <v>3177</v>
      </c>
      <c r="I60" s="8" t="str">
        <f t="shared" si="4"/>
        <v>EQ→ML</v>
      </c>
      <c r="J60" s="10" t="str">
        <f>IFERROR(__xludf.DUMMYFUNCTION("TEXT(VALUE(REGEXEXTRACT(B60,""^[+-]?[0-9]*\.?[0-9]+""))*100,""0.00"")&amp;"" +/- ""&amp;TEXT(VALUE(REGEXEXTRACT(B60,""[0-9]*\.?[0-9]+$""))*100,""0.00"")"),"54.03 +/- 0.67")</f>
        <v>54.03 +/- 0.67</v>
      </c>
      <c r="K60" s="9" t="str">
        <f>IFERROR(__xludf.DUMMYFUNCTION("TEXT(VALUE(REGEXEXTRACT(C60,""^[+-]?[0-9]*\.?[0-9]+""))*100,""0.00"")&amp;"" +/- ""&amp;TEXT(VALUE(REGEXEXTRACT(C60,""[0-9]*\.?[0-9]+$""))*100,""0.00"")"),"54.04 +/- 0.00")</f>
        <v>54.04 +/- 0.00</v>
      </c>
      <c r="L60" s="9" t="str">
        <f>IFERROR(__xludf.DUMMYFUNCTION("TEXT(VALUE(REGEXEXTRACT(D60,""^[+-]?[0-9]*\.?[0-9]+""))*100,""0.00"")&amp;"" +/- ""&amp;TEXT(VALUE(REGEXEXTRACT(D60,""[0-9]*\.?[0-9]+$""))*100,""0.00"")"),"42.29 +/- 0.00")</f>
        <v>42.29 +/- 0.00</v>
      </c>
      <c r="M60" s="9" t="str">
        <f>IFERROR(__xludf.DUMMYFUNCTION("TEXT(VALUE(REGEXEXTRACT(E60,""^[+-]?[0-9]*\.?[0-9]+""))*100,""0.00"")&amp;"" +/- ""&amp;TEXT(VALUE(REGEXEXTRACT(E60,""[0-9]*\.?[0-9]+$""))*100,""0.00"")"),"51.89 +/- 0.80")</f>
        <v>51.89 +/- 0.80</v>
      </c>
      <c r="N60" s="9" t="str">
        <f>IFERROR(__xludf.DUMMYFUNCTION("TEXT(VALUE(REGEXEXTRACT(F60,""^[+-]?[0-9]*\.?[0-9]+""))*100,""0.00"")&amp;"" +/- ""&amp;TEXT(VALUE(REGEXEXTRACT(F60,""[0-9]*\.?[0-9]+$""))*100,""0.00"")"),"48.73 +/- 0.59")</f>
        <v>48.73 +/- 0.59</v>
      </c>
      <c r="O60" s="9" t="str">
        <f>IFERROR(__xludf.DUMMYFUNCTION("TEXT(VALUE(REGEXEXTRACT(G60,""^[+-]?[0-9]*\.?[0-9]+""))*100,""0.00"")&amp;"" +/- ""&amp;TEXT(VALUE(REGEXEXTRACT(G60,""[0-9]*\.?[0-9]+$""))*100,""0.00"")"),"51.01 +/- 0.77")</f>
        <v>51.01 +/- 0.77</v>
      </c>
      <c r="P60" s="9" t="str">
        <f>IFERROR(__xludf.DUMMYFUNCTION("TEXT(VALUE(REGEXEXTRACT(H60,""^[+-]?[0-9]*\.?[0-9]+""))*100,""0.00"")&amp;"" +/- ""&amp;TEXT(VALUE(REGEXEXTRACT(H60,""[0-9]*\.?[0-9]+$""))*100,""0.00"")"),"52.34 +/- 0.91")</f>
        <v>52.34 +/- 0.91</v>
      </c>
    </row>
    <row r="61">
      <c r="A61" s="6" t="s">
        <v>1044</v>
      </c>
      <c r="B61" s="16" t="s">
        <v>3192</v>
      </c>
      <c r="C61" s="16" t="s">
        <v>3193</v>
      </c>
      <c r="D61" s="16" t="s">
        <v>3194</v>
      </c>
      <c r="E61" s="16" t="s">
        <v>3195</v>
      </c>
      <c r="F61" s="16" t="s">
        <v>3196</v>
      </c>
      <c r="G61" s="16" t="s">
        <v>3197</v>
      </c>
      <c r="H61" s="16" t="s">
        <v>3198</v>
      </c>
      <c r="I61" s="8" t="str">
        <f t="shared" si="4"/>
        <v>EQ→PDE</v>
      </c>
      <c r="J61" s="10" t="str">
        <f>IFERROR(__xludf.DUMMYFUNCTION("TEXT(VALUE(REGEXEXTRACT(B61,""^[+-]?[0-9]*\.?[0-9]+""))*100,""0.00"")&amp;"" +/- ""&amp;TEXT(VALUE(REGEXEXTRACT(B61,""[0-9]*\.?[0-9]+$""))*100,""0.00"")"),"65.32 +/- 0.67")</f>
        <v>65.32 +/- 0.67</v>
      </c>
      <c r="K61" s="9" t="str">
        <f>IFERROR(__xludf.DUMMYFUNCTION("TEXT(VALUE(REGEXEXTRACT(C61,""^[+-]?[0-9]*\.?[0-9]+""))*100,""0.00"")&amp;"" +/- ""&amp;TEXT(VALUE(REGEXEXTRACT(C61,""[0-9]*\.?[0-9]+$""))*100,""0.00"")"),"65.09 +/- 0.00")</f>
        <v>65.09 +/- 0.00</v>
      </c>
      <c r="L61" s="9" t="str">
        <f>IFERROR(__xludf.DUMMYFUNCTION("TEXT(VALUE(REGEXEXTRACT(D61,""^[+-]?[0-9]*\.?[0-9]+""))*100,""0.00"")&amp;"" +/- ""&amp;TEXT(VALUE(REGEXEXTRACT(D61,""[0-9]*\.?[0-9]+$""))*100,""0.00"")"),"39.71 +/- 0.00")</f>
        <v>39.71 +/- 0.00</v>
      </c>
      <c r="M61" s="9" t="str">
        <f>IFERROR(__xludf.DUMMYFUNCTION("TEXT(VALUE(REGEXEXTRACT(E61,""^[+-]?[0-9]*\.?[0-9]+""))*100,""0.00"")&amp;"" +/- ""&amp;TEXT(VALUE(REGEXEXTRACT(E61,""[0-9]*\.?[0-9]+$""))*100,""0.00"")"),"64.58 +/- 1.11")</f>
        <v>64.58 +/- 1.11</v>
      </c>
      <c r="N61" s="9" t="str">
        <f>IFERROR(__xludf.DUMMYFUNCTION("TEXT(VALUE(REGEXEXTRACT(F61,""^[+-]?[0-9]*\.?[0-9]+""))*100,""0.00"")&amp;"" +/- ""&amp;TEXT(VALUE(REGEXEXTRACT(F61,""[0-9]*\.?[0-9]+$""))*100,""0.00"")"),"62.77 +/- 0.64")</f>
        <v>62.77 +/- 0.64</v>
      </c>
      <c r="O61" s="9" t="str">
        <f>IFERROR(__xludf.DUMMYFUNCTION("TEXT(VALUE(REGEXEXTRACT(G61,""^[+-]?[0-9]*\.?[0-9]+""))*100,""0.00"")&amp;"" +/- ""&amp;TEXT(VALUE(REGEXEXTRACT(G61,""[0-9]*\.?[0-9]+$""))*100,""0.00"")"),"64.20 +/- 0.77")</f>
        <v>64.20 +/- 0.77</v>
      </c>
      <c r="P61" s="9" t="str">
        <f>IFERROR(__xludf.DUMMYFUNCTION("TEXT(VALUE(REGEXEXTRACT(H61,""^[+-]?[0-9]*\.?[0-9]+""))*100,""0.00"")&amp;"" +/- ""&amp;TEXT(VALUE(REGEXEXTRACT(H61,""[0-9]*\.?[0-9]+$""))*100,""0.00"")"),"59.96 +/- 0.95")</f>
        <v>59.96 +/- 0.95</v>
      </c>
    </row>
    <row r="62">
      <c r="A62" s="6" t="s">
        <v>1051</v>
      </c>
      <c r="B62" s="16" t="s">
        <v>3207</v>
      </c>
      <c r="C62" s="16" t="s">
        <v>3208</v>
      </c>
      <c r="D62" s="16" t="s">
        <v>3210</v>
      </c>
      <c r="E62" s="16" t="s">
        <v>3215</v>
      </c>
      <c r="F62" s="16" t="s">
        <v>3224</v>
      </c>
      <c r="G62" s="16" t="s">
        <v>3225</v>
      </c>
      <c r="H62" s="16" t="s">
        <v>3226</v>
      </c>
      <c r="I62" s="8" t="str">
        <f t="shared" si="4"/>
        <v>JDT→EQ</v>
      </c>
      <c r="J62" s="9" t="str">
        <f>IFERROR(__xludf.DUMMYFUNCTION("TEXT(VALUE(REGEXEXTRACT(B62,""^[+-]?[0-9]*\.?[0-9]+""))*100,""0.00"")&amp;"" +/- ""&amp;TEXT(VALUE(REGEXEXTRACT(B62,""[0-9]*\.?[0-9]+$""))*100,""0.00"")"),"54.03 +/- 1.07")</f>
        <v>54.03 +/- 1.07</v>
      </c>
      <c r="K62" s="9" t="str">
        <f>IFERROR(__xludf.DUMMYFUNCTION("TEXT(VALUE(REGEXEXTRACT(C62,""^[+-]?[0-9]*\.?[0-9]+""))*100,""0.00"")&amp;"" +/- ""&amp;TEXT(VALUE(REGEXEXTRACT(C62,""[0-9]*\.?[0-9]+$""))*100,""0.00"")"),"50.27 +/- 0.00")</f>
        <v>50.27 +/- 0.00</v>
      </c>
      <c r="L62" s="9" t="str">
        <f>IFERROR(__xludf.DUMMYFUNCTION("TEXT(VALUE(REGEXEXTRACT(D62,""^[+-]?[0-9]*\.?[0-9]+""))*100,""0.00"")&amp;"" +/- ""&amp;TEXT(VALUE(REGEXEXTRACT(D62,""[0-9]*\.?[0-9]+$""))*100,""0.00"")"),"56.69 +/- 0.00")</f>
        <v>56.69 +/- 0.00</v>
      </c>
      <c r="M62" s="9" t="str">
        <f>IFERROR(__xludf.DUMMYFUNCTION("TEXT(VALUE(REGEXEXTRACT(E62,""^[+-]?[0-9]*\.?[0-9]+""))*100,""0.00"")&amp;"" +/- ""&amp;TEXT(VALUE(REGEXEXTRACT(E62,""[0-9]*\.?[0-9]+$""))*100,""0.00"")"),"57.32 +/- 1.36")</f>
        <v>57.32 +/- 1.36</v>
      </c>
      <c r="N62" s="9" t="str">
        <f>IFERROR(__xludf.DUMMYFUNCTION("TEXT(VALUE(REGEXEXTRACT(F62,""^[+-]?[0-9]*\.?[0-9]+""))*100,""0.00"")&amp;"" +/- ""&amp;TEXT(VALUE(REGEXEXTRACT(F62,""[0-9]*\.?[0-9]+$""))*100,""0.00"")"),"60.99 +/- 0.90")</f>
        <v>60.99 +/- 0.90</v>
      </c>
      <c r="O62" s="9" t="str">
        <f>IFERROR(__xludf.DUMMYFUNCTION("TEXT(VALUE(REGEXEXTRACT(G62,""^[+-]?[0-9]*\.?[0-9]+""))*100,""0.00"")&amp;"" +/- ""&amp;TEXT(VALUE(REGEXEXTRACT(G62,""[0-9]*\.?[0-9]+$""))*100,""0.00"")"),"59.56 +/- 1.45")</f>
        <v>59.56 +/- 1.45</v>
      </c>
      <c r="P62" s="10" t="str">
        <f>IFERROR(__xludf.DUMMYFUNCTION("TEXT(VALUE(REGEXEXTRACT(H62,""^[+-]?[0-9]*\.?[0-9]+""))*100,""0.00"")&amp;"" +/- ""&amp;TEXT(VALUE(REGEXEXTRACT(H62,""[0-9]*\.?[0-9]+$""))*100,""0.00"")"),"60.38 +/- 0.81")</f>
        <v>60.38 +/- 0.81</v>
      </c>
    </row>
    <row r="63">
      <c r="A63" s="6" t="s">
        <v>1059</v>
      </c>
      <c r="B63" s="16" t="s">
        <v>3269</v>
      </c>
      <c r="C63" s="16" t="s">
        <v>3270</v>
      </c>
      <c r="D63" s="16" t="s">
        <v>3285</v>
      </c>
      <c r="E63" s="16" t="s">
        <v>3286</v>
      </c>
      <c r="F63" s="16" t="s">
        <v>3287</v>
      </c>
      <c r="G63" s="16" t="s">
        <v>3294</v>
      </c>
      <c r="H63" s="16" t="s">
        <v>3295</v>
      </c>
      <c r="I63" s="8" t="str">
        <f t="shared" si="4"/>
        <v>JDT→LC</v>
      </c>
      <c r="J63" s="9" t="str">
        <f>IFERROR(__xludf.DUMMYFUNCTION("TEXT(VALUE(REGEXEXTRACT(B63,""^[+-]?[0-9]*\.?[0-9]+""))*100,""0.00"")&amp;"" +/- ""&amp;TEXT(VALUE(REGEXEXTRACT(B63,""[0-9]*\.?[0-9]+$""))*100,""0.00"")"),"64.89 +/- 0.72")</f>
        <v>64.89 +/- 0.72</v>
      </c>
      <c r="K63" s="9" t="str">
        <f>IFERROR(__xludf.DUMMYFUNCTION("TEXT(VALUE(REGEXEXTRACT(C63,""^[+-]?[0-9]*\.?[0-9]+""))*100,""0.00"")&amp;"" +/- ""&amp;TEXT(VALUE(REGEXEXTRACT(C63,""[0-9]*\.?[0-9]+$""))*100,""0.00"")"),"60.56 +/- 0.00")</f>
        <v>60.56 +/- 0.00</v>
      </c>
      <c r="L63" s="10" t="str">
        <f>IFERROR(__xludf.DUMMYFUNCTION("TEXT(VALUE(REGEXEXTRACT(D63,""^[+-]?[0-9]*\.?[0-9]+""))*100,""0.00"")&amp;"" +/- ""&amp;TEXT(VALUE(REGEXEXTRACT(D63,""[0-9]*\.?[0-9]+$""))*100,""0.00"")"),"66.27 +/- 0.00")</f>
        <v>66.27 +/- 0.00</v>
      </c>
      <c r="M63" s="9" t="str">
        <f>IFERROR(__xludf.DUMMYFUNCTION("TEXT(VALUE(REGEXEXTRACT(E63,""^[+-]?[0-9]*\.?[0-9]+""))*100,""0.00"")&amp;"" +/- ""&amp;TEXT(VALUE(REGEXEXTRACT(E63,""[0-9]*\.?[0-9]+$""))*100,""0.00"")"),"62.98 +/- 1.45")</f>
        <v>62.98 +/- 1.45</v>
      </c>
      <c r="N63" s="9" t="str">
        <f>IFERROR(__xludf.DUMMYFUNCTION("TEXT(VALUE(REGEXEXTRACT(F63,""^[+-]?[0-9]*\.?[0-9]+""))*100,""0.00"")&amp;"" +/- ""&amp;TEXT(VALUE(REGEXEXTRACT(F63,""[0-9]*\.?[0-9]+$""))*100,""0.00"")"),"61.01 +/- 1.06")</f>
        <v>61.01 +/- 1.06</v>
      </c>
      <c r="O63" s="9" t="str">
        <f>IFERROR(__xludf.DUMMYFUNCTION("TEXT(VALUE(REGEXEXTRACT(G63,""^[+-]?[0-9]*\.?[0-9]+""))*100,""0.00"")&amp;"" +/- ""&amp;TEXT(VALUE(REGEXEXTRACT(G63,""[0-9]*\.?[0-9]+$""))*100,""0.00"")"),"63.56 +/- 1.30")</f>
        <v>63.56 +/- 1.30</v>
      </c>
      <c r="P63" s="9" t="str">
        <f>IFERROR(__xludf.DUMMYFUNCTION("TEXT(VALUE(REGEXEXTRACT(H63,""^[+-]?[0-9]*\.?[0-9]+""))*100,""0.00"")&amp;"" +/- ""&amp;TEXT(VALUE(REGEXEXTRACT(H63,""[0-9]*\.?[0-9]+$""))*100,""0.00"")"),"65.72 +/- 0.95")</f>
        <v>65.72 +/- 0.95</v>
      </c>
    </row>
    <row r="64">
      <c r="A64" s="6" t="s">
        <v>1088</v>
      </c>
      <c r="B64" s="16" t="s">
        <v>3446</v>
      </c>
      <c r="C64" s="16" t="s">
        <v>3447</v>
      </c>
      <c r="D64" s="16" t="s">
        <v>3448</v>
      </c>
      <c r="E64" s="16" t="s">
        <v>3449</v>
      </c>
      <c r="F64" s="16" t="s">
        <v>3450</v>
      </c>
      <c r="G64" s="16" t="s">
        <v>3451</v>
      </c>
      <c r="H64" s="16" t="s">
        <v>3452</v>
      </c>
      <c r="I64" s="8" t="str">
        <f t="shared" si="4"/>
        <v>JDT→ML</v>
      </c>
      <c r="J64" s="9" t="str">
        <f>IFERROR(__xludf.DUMMYFUNCTION("TEXT(VALUE(REGEXEXTRACT(B64,""^[+-]?[0-9]*\.?[0-9]+""))*100,""0.00"")&amp;"" +/- ""&amp;TEXT(VALUE(REGEXEXTRACT(B64,""[0-9]*\.?[0-9]+$""))*100,""0.00"")"),"61.45 +/- 0.53")</f>
        <v>61.45 +/- 0.53</v>
      </c>
      <c r="K64" s="9" t="str">
        <f>IFERROR(__xludf.DUMMYFUNCTION("TEXT(VALUE(REGEXEXTRACT(C64,""^[+-]?[0-9]*\.?[0-9]+""))*100,""0.00"")&amp;"" +/- ""&amp;TEXT(VALUE(REGEXEXTRACT(C64,""[0-9]*\.?[0-9]+$""))*100,""0.00"")"),"55.27 +/- 0.00")</f>
        <v>55.27 +/- 0.00</v>
      </c>
      <c r="L64" s="9" t="str">
        <f>IFERROR(__xludf.DUMMYFUNCTION("TEXT(VALUE(REGEXEXTRACT(D64,""^[+-]?[0-9]*\.?[0-9]+""))*100,""0.00"")&amp;"" +/- ""&amp;TEXT(VALUE(REGEXEXTRACT(D64,""[0-9]*\.?[0-9]+$""))*100,""0.00"")"),"59.17 +/- 0.00")</f>
        <v>59.17 +/- 0.00</v>
      </c>
      <c r="M64" s="9" t="str">
        <f>IFERROR(__xludf.DUMMYFUNCTION("TEXT(VALUE(REGEXEXTRACT(E64,""^[+-]?[0-9]*\.?[0-9]+""))*100,""0.00"")&amp;"" +/- ""&amp;TEXT(VALUE(REGEXEXTRACT(E64,""[0-9]*\.?[0-9]+$""))*100,""0.00"")"),"61.78 +/- 1.19")</f>
        <v>61.78 +/- 1.19</v>
      </c>
      <c r="N64" s="10" t="str">
        <f>IFERROR(__xludf.DUMMYFUNCTION("TEXT(VALUE(REGEXEXTRACT(F64,""^[+-]?[0-9]*\.?[0-9]+""))*100,""0.00"")&amp;"" +/- ""&amp;TEXT(VALUE(REGEXEXTRACT(F64,""[0-9]*\.?[0-9]+$""))*100,""0.00"")"),"61.94 +/- 0.67")</f>
        <v>61.94 +/- 0.67</v>
      </c>
      <c r="O64" s="9" t="str">
        <f>IFERROR(__xludf.DUMMYFUNCTION("TEXT(VALUE(REGEXEXTRACT(G64,""^[+-]?[0-9]*\.?[0-9]+""))*100,""0.00"")&amp;"" +/- ""&amp;TEXT(VALUE(REGEXEXTRACT(G64,""[0-9]*\.?[0-9]+$""))*100,""0.00"")"),"62.10 +/- 0.96")</f>
        <v>62.10 +/- 0.96</v>
      </c>
      <c r="P64" s="9" t="str">
        <f>IFERROR(__xludf.DUMMYFUNCTION("TEXT(VALUE(REGEXEXTRACT(H64,""^[+-]?[0-9]*\.?[0-9]+""))*100,""0.00"")&amp;"" +/- ""&amp;TEXT(VALUE(REGEXEXTRACT(H64,""[0-9]*\.?[0-9]+$""))*100,""0.00"")"),"54.65 +/- 0.72")</f>
        <v>54.65 +/- 0.72</v>
      </c>
    </row>
    <row r="65">
      <c r="A65" s="6" t="s">
        <v>1097</v>
      </c>
      <c r="B65" s="16" t="s">
        <v>3454</v>
      </c>
      <c r="C65" s="16" t="s">
        <v>3456</v>
      </c>
      <c r="D65" s="16" t="s">
        <v>3458</v>
      </c>
      <c r="E65" s="16" t="s">
        <v>3460</v>
      </c>
      <c r="F65" s="16" t="s">
        <v>3462</v>
      </c>
      <c r="G65" s="16" t="s">
        <v>3464</v>
      </c>
      <c r="H65" s="16" t="s">
        <v>3466</v>
      </c>
      <c r="I65" s="8" t="str">
        <f t="shared" si="4"/>
        <v>JDT→PDE</v>
      </c>
      <c r="J65" s="10" t="str">
        <f>IFERROR(__xludf.DUMMYFUNCTION("TEXT(VALUE(REGEXEXTRACT(B65,""^[+-]?[0-9]*\.?[0-9]+""))*100,""0.00"")&amp;"" +/- ""&amp;TEXT(VALUE(REGEXEXTRACT(B65,""[0-9]*\.?[0-9]+$""))*100,""0.00"")"),"65.91 +/- 0.44")</f>
        <v>65.91 +/- 0.44</v>
      </c>
      <c r="K65" s="9" t="str">
        <f>IFERROR(__xludf.DUMMYFUNCTION("TEXT(VALUE(REGEXEXTRACT(C65,""^[+-]?[0-9]*\.?[0-9]+""))*100,""0.00"")&amp;"" +/- ""&amp;TEXT(VALUE(REGEXEXTRACT(C65,""[0-9]*\.?[0-9]+$""))*100,""0.00"")"),"58.15 +/- 0.00")</f>
        <v>58.15 +/- 0.00</v>
      </c>
      <c r="L65" s="9" t="str">
        <f>IFERROR(__xludf.DUMMYFUNCTION("TEXT(VALUE(REGEXEXTRACT(D65,""^[+-]?[0-9]*\.?[0-9]+""))*100,""0.00"")&amp;"" +/- ""&amp;TEXT(VALUE(REGEXEXTRACT(D65,""[0-9]*\.?[0-9]+$""))*100,""0.00"")"),"61.86 +/- 0.00")</f>
        <v>61.86 +/- 0.00</v>
      </c>
      <c r="M65" s="9" t="str">
        <f>IFERROR(__xludf.DUMMYFUNCTION("TEXT(VALUE(REGEXEXTRACT(E65,""^[+-]?[0-9]*\.?[0-9]+""))*100,""0.00"")&amp;"" +/- ""&amp;TEXT(VALUE(REGEXEXTRACT(E65,""[0-9]*\.?[0-9]+$""))*100,""0.00"")"),"63.62 +/- 0.98")</f>
        <v>63.62 +/- 0.98</v>
      </c>
      <c r="N65" s="9" t="str">
        <f>IFERROR(__xludf.DUMMYFUNCTION("TEXT(VALUE(REGEXEXTRACT(F65,""^[+-]?[0-9]*\.?[0-9]+""))*100,""0.00"")&amp;"" +/- ""&amp;TEXT(VALUE(REGEXEXTRACT(F65,""[0-9]*\.?[0-9]+$""))*100,""0.00"")"),"64.60 +/- 0.47")</f>
        <v>64.60 +/- 0.47</v>
      </c>
      <c r="O65" s="9" t="str">
        <f>IFERROR(__xludf.DUMMYFUNCTION("TEXT(VALUE(REGEXEXTRACT(G65,""^[+-]?[0-9]*\.?[0-9]+""))*100,""0.00"")&amp;"" +/- ""&amp;TEXT(VALUE(REGEXEXTRACT(G65,""[0-9]*\.?[0-9]+$""))*100,""0.00"")"),"64.80 +/- 0.66")</f>
        <v>64.80 +/- 0.66</v>
      </c>
      <c r="P65" s="9" t="str">
        <f>IFERROR(__xludf.DUMMYFUNCTION("TEXT(VALUE(REGEXEXTRACT(H65,""^[+-]?[0-9]*\.?[0-9]+""))*100,""0.00"")&amp;"" +/- ""&amp;TEXT(VALUE(REGEXEXTRACT(H65,""[0-9]*\.?[0-9]+$""))*100,""0.00"")"),"59.00 +/- 0.51")</f>
        <v>59.00 +/- 0.51</v>
      </c>
    </row>
    <row r="66">
      <c r="A66" s="6" t="s">
        <v>1105</v>
      </c>
      <c r="B66" s="16" t="s">
        <v>3467</v>
      </c>
      <c r="C66" s="16" t="s">
        <v>3264</v>
      </c>
      <c r="D66" s="16" t="s">
        <v>3468</v>
      </c>
      <c r="E66" s="16" t="s">
        <v>3469</v>
      </c>
      <c r="F66" s="16" t="s">
        <v>3470</v>
      </c>
      <c r="G66" s="16" t="s">
        <v>3471</v>
      </c>
      <c r="H66" s="16" t="s">
        <v>3473</v>
      </c>
      <c r="I66" s="8" t="str">
        <f t="shared" si="4"/>
        <v>LC→EQ</v>
      </c>
      <c r="J66" s="9" t="str">
        <f>IFERROR(__xludf.DUMMYFUNCTION("TEXT(VALUE(REGEXEXTRACT(B66,""^[+-]?[0-9]*\.?[0-9]+""))*100,""0.00"")&amp;"" +/- ""&amp;TEXT(VALUE(REGEXEXTRACT(B66,""[0-9]*\.?[0-9]+$""))*100,""0.00"")"),"57.57 +/- 0.83")</f>
        <v>57.57 +/- 0.83</v>
      </c>
      <c r="K66" s="9" t="str">
        <f>IFERROR(__xludf.DUMMYFUNCTION("TEXT(VALUE(REGEXEXTRACT(C66,""^[+-]?[0-9]*\.?[0-9]+""))*100,""0.00"")&amp;"" +/- ""&amp;TEXT(VALUE(REGEXEXTRACT(C66,""[0-9]*\.?[0-9]+$""))*100,""0.00"")"),"37.98 +/- 0.00")</f>
        <v>37.98 +/- 0.00</v>
      </c>
      <c r="L66" s="9" t="str">
        <f>IFERROR(__xludf.DUMMYFUNCTION("TEXT(VALUE(REGEXEXTRACT(D66,""^[+-]?[0-9]*\.?[0-9]+""))*100,""0.00"")&amp;"" +/- ""&amp;TEXT(VALUE(REGEXEXTRACT(D66,""[0-9]*\.?[0-9]+$""))*100,""0.00"")"),"48.90 +/- 0.00")</f>
        <v>48.90 +/- 0.00</v>
      </c>
      <c r="M66" s="10" t="str">
        <f>IFERROR(__xludf.DUMMYFUNCTION("TEXT(VALUE(REGEXEXTRACT(E66,""^[+-]?[0-9]*\.?[0-9]+""))*100,""0.00"")&amp;"" +/- ""&amp;TEXT(VALUE(REGEXEXTRACT(E66,""[0-9]*\.?[0-9]+$""))*100,""0.00"")"),"60.10 +/- 0.98")</f>
        <v>60.10 +/- 0.98</v>
      </c>
      <c r="N66" s="9" t="str">
        <f>IFERROR(__xludf.DUMMYFUNCTION("TEXT(VALUE(REGEXEXTRACT(F66,""^[+-]?[0-9]*\.?[0-9]+""))*100,""0.00"")&amp;"" +/- ""&amp;TEXT(VALUE(REGEXEXTRACT(F66,""[0-9]*\.?[0-9]+$""))*100,""0.00"")"),"58.61 +/- 0.81")</f>
        <v>58.61 +/- 0.81</v>
      </c>
      <c r="O66" s="9" t="str">
        <f>IFERROR(__xludf.DUMMYFUNCTION("TEXT(VALUE(REGEXEXTRACT(G66,""^[+-]?[0-9]*\.?[0-9]+""))*100,""0.00"")&amp;"" +/- ""&amp;TEXT(VALUE(REGEXEXTRACT(G66,""[0-9]*\.?[0-9]+$""))*100,""0.00"")"),"59.24 +/- 1.14")</f>
        <v>59.24 +/- 1.14</v>
      </c>
      <c r="P66" s="9" t="str">
        <f>IFERROR(__xludf.DUMMYFUNCTION("TEXT(VALUE(REGEXEXTRACT(H66,""^[+-]?[0-9]*\.?[0-9]+""))*100,""0.00"")&amp;"" +/- ""&amp;TEXT(VALUE(REGEXEXTRACT(H66,""[0-9]*\.?[0-9]+$""))*100,""0.00"")"),"56.62 +/- 0.53")</f>
        <v>56.62 +/- 0.53</v>
      </c>
    </row>
    <row r="67">
      <c r="A67" s="6" t="s">
        <v>1115</v>
      </c>
      <c r="B67" s="16" t="s">
        <v>3486</v>
      </c>
      <c r="C67" s="16" t="s">
        <v>3487</v>
      </c>
      <c r="D67" s="16" t="s">
        <v>3488</v>
      </c>
      <c r="E67" s="16" t="s">
        <v>3489</v>
      </c>
      <c r="F67" s="16" t="s">
        <v>3490</v>
      </c>
      <c r="G67" s="16" t="s">
        <v>3491</v>
      </c>
      <c r="H67" s="16" t="s">
        <v>3492</v>
      </c>
      <c r="I67" s="8" t="str">
        <f t="shared" si="4"/>
        <v>LC→JDT</v>
      </c>
      <c r="J67" s="10" t="str">
        <f>IFERROR(__xludf.DUMMYFUNCTION("TEXT(VALUE(REGEXEXTRACT(B67,""^[+-]?[0-9]*\.?[0-9]+""))*100,""0.00"")&amp;"" +/- ""&amp;TEXT(VALUE(REGEXEXTRACT(B67,""[0-9]*\.?[0-9]+$""))*100,""0.00"")"),"70.96 +/- 0.54")</f>
        <v>70.96 +/- 0.54</v>
      </c>
      <c r="K67" s="9" t="str">
        <f>IFERROR(__xludf.DUMMYFUNCTION("TEXT(VALUE(REGEXEXTRACT(C67,""^[+-]?[0-9]*\.?[0-9]+""))*100,""0.00"")&amp;"" +/- ""&amp;TEXT(VALUE(REGEXEXTRACT(C67,""[0-9]*\.?[0-9]+$""))*100,""0.00"")"),"54.74 +/- 0.00")</f>
        <v>54.74 +/- 0.00</v>
      </c>
      <c r="L67" s="9" t="str">
        <f>IFERROR(__xludf.DUMMYFUNCTION("TEXT(VALUE(REGEXEXTRACT(D67,""^[+-]?[0-9]*\.?[0-9]+""))*100,""0.00"")&amp;"" +/- ""&amp;TEXT(VALUE(REGEXEXTRACT(D67,""[0-9]*\.?[0-9]+$""))*100,""0.00"")"),"29.03 +/- 0.00")</f>
        <v>29.03 +/- 0.00</v>
      </c>
      <c r="M67" s="9" t="str">
        <f>IFERROR(__xludf.DUMMYFUNCTION("TEXT(VALUE(REGEXEXTRACT(E67,""^[+-]?[0-9]*\.?[0-9]+""))*100,""0.00"")&amp;"" +/- ""&amp;TEXT(VALUE(REGEXEXTRACT(E67,""[0-9]*\.?[0-9]+$""))*100,""0.00"")"),"70.32 +/- 0.63")</f>
        <v>70.32 +/- 0.63</v>
      </c>
      <c r="N67" s="9" t="str">
        <f>IFERROR(__xludf.DUMMYFUNCTION("TEXT(VALUE(REGEXEXTRACT(F67,""^[+-]?[0-9]*\.?[0-9]+""))*100,""0.00"")&amp;"" +/- ""&amp;TEXT(VALUE(REGEXEXTRACT(F67,""[0-9]*\.?[0-9]+$""))*100,""0.00"")"),"68.70 +/- 0.63")</f>
        <v>68.70 +/- 0.63</v>
      </c>
      <c r="O67" s="9" t="str">
        <f>IFERROR(__xludf.DUMMYFUNCTION("TEXT(VALUE(REGEXEXTRACT(G67,""^[+-]?[0-9]*\.?[0-9]+""))*100,""0.00"")&amp;"" +/- ""&amp;TEXT(VALUE(REGEXEXTRACT(G67,""[0-9]*\.?[0-9]+$""))*100,""0.00"")"),"70.47 +/- 0.67")</f>
        <v>70.47 +/- 0.67</v>
      </c>
      <c r="P67" s="9" t="str">
        <f>IFERROR(__xludf.DUMMYFUNCTION("TEXT(VALUE(REGEXEXTRACT(H67,""^[+-]?[0-9]*\.?[0-9]+""))*100,""0.00"")&amp;"" +/- ""&amp;TEXT(VALUE(REGEXEXTRACT(H67,""[0-9]*\.?[0-9]+$""))*100,""0.00"")"),"64.94 +/- 0.41")</f>
        <v>64.94 +/- 0.41</v>
      </c>
    </row>
    <row r="68">
      <c r="A68" s="6" t="s">
        <v>1125</v>
      </c>
      <c r="B68" s="16" t="s">
        <v>3500</v>
      </c>
      <c r="C68" s="16" t="s">
        <v>3501</v>
      </c>
      <c r="D68" s="16" t="s">
        <v>3502</v>
      </c>
      <c r="E68" s="16" t="s">
        <v>3503</v>
      </c>
      <c r="F68" s="16" t="s">
        <v>3504</v>
      </c>
      <c r="G68" s="16" t="s">
        <v>3505</v>
      </c>
      <c r="H68" s="16" t="s">
        <v>3506</v>
      </c>
      <c r="I68" s="8" t="str">
        <f t="shared" si="4"/>
        <v>LC→ML</v>
      </c>
      <c r="J68" s="9" t="str">
        <f>IFERROR(__xludf.DUMMYFUNCTION("TEXT(VALUE(REGEXEXTRACT(B68,""^[+-]?[0-9]*\.?[0-9]+""))*100,""0.00"")&amp;"" +/- ""&amp;TEXT(VALUE(REGEXEXTRACT(B68,""[0-9]*\.?[0-9]+$""))*100,""0.00"")"),"54.14 +/- 0.60")</f>
        <v>54.14 +/- 0.60</v>
      </c>
      <c r="K68" s="9" t="str">
        <f>IFERROR(__xludf.DUMMYFUNCTION("TEXT(VALUE(REGEXEXTRACT(C68,""^[+-]?[0-9]*\.?[0-9]+""))*100,""0.00"")&amp;"" +/- ""&amp;TEXT(VALUE(REGEXEXTRACT(C68,""[0-9]*\.?[0-9]+$""))*100,""0.00"")"),"41.77 +/- 0.00")</f>
        <v>41.77 +/- 0.00</v>
      </c>
      <c r="L68" s="9" t="str">
        <f>IFERROR(__xludf.DUMMYFUNCTION("TEXT(VALUE(REGEXEXTRACT(D68,""^[+-]?[0-9]*\.?[0-9]+""))*100,""0.00"")&amp;"" +/- ""&amp;TEXT(VALUE(REGEXEXTRACT(D68,""[0-9]*\.?[0-9]+$""))*100,""0.00"")"),"55.60 +/- 0.00")</f>
        <v>55.60 +/- 0.00</v>
      </c>
      <c r="M68" s="9" t="str">
        <f>IFERROR(__xludf.DUMMYFUNCTION("TEXT(VALUE(REGEXEXTRACT(E68,""^[+-]?[0-9]*\.?[0-9]+""))*100,""0.00"")&amp;"" +/- ""&amp;TEXT(VALUE(REGEXEXTRACT(E68,""[0-9]*\.?[0-9]+$""))*100,""0.00"")"),"53.96 +/- 1.02")</f>
        <v>53.96 +/- 1.02</v>
      </c>
      <c r="N68" s="9" t="str">
        <f>IFERROR(__xludf.DUMMYFUNCTION("TEXT(VALUE(REGEXEXTRACT(F68,""^[+-]?[0-9]*\.?[0-9]+""))*100,""0.00"")&amp;"" +/- ""&amp;TEXT(VALUE(REGEXEXTRACT(F68,""[0-9]*\.?[0-9]+$""))*100,""0.00"")"),"51.45 +/- 0.39")</f>
        <v>51.45 +/- 0.39</v>
      </c>
      <c r="O68" s="9" t="str">
        <f>IFERROR(__xludf.DUMMYFUNCTION("TEXT(VALUE(REGEXEXTRACT(G68,""^[+-]?[0-9]*\.?[0-9]+""))*100,""0.00"")&amp;"" +/- ""&amp;TEXT(VALUE(REGEXEXTRACT(G68,""[0-9]*\.?[0-9]+$""))*100,""0.00"")"),"54.23 +/- 1.08")</f>
        <v>54.23 +/- 1.08</v>
      </c>
      <c r="P68" s="10" t="str">
        <f>IFERROR(__xludf.DUMMYFUNCTION("TEXT(VALUE(REGEXEXTRACT(H68,""^[+-]?[0-9]*\.?[0-9]+""))*100,""0.00"")&amp;"" +/- ""&amp;TEXT(VALUE(REGEXEXTRACT(H68,""[0-9]*\.?[0-9]+$""))*100,""0.00"")"),"55.36 +/- 0.73")</f>
        <v>55.36 +/- 0.73</v>
      </c>
    </row>
    <row r="69">
      <c r="A69" s="6" t="s">
        <v>1136</v>
      </c>
      <c r="B69" s="16" t="s">
        <v>3507</v>
      </c>
      <c r="C69" s="16" t="s">
        <v>3468</v>
      </c>
      <c r="D69" s="16" t="s">
        <v>3508</v>
      </c>
      <c r="E69" s="16" t="s">
        <v>3509</v>
      </c>
      <c r="F69" s="16" t="s">
        <v>3510</v>
      </c>
      <c r="G69" s="16" t="s">
        <v>3511</v>
      </c>
      <c r="H69" s="16" t="s">
        <v>3512</v>
      </c>
      <c r="I69" s="8" t="str">
        <f t="shared" si="4"/>
        <v>LC→PDE</v>
      </c>
      <c r="J69" s="10" t="str">
        <f>IFERROR(__xludf.DUMMYFUNCTION("TEXT(VALUE(REGEXEXTRACT(B69,""^[+-]?[0-9]*\.?[0-9]+""))*100,""0.00"")&amp;"" +/- ""&amp;TEXT(VALUE(REGEXEXTRACT(B69,""[0-9]*\.?[0-9]+$""))*100,""0.00"")"),"60.08 +/- 0.28")</f>
        <v>60.08 +/- 0.28</v>
      </c>
      <c r="K69" s="9" t="str">
        <f>IFERROR(__xludf.DUMMYFUNCTION("TEXT(VALUE(REGEXEXTRACT(C69,""^[+-]?[0-9]*\.?[0-9]+""))*100,""0.00"")&amp;"" +/- ""&amp;TEXT(VALUE(REGEXEXTRACT(C69,""[0-9]*\.?[0-9]+$""))*100,""0.00"")"),"48.90 +/- 0.00")</f>
        <v>48.90 +/- 0.00</v>
      </c>
      <c r="L69" s="9" t="str">
        <f>IFERROR(__xludf.DUMMYFUNCTION("TEXT(VALUE(REGEXEXTRACT(D69,""^[+-]?[0-9]*\.?[0-9]+""))*100,""0.00"")&amp;"" +/- ""&amp;TEXT(VALUE(REGEXEXTRACT(D69,""[0-9]*\.?[0-9]+$""))*100,""0.00"")"),"58.90 +/- 0.00")</f>
        <v>58.90 +/- 0.00</v>
      </c>
      <c r="M69" s="9" t="str">
        <f>IFERROR(__xludf.DUMMYFUNCTION("TEXT(VALUE(REGEXEXTRACT(E69,""^[+-]?[0-9]*\.?[0-9]+""))*100,""0.00"")&amp;"" +/- ""&amp;TEXT(VALUE(REGEXEXTRACT(E69,""[0-9]*\.?[0-9]+$""))*100,""0.00"")"),"59.06 +/- 0.75")</f>
        <v>59.06 +/- 0.75</v>
      </c>
      <c r="N69" s="9" t="str">
        <f>IFERROR(__xludf.DUMMYFUNCTION("TEXT(VALUE(REGEXEXTRACT(F69,""^[+-]?[0-9]*\.?[0-9]+""))*100,""0.00"")&amp;"" +/- ""&amp;TEXT(VALUE(REGEXEXTRACT(F69,""[0-9]*\.?[0-9]+$""))*100,""0.00"")"),"57.74 +/- 0.48")</f>
        <v>57.74 +/- 0.48</v>
      </c>
      <c r="O69" s="9" t="str">
        <f>IFERROR(__xludf.DUMMYFUNCTION("TEXT(VALUE(REGEXEXTRACT(G69,""^[+-]?[0-9]*\.?[0-9]+""))*100,""0.00"")&amp;"" +/- ""&amp;TEXT(VALUE(REGEXEXTRACT(G69,""[0-9]*\.?[0-9]+$""))*100,""0.00"")"),"58.83 +/- 0.73")</f>
        <v>58.83 +/- 0.73</v>
      </c>
      <c r="P69" s="9" t="str">
        <f>IFERROR(__xludf.DUMMYFUNCTION("TEXT(VALUE(REGEXEXTRACT(H69,""^[+-]?[0-9]*\.?[0-9]+""))*100,""0.00"")&amp;"" +/- ""&amp;TEXT(VALUE(REGEXEXTRACT(H69,""[0-9]*\.?[0-9]+$""))*100,""0.00"")"),"59.34 +/- 0.34")</f>
        <v>59.34 +/- 0.34</v>
      </c>
    </row>
    <row r="70">
      <c r="A70" s="6" t="s">
        <v>1235</v>
      </c>
      <c r="B70" s="16" t="s">
        <v>3513</v>
      </c>
      <c r="C70" s="16" t="s">
        <v>3514</v>
      </c>
      <c r="D70" s="16" t="s">
        <v>3515</v>
      </c>
      <c r="E70" s="16" t="s">
        <v>3516</v>
      </c>
      <c r="F70" s="16" t="s">
        <v>3517</v>
      </c>
      <c r="G70" s="16" t="s">
        <v>3518</v>
      </c>
      <c r="H70" s="16" t="s">
        <v>3519</v>
      </c>
      <c r="I70" s="8" t="str">
        <f t="shared" si="4"/>
        <v>ML→EQ</v>
      </c>
      <c r="J70" s="9" t="str">
        <f>IFERROR(__xludf.DUMMYFUNCTION("TEXT(VALUE(REGEXEXTRACT(B70,""^[+-]?[0-9]*\.?[0-9]+""))*100,""0.00"")&amp;"" +/- ""&amp;TEXT(VALUE(REGEXEXTRACT(B70,""[0-9]*\.?[0-9]+$""))*100,""0.00"")"),"49.15 +/- 0.94")</f>
        <v>49.15 +/- 0.94</v>
      </c>
      <c r="K70" s="9" t="str">
        <f>IFERROR(__xludf.DUMMYFUNCTION("TEXT(VALUE(REGEXEXTRACT(C70,""^[+-]?[0-9]*\.?[0-9]+""))*100,""0.00"")&amp;"" +/- ""&amp;TEXT(VALUE(REGEXEXTRACT(C70,""[0-9]*\.?[0-9]+$""))*100,""0.00"")"),"30.26 +/- 0.00")</f>
        <v>30.26 +/- 0.00</v>
      </c>
      <c r="L70" s="9" t="str">
        <f>IFERROR(__xludf.DUMMYFUNCTION("TEXT(VALUE(REGEXEXTRACT(D70,""^[+-]?[0-9]*\.?[0-9]+""))*100,""0.00"")&amp;"" +/- ""&amp;TEXT(VALUE(REGEXEXTRACT(D70,""[0-9]*\.?[0-9]+$""))*100,""0.00"")"),"26.28 +/- 0.00")</f>
        <v>26.28 +/- 0.00</v>
      </c>
      <c r="M70" s="10" t="str">
        <f>IFERROR(__xludf.DUMMYFUNCTION("TEXT(VALUE(REGEXEXTRACT(E70,""^[+-]?[0-9]*\.?[0-9]+""))*100,""0.00"")&amp;"" +/- ""&amp;TEXT(VALUE(REGEXEXTRACT(E70,""[0-9]*\.?[0-9]+$""))*100,""0.00"")"),"56.26 +/- 1.26")</f>
        <v>56.26 +/- 1.26</v>
      </c>
      <c r="N70" s="9" t="str">
        <f>IFERROR(__xludf.DUMMYFUNCTION("TEXT(VALUE(REGEXEXTRACT(F70,""^[+-]?[0-9]*\.?[0-9]+""))*100,""0.00"")&amp;"" +/- ""&amp;TEXT(VALUE(REGEXEXTRACT(F70,""[0-9]*\.?[0-9]+$""))*100,""0.00"")"),"53.06 +/- 0.68")</f>
        <v>53.06 +/- 0.68</v>
      </c>
      <c r="O70" s="9" t="str">
        <f>IFERROR(__xludf.DUMMYFUNCTION("TEXT(VALUE(REGEXEXTRACT(G70,""^[+-]?[0-9]*\.?[0-9]+""))*100,""0.00"")&amp;"" +/- ""&amp;TEXT(VALUE(REGEXEXTRACT(G70,""[0-9]*\.?[0-9]+$""))*100,""0.00"")"),"54.05 +/- 1.12")</f>
        <v>54.05 +/- 1.12</v>
      </c>
      <c r="P70" s="9" t="str">
        <f>IFERROR(__xludf.DUMMYFUNCTION("TEXT(VALUE(REGEXEXTRACT(H70,""^[+-]?[0-9]*\.?[0-9]+""))*100,""0.00"")&amp;"" +/- ""&amp;TEXT(VALUE(REGEXEXTRACT(H70,""[0-9]*\.?[0-9]+$""))*100,""0.00"")"),"55.10 +/- 0.68")</f>
        <v>55.10 +/- 0.68</v>
      </c>
    </row>
    <row r="71">
      <c r="A71" s="6" t="s">
        <v>1243</v>
      </c>
      <c r="B71" s="16" t="s">
        <v>3520</v>
      </c>
      <c r="C71" s="16" t="s">
        <v>3521</v>
      </c>
      <c r="D71" s="16" t="s">
        <v>3522</v>
      </c>
      <c r="E71" s="16" t="s">
        <v>3523</v>
      </c>
      <c r="F71" s="16" t="s">
        <v>3524</v>
      </c>
      <c r="G71" s="16" t="s">
        <v>3526</v>
      </c>
      <c r="H71" s="16" t="s">
        <v>3527</v>
      </c>
      <c r="I71" s="8" t="str">
        <f t="shared" si="4"/>
        <v>ML→JDT</v>
      </c>
      <c r="J71" s="10" t="str">
        <f>IFERROR(__xludf.DUMMYFUNCTION("TEXT(VALUE(REGEXEXTRACT(B71,""^[+-]?[0-9]*\.?[0-9]+""))*100,""0.00"")&amp;"" +/- ""&amp;TEXT(VALUE(REGEXEXTRACT(B71,""[0-9]*\.?[0-9]+$""))*100,""0.00"")"),"61.59 +/- 0.54")</f>
        <v>61.59 +/- 0.54</v>
      </c>
      <c r="K71" s="9" t="str">
        <f>IFERROR(__xludf.DUMMYFUNCTION("TEXT(VALUE(REGEXEXTRACT(C71,""^[+-]?[0-9]*\.?[0-9]+""))*100,""0.00"")&amp;"" +/- ""&amp;TEXT(VALUE(REGEXEXTRACT(C71,""[0-9]*\.?[0-9]+$""))*100,""0.00"")"),"40.21 +/- 0.00")</f>
        <v>40.21 +/- 0.00</v>
      </c>
      <c r="L71" s="9" t="str">
        <f>IFERROR(__xludf.DUMMYFUNCTION("TEXT(VALUE(REGEXEXTRACT(D71,""^[+-]?[0-9]*\.?[0-9]+""))*100,""0.00"")&amp;"" +/- ""&amp;TEXT(VALUE(REGEXEXTRACT(D71,""[0-9]*\.?[0-9]+$""))*100,""0.00"")"),"46.99 +/- 0.00")</f>
        <v>46.99 +/- 0.00</v>
      </c>
      <c r="M71" s="9" t="str">
        <f>IFERROR(__xludf.DUMMYFUNCTION("TEXT(VALUE(REGEXEXTRACT(E71,""^[+-]?[0-9]*\.?[0-9]+""))*100,""0.00"")&amp;"" +/- ""&amp;TEXT(VALUE(REGEXEXTRACT(E71,""[0-9]*\.?[0-9]+$""))*100,""0.00"")"),"61.35 +/- 0.75")</f>
        <v>61.35 +/- 0.75</v>
      </c>
      <c r="N71" s="9" t="str">
        <f>IFERROR(__xludf.DUMMYFUNCTION("TEXT(VALUE(REGEXEXTRACT(F71,""^[+-]?[0-9]*\.?[0-9]+""))*100,""0.00"")&amp;"" +/- ""&amp;TEXT(VALUE(REGEXEXTRACT(F71,""[0-9]*\.?[0-9]+$""))*100,""0.00"")"),"58.22 +/- 0.68")</f>
        <v>58.22 +/- 0.68</v>
      </c>
      <c r="O71" s="9" t="str">
        <f>IFERROR(__xludf.DUMMYFUNCTION("TEXT(VALUE(REGEXEXTRACT(G71,""^[+-]?[0-9]*\.?[0-9]+""))*100,""0.00"")&amp;"" +/- ""&amp;TEXT(VALUE(REGEXEXTRACT(G71,""[0-9]*\.?[0-9]+$""))*100,""0.00"")"),"59.29 +/- 0.79")</f>
        <v>59.29 +/- 0.79</v>
      </c>
      <c r="P71" s="9" t="str">
        <f>IFERROR(__xludf.DUMMYFUNCTION("TEXT(VALUE(REGEXEXTRACT(H71,""^[+-]?[0-9]*\.?[0-9]+""))*100,""0.00"")&amp;"" +/- ""&amp;TEXT(VALUE(REGEXEXTRACT(H71,""[0-9]*\.?[0-9]+$""))*100,""0.00"")"),"55.20 +/- 0.91")</f>
        <v>55.20 +/- 0.91</v>
      </c>
    </row>
    <row r="72">
      <c r="A72" s="6" t="s">
        <v>1258</v>
      </c>
      <c r="B72" s="16" t="s">
        <v>3534</v>
      </c>
      <c r="C72" s="16" t="s">
        <v>3535</v>
      </c>
      <c r="D72" s="16" t="s">
        <v>3536</v>
      </c>
      <c r="E72" s="16" t="s">
        <v>3537</v>
      </c>
      <c r="F72" s="16" t="s">
        <v>3538</v>
      </c>
      <c r="G72" s="16" t="s">
        <v>3539</v>
      </c>
      <c r="H72" s="16" t="s">
        <v>3540</v>
      </c>
      <c r="I72" s="8" t="str">
        <f t="shared" si="4"/>
        <v>ML→LC</v>
      </c>
      <c r="J72" s="9" t="str">
        <f>IFERROR(__xludf.DUMMYFUNCTION("TEXT(VALUE(REGEXEXTRACT(B72,""^[+-]?[0-9]*\.?[0-9]+""))*100,""0.00"")&amp;"" +/- ""&amp;TEXT(VALUE(REGEXEXTRACT(B72,""[0-9]*\.?[0-9]+$""))*100,""0.00"")"),"60.42 +/- 0.94")</f>
        <v>60.42 +/- 0.94</v>
      </c>
      <c r="K72" s="9" t="str">
        <f>IFERROR(__xludf.DUMMYFUNCTION("TEXT(VALUE(REGEXEXTRACT(C72,""^[+-]?[0-9]*\.?[0-9]+""))*100,""0.00"")&amp;"" +/- ""&amp;TEXT(VALUE(REGEXEXTRACT(C72,""[0-9]*\.?[0-9]+$""))*100,""0.00"")"),"45.83 +/- 0.00")</f>
        <v>45.83 +/- 0.00</v>
      </c>
      <c r="L72" s="9" t="str">
        <f>IFERROR(__xludf.DUMMYFUNCTION("TEXT(VALUE(REGEXEXTRACT(D72,""^[+-]?[0-9]*\.?[0-9]+""))*100,""0.00"")&amp;"" +/- ""&amp;TEXT(VALUE(REGEXEXTRACT(D72,""[0-9]*\.?[0-9]+$""))*100,""0.00"")"),"44.27 +/- 0.00")</f>
        <v>44.27 +/- 0.00</v>
      </c>
      <c r="M72" s="10" t="str">
        <f>IFERROR(__xludf.DUMMYFUNCTION("TEXT(VALUE(REGEXEXTRACT(E72,""^[+-]?[0-9]*\.?[0-9]+""))*100,""0.00"")&amp;"" +/- ""&amp;TEXT(VALUE(REGEXEXTRACT(E72,""[0-9]*\.?[0-9]+$""))*100,""0.00"")"),"60.98 +/- 1.72")</f>
        <v>60.98 +/- 1.72</v>
      </c>
      <c r="N72" s="9" t="str">
        <f>IFERROR(__xludf.DUMMYFUNCTION("TEXT(VALUE(REGEXEXTRACT(F72,""^[+-]?[0-9]*\.?[0-9]+""))*100,""0.00"")&amp;"" +/- ""&amp;TEXT(VALUE(REGEXEXTRACT(F72,""[0-9]*\.?[0-9]+$""))*100,""0.00"")"),"60.86 +/- 0.65")</f>
        <v>60.86 +/- 0.65</v>
      </c>
      <c r="O72" s="9" t="str">
        <f>IFERROR(__xludf.DUMMYFUNCTION("TEXT(VALUE(REGEXEXTRACT(G72,""^[+-]?[0-9]*\.?[0-9]+""))*100,""0.00"")&amp;"" +/- ""&amp;TEXT(VALUE(REGEXEXTRACT(G72,""[0-9]*\.?[0-9]+$""))*100,""0.00"")"),"59.41 +/- 1.69")</f>
        <v>59.41 +/- 1.69</v>
      </c>
      <c r="P72" s="9" t="str">
        <f>IFERROR(__xludf.DUMMYFUNCTION("TEXT(VALUE(REGEXEXTRACT(H72,""^[+-]?[0-9]*\.?[0-9]+""))*100,""0.00"")&amp;"" +/- ""&amp;TEXT(VALUE(REGEXEXTRACT(H72,""[0-9]*\.?[0-9]+$""))*100,""0.00"")"),"53.65 +/- 1.45")</f>
        <v>53.65 +/- 1.45</v>
      </c>
    </row>
    <row r="73">
      <c r="A73" s="6" t="s">
        <v>1273</v>
      </c>
      <c r="B73" s="16" t="s">
        <v>3543</v>
      </c>
      <c r="C73" s="16" t="s">
        <v>3544</v>
      </c>
      <c r="D73" s="16" t="s">
        <v>3545</v>
      </c>
      <c r="E73" s="16" t="s">
        <v>3546</v>
      </c>
      <c r="F73" s="16" t="s">
        <v>3547</v>
      </c>
      <c r="G73" s="16" t="s">
        <v>3548</v>
      </c>
      <c r="H73" s="16" t="s">
        <v>3549</v>
      </c>
      <c r="I73" s="8" t="str">
        <f t="shared" si="4"/>
        <v>ML→PDE</v>
      </c>
      <c r="J73" s="10" t="str">
        <f>IFERROR(__xludf.DUMMYFUNCTION("TEXT(VALUE(REGEXEXTRACT(B73,""^[+-]?[0-9]*\.?[0-9]+""))*100,""0.00"")&amp;"" +/- ""&amp;TEXT(VALUE(REGEXEXTRACT(B73,""[0-9]*\.?[0-9]+$""))*100,""0.00"")"),"61.30 +/- 0.39")</f>
        <v>61.30 +/- 0.39</v>
      </c>
      <c r="K73" s="9" t="str">
        <f>IFERROR(__xludf.DUMMYFUNCTION("TEXT(VALUE(REGEXEXTRACT(C73,""^[+-]?[0-9]*\.?[0-9]+""))*100,""0.00"")&amp;"" +/- ""&amp;TEXT(VALUE(REGEXEXTRACT(C73,""[0-9]*\.?[0-9]+$""))*100,""0.00"")"),"40.18 +/- 0.00")</f>
        <v>40.18 +/- 0.00</v>
      </c>
      <c r="L73" s="9" t="str">
        <f>IFERROR(__xludf.DUMMYFUNCTION("TEXT(VALUE(REGEXEXTRACT(D73,""^[+-]?[0-9]*\.?[0-9]+""))*100,""0.00"")&amp;"" +/- ""&amp;TEXT(VALUE(REGEXEXTRACT(D73,""[0-9]*\.?[0-9]+$""))*100,""0.00"")"),"46.87 +/- 0.00")</f>
        <v>46.87 +/- 0.00</v>
      </c>
      <c r="M73" s="9" t="str">
        <f>IFERROR(__xludf.DUMMYFUNCTION("TEXT(VALUE(REGEXEXTRACT(E73,""^[+-]?[0-9]*\.?[0-9]+""))*100,""0.00"")&amp;"" +/- ""&amp;TEXT(VALUE(REGEXEXTRACT(E73,""[0-9]*\.?[0-9]+$""))*100,""0.00"")"),"60.31 +/- 0.86")</f>
        <v>60.31 +/- 0.86</v>
      </c>
      <c r="N73" s="9" t="str">
        <f>IFERROR(__xludf.DUMMYFUNCTION("TEXT(VALUE(REGEXEXTRACT(F73,""^[+-]?[0-9]*\.?[0-9]+""))*100,""0.00"")&amp;"" +/- ""&amp;TEXT(VALUE(REGEXEXTRACT(F73,""[0-9]*\.?[0-9]+$""))*100,""0.00"")"),"56.73 +/- 0.50")</f>
        <v>56.73 +/- 0.50</v>
      </c>
      <c r="O73" s="9" t="str">
        <f>IFERROR(__xludf.DUMMYFUNCTION("TEXT(VALUE(REGEXEXTRACT(G73,""^[+-]?[0-9]*\.?[0-9]+""))*100,""0.00"")&amp;"" +/- ""&amp;TEXT(VALUE(REGEXEXTRACT(G73,""[0-9]*\.?[0-9]+$""))*100,""0.00"")"),"58.29 +/- 0.68")</f>
        <v>58.29 +/- 0.68</v>
      </c>
      <c r="P73" s="9" t="str">
        <f>IFERROR(__xludf.DUMMYFUNCTION("TEXT(VALUE(REGEXEXTRACT(H73,""^[+-]?[0-9]*\.?[0-9]+""))*100,""0.00"")&amp;"" +/- ""&amp;TEXT(VALUE(REGEXEXTRACT(H73,""[0-9]*\.?[0-9]+$""))*100,""0.00"")"),"58.27 +/- 0.42")</f>
        <v>58.27 +/- 0.42</v>
      </c>
    </row>
    <row r="74">
      <c r="A74" s="6" t="s">
        <v>1288</v>
      </c>
      <c r="B74" s="16" t="s">
        <v>3550</v>
      </c>
      <c r="C74" s="16" t="s">
        <v>3551</v>
      </c>
      <c r="D74" s="16" t="s">
        <v>3552</v>
      </c>
      <c r="E74" s="16" t="s">
        <v>3553</v>
      </c>
      <c r="F74" s="16" t="s">
        <v>3554</v>
      </c>
      <c r="G74" s="16" t="s">
        <v>3556</v>
      </c>
      <c r="H74" s="16" t="s">
        <v>3557</v>
      </c>
      <c r="I74" s="8" t="str">
        <f t="shared" si="4"/>
        <v>PDE→EQ</v>
      </c>
      <c r="J74" s="9" t="str">
        <f>IFERROR(__xludf.DUMMYFUNCTION("TEXT(VALUE(REGEXEXTRACT(B74,""^[+-]?[0-9]*\.?[0-9]+""))*100,""0.00"")&amp;"" +/- ""&amp;TEXT(VALUE(REGEXEXTRACT(B74,""[0-9]*\.?[0-9]+$""))*100,""0.00"")"),"53.02 +/- 0.65")</f>
        <v>53.02 +/- 0.65</v>
      </c>
      <c r="K74" s="9" t="str">
        <f>IFERROR(__xludf.DUMMYFUNCTION("TEXT(VALUE(REGEXEXTRACT(C74,""^[+-]?[0-9]*\.?[0-9]+""))*100,""0.00"")&amp;"" +/- ""&amp;TEXT(VALUE(REGEXEXTRACT(C74,""[0-9]*\.?[0-9]+$""))*100,""0.00"")"),"38.66 +/- 0.00")</f>
        <v>38.66 +/- 0.00</v>
      </c>
      <c r="L74" s="9" t="str">
        <f>IFERROR(__xludf.DUMMYFUNCTION("TEXT(VALUE(REGEXEXTRACT(D74,""^[+-]?[0-9]*\.?[0-9]+""))*100,""0.00"")&amp;"" +/- ""&amp;TEXT(VALUE(REGEXEXTRACT(D74,""[0-9]*\.?[0-9]+$""))*100,""0.00"")"),"39.07 +/- 0.00")</f>
        <v>39.07 +/- 0.00</v>
      </c>
      <c r="M74" s="9" t="str">
        <f>IFERROR(__xludf.DUMMYFUNCTION("TEXT(VALUE(REGEXEXTRACT(E74,""^[+-]?[0-9]*\.?[0-9]+""))*100,""0.00"")&amp;"" +/- ""&amp;TEXT(VALUE(REGEXEXTRACT(E74,""[0-9]*\.?[0-9]+$""))*100,""0.00"")"),"60.48 +/- 1.56")</f>
        <v>60.48 +/- 1.56</v>
      </c>
      <c r="N74" s="9" t="str">
        <f>IFERROR(__xludf.DUMMYFUNCTION("TEXT(VALUE(REGEXEXTRACT(F74,""^[+-]?[0-9]*\.?[0-9]+""))*100,""0.00"")&amp;"" +/- ""&amp;TEXT(VALUE(REGEXEXTRACT(F74,""[0-9]*\.?[0-9]+$""))*100,""0.00"")"),"58.84 +/- 0.98")</f>
        <v>58.84 +/- 0.98</v>
      </c>
      <c r="O74" s="9" t="str">
        <f>IFERROR(__xludf.DUMMYFUNCTION("TEXT(VALUE(REGEXEXTRACT(G74,""^[+-]?[0-9]*\.?[0-9]+""))*100,""0.00"")&amp;"" +/- ""&amp;TEXT(VALUE(REGEXEXTRACT(G74,""[0-9]*\.?[0-9]+$""))*100,""0.00"")"),"59.21 +/- 1.05")</f>
        <v>59.21 +/- 1.05</v>
      </c>
      <c r="P74" s="10" t="str">
        <f>IFERROR(__xludf.DUMMYFUNCTION("TEXT(VALUE(REGEXEXTRACT(H74,""^[+-]?[0-9]*\.?[0-9]+""))*100,""0.00"")&amp;"" +/- ""&amp;TEXT(VALUE(REGEXEXTRACT(H74,""[0-9]*\.?[0-9]+$""))*100,""0.00"")"),"59.17 +/- 0.67")</f>
        <v>59.17 +/- 0.67</v>
      </c>
    </row>
    <row r="75">
      <c r="A75" s="6" t="s">
        <v>1303</v>
      </c>
      <c r="B75" s="16" t="s">
        <v>3559</v>
      </c>
      <c r="C75" s="16" t="s">
        <v>3560</v>
      </c>
      <c r="D75" s="16" t="s">
        <v>3561</v>
      </c>
      <c r="E75" s="16" t="s">
        <v>3562</v>
      </c>
      <c r="F75" s="16" t="s">
        <v>3563</v>
      </c>
      <c r="G75" s="16" t="s">
        <v>3564</v>
      </c>
      <c r="H75" s="16" t="s">
        <v>3565</v>
      </c>
      <c r="I75" s="8" t="str">
        <f t="shared" si="4"/>
        <v>PDE→JDT</v>
      </c>
      <c r="J75" s="9" t="str">
        <f>IFERROR(__xludf.DUMMYFUNCTION("TEXT(VALUE(REGEXEXTRACT(B75,""^[+-]?[0-9]*\.?[0-9]+""))*100,""0.00"")&amp;"" +/- ""&amp;TEXT(VALUE(REGEXEXTRACT(B75,""[0-9]*\.?[0-9]+$""))*100,""0.00"")"),"69.39 +/- 0.60")</f>
        <v>69.39 +/- 0.60</v>
      </c>
      <c r="K75" s="9" t="str">
        <f>IFERROR(__xludf.DUMMYFUNCTION("TEXT(VALUE(REGEXEXTRACT(C75,""^[+-]?[0-9]*\.?[0-9]+""))*100,""0.00"")&amp;"" +/- ""&amp;TEXT(VALUE(REGEXEXTRACT(C75,""[0-9]*\.?[0-9]+$""))*100,""0.00"")"),"46.86 +/- 0.00")</f>
        <v>46.86 +/- 0.00</v>
      </c>
      <c r="L75" s="9" t="str">
        <f>IFERROR(__xludf.DUMMYFUNCTION("TEXT(VALUE(REGEXEXTRACT(D75,""^[+-]?[0-9]*\.?[0-9]+""))*100,""0.00"")&amp;"" +/- ""&amp;TEXT(VALUE(REGEXEXTRACT(D75,""[0-9]*\.?[0-9]+$""))*100,""0.00"")"),"55.24 +/- 0.00")</f>
        <v>55.24 +/- 0.00</v>
      </c>
      <c r="M75" s="9" t="str">
        <f>IFERROR(__xludf.DUMMYFUNCTION("TEXT(VALUE(REGEXEXTRACT(E75,""^[+-]?[0-9]*\.?[0-9]+""))*100,""0.00"")&amp;"" +/- ""&amp;TEXT(VALUE(REGEXEXTRACT(E75,""[0-9]*\.?[0-9]+$""))*100,""0.00"")"),"69.20 +/- 1.63")</f>
        <v>69.20 +/- 1.63</v>
      </c>
      <c r="N75" s="9" t="str">
        <f>IFERROR(__xludf.DUMMYFUNCTION("TEXT(VALUE(REGEXEXTRACT(F75,""^[+-]?[0-9]*\.?[0-9]+""))*100,""0.00"")&amp;"" +/- ""&amp;TEXT(VALUE(REGEXEXTRACT(F75,""[0-9]*\.?[0-9]+$""))*100,""0.00"")"),"68.64 +/- 0.65")</f>
        <v>68.64 +/- 0.65</v>
      </c>
      <c r="O75" s="10" t="str">
        <f>IFERROR(__xludf.DUMMYFUNCTION("TEXT(VALUE(REGEXEXTRACT(G75,""^[+-]?[0-9]*\.?[0-9]+""))*100,""0.00"")&amp;"" +/- ""&amp;TEXT(VALUE(REGEXEXTRACT(G75,""[0-9]*\.?[0-9]+$""))*100,""0.00"")"),"69.80 +/- 0.89")</f>
        <v>69.80 +/- 0.89</v>
      </c>
      <c r="P75" s="9" t="str">
        <f>IFERROR(__xludf.DUMMYFUNCTION("TEXT(VALUE(REGEXEXTRACT(H75,""^[+-]?[0-9]*\.?[0-9]+""))*100,""0.00"")&amp;"" +/- ""&amp;TEXT(VALUE(REGEXEXTRACT(H75,""[0-9]*\.?[0-9]+$""))*100,""0.00"")"),"62.07 +/- 1.01")</f>
        <v>62.07 +/- 1.01</v>
      </c>
    </row>
    <row r="76">
      <c r="A76" s="6" t="s">
        <v>1311</v>
      </c>
      <c r="B76" s="16" t="s">
        <v>3572</v>
      </c>
      <c r="C76" s="16" t="s">
        <v>3573</v>
      </c>
      <c r="D76" s="16" t="s">
        <v>3574</v>
      </c>
      <c r="E76" s="16" t="s">
        <v>3575</v>
      </c>
      <c r="F76" s="16" t="s">
        <v>3576</v>
      </c>
      <c r="G76" s="16" t="s">
        <v>3577</v>
      </c>
      <c r="H76" s="16" t="s">
        <v>3578</v>
      </c>
      <c r="I76" s="8" t="str">
        <f t="shared" si="4"/>
        <v>PDE→LC</v>
      </c>
      <c r="J76" s="9" t="str">
        <f>IFERROR(__xludf.DUMMYFUNCTION("TEXT(VALUE(REGEXEXTRACT(B76,""^[+-]?[0-9]*\.?[0-9]+""))*100,""0.00"")&amp;"" +/- ""&amp;TEXT(VALUE(REGEXEXTRACT(B76,""[0-9]*\.?[0-9]+$""))*100,""0.00"")"),"66.66 +/- 1.33")</f>
        <v>66.66 +/- 1.33</v>
      </c>
      <c r="K76" s="9" t="str">
        <f>IFERROR(__xludf.DUMMYFUNCTION("TEXT(VALUE(REGEXEXTRACT(C76,""^[+-]?[0-9]*\.?[0-9]+""))*100,""0.00"")&amp;"" +/- ""&amp;TEXT(VALUE(REGEXEXTRACT(C76,""[0-9]*\.?[0-9]+$""))*100,""0.00"")"),"52.31 +/- 0.00")</f>
        <v>52.31 +/- 0.00</v>
      </c>
      <c r="L76" s="9" t="str">
        <f>IFERROR(__xludf.DUMMYFUNCTION("TEXT(VALUE(REGEXEXTRACT(D76,""^[+-]?[0-9]*\.?[0-9]+""))*100,""0.00"")&amp;"" +/- ""&amp;TEXT(VALUE(REGEXEXTRACT(D76,""[0-9]*\.?[0-9]+$""))*100,""0.00"")"),"60.88 +/- 0.00")</f>
        <v>60.88 +/- 0.00</v>
      </c>
      <c r="M76" s="9" t="str">
        <f>IFERROR(__xludf.DUMMYFUNCTION("TEXT(VALUE(REGEXEXTRACT(E76,""^[+-]?[0-9]*\.?[0-9]+""))*100,""0.00"")&amp;"" +/- ""&amp;TEXT(VALUE(REGEXEXTRACT(E76,""[0-9]*\.?[0-9]+$""))*100,""0.00"")"),"66.13 +/- 1.53")</f>
        <v>66.13 +/- 1.53</v>
      </c>
      <c r="N76" s="10" t="str">
        <f>IFERROR(__xludf.DUMMYFUNCTION("TEXT(VALUE(REGEXEXTRACT(F76,""^[+-]?[0-9]*\.?[0-9]+""))*100,""0.00"")&amp;"" +/- ""&amp;TEXT(VALUE(REGEXEXTRACT(F76,""[0-9]*\.?[0-9]+$""))*100,""0.00"")"),"66.09 +/- 0.96")</f>
        <v>66.09 +/- 0.96</v>
      </c>
      <c r="O76" s="9" t="str">
        <f>IFERROR(__xludf.DUMMYFUNCTION("TEXT(VALUE(REGEXEXTRACT(G76,""^[+-]?[0-9]*\.?[0-9]+""))*100,""0.00"")&amp;"" +/- ""&amp;TEXT(VALUE(REGEXEXTRACT(G76,""[0-9]*\.?[0-9]+$""))*100,""0.00"")"),"66.50 +/- 1.27")</f>
        <v>66.50 +/- 1.27</v>
      </c>
      <c r="P76" s="9" t="str">
        <f>IFERROR(__xludf.DUMMYFUNCTION("TEXT(VALUE(REGEXEXTRACT(H76,""^[+-]?[0-9]*\.?[0-9]+""))*100,""0.00"")&amp;"" +/- ""&amp;TEXT(VALUE(REGEXEXTRACT(H76,""[0-9]*\.?[0-9]+$""))*100,""0.00"")"),"52.66 +/- 1.72")</f>
        <v>52.66 +/- 1.72</v>
      </c>
    </row>
    <row r="77">
      <c r="A77" s="6" t="s">
        <v>1319</v>
      </c>
      <c r="B77" s="16" t="s">
        <v>3586</v>
      </c>
      <c r="C77" s="16" t="s">
        <v>3587</v>
      </c>
      <c r="D77" s="16" t="s">
        <v>3588</v>
      </c>
      <c r="E77" s="16" t="s">
        <v>3589</v>
      </c>
      <c r="F77" s="16" t="s">
        <v>3590</v>
      </c>
      <c r="G77" s="16" t="s">
        <v>3591</v>
      </c>
      <c r="H77" s="16" t="s">
        <v>3592</v>
      </c>
      <c r="I77" s="8" t="str">
        <f t="shared" si="4"/>
        <v>PDE→ML</v>
      </c>
      <c r="J77" s="9" t="str">
        <f>IFERROR(__xludf.DUMMYFUNCTION("TEXT(VALUE(REGEXEXTRACT(B77,""^[+-]?[0-9]*\.?[0-9]+""))*100,""0.00"")&amp;"" +/- ""&amp;TEXT(VALUE(REGEXEXTRACT(B77,""[0-9]*\.?[0-9]+$""))*100,""0.00"")"),"57.04 +/- 0.61")</f>
        <v>57.04 +/- 0.61</v>
      </c>
      <c r="K77" s="9" t="str">
        <f>IFERROR(__xludf.DUMMYFUNCTION("TEXT(VALUE(REGEXEXTRACT(C77,""^[+-]?[0-9]*\.?[0-9]+""))*100,""0.00"")&amp;"" +/- ""&amp;TEXT(VALUE(REGEXEXTRACT(C77,""[0-9]*\.?[0-9]+$""))*100,""0.00"")"),"39.96 +/- 0.00")</f>
        <v>39.96 +/- 0.00</v>
      </c>
      <c r="L77" s="9" t="str">
        <f>IFERROR(__xludf.DUMMYFUNCTION("TEXT(VALUE(REGEXEXTRACT(D77,""^[+-]?[0-9]*\.?[0-9]+""))*100,""0.00"")&amp;"" +/- ""&amp;TEXT(VALUE(REGEXEXTRACT(D77,""[0-9]*\.?[0-9]+$""))*100,""0.00"")"),"37.99 +/- 0.00")</f>
        <v>37.99 +/- 0.00</v>
      </c>
      <c r="M77" s="10" t="str">
        <f>IFERROR(__xludf.DUMMYFUNCTION("TEXT(VALUE(REGEXEXTRACT(E77,""^[+-]?[0-9]*\.?[0-9]+""))*100,""0.00"")&amp;"" +/- ""&amp;TEXT(VALUE(REGEXEXTRACT(E77,""[0-9]*\.?[0-9]+$""))*100,""0.00"")"),"56.52 +/- 0.80")</f>
        <v>56.52 +/- 0.80</v>
      </c>
      <c r="N77" s="9" t="str">
        <f>IFERROR(__xludf.DUMMYFUNCTION("TEXT(VALUE(REGEXEXTRACT(F77,""^[+-]?[0-9]*\.?[0-9]+""))*100,""0.00"")&amp;"" +/- ""&amp;TEXT(VALUE(REGEXEXTRACT(F77,""[0-9]*\.?[0-9]+$""))*100,""0.00"")"),"56.27 +/- 0.77")</f>
        <v>56.27 +/- 0.77</v>
      </c>
      <c r="O77" s="9" t="str">
        <f>IFERROR(__xludf.DUMMYFUNCTION("TEXT(VALUE(REGEXEXTRACT(G77,""^[+-]?[0-9]*\.?[0-9]+""))*100,""0.00"")&amp;"" +/- ""&amp;TEXT(VALUE(REGEXEXTRACT(G77,""[0-9]*\.?[0-9]+$""))*100,""0.00"")"),"57.06 +/- 0.63")</f>
        <v>57.06 +/- 0.63</v>
      </c>
      <c r="P77" s="9" t="str">
        <f>IFERROR(__xludf.DUMMYFUNCTION("TEXT(VALUE(REGEXEXTRACT(H77,""^[+-]?[0-9]*\.?[0-9]+""))*100,""0.00"")&amp;"" +/- ""&amp;TEXT(VALUE(REGEXEXTRACT(H77,""[0-9]*\.?[0-9]+$""))*100,""0.00"")"),"51.48 +/- 0.48")</f>
        <v>51.48 +/- 0.48</v>
      </c>
    </row>
    <row r="78">
      <c r="A78" s="6" t="s">
        <v>371</v>
      </c>
      <c r="B78" s="14"/>
      <c r="C78" s="21" t="s">
        <v>400</v>
      </c>
      <c r="D78" s="21" t="s">
        <v>990</v>
      </c>
      <c r="E78" s="21" t="s">
        <v>392</v>
      </c>
      <c r="F78" s="21" t="s">
        <v>392</v>
      </c>
      <c r="G78" s="21" t="s">
        <v>992</v>
      </c>
      <c r="H78" s="21" t="s">
        <v>1096</v>
      </c>
      <c r="I78" s="8" t="str">
        <f t="shared" si="4"/>
        <v>W/T/L</v>
      </c>
      <c r="K78" s="20" t="str">
        <f>IFERROR(__xludf.DUMMYFUNCTION("SUM(ARRAYFORMULA(IFERROR(
  (VALUE(REGEXEXTRACT($J$58:$J$77,""^[+-]?[0-9]*\.?[0-9]+""))&gt;
   VALUE(REGEXEXTRACT(K$58:K$77,""^[+-]?[0-9]*\.?[0-9]+"")))*1,0)))
&amp;""/""&amp;
SUM(ARRAYFORMULA(IFERROR(
  (VALUE(REGEXEXTRACT($J$58:$J$77,""^[+-]?[0-9]*\.?[0-9]+""))=
 "&amp;"  VALUE(REGEXEXTRACT(K$58:K$77,""^[+-]?[0-9]*\.?[0-9]+"")))*1,0)))
&amp;""/""&amp;
SUM(ARRAYFORMULA(IFERROR(
  (VALUE(REGEXEXTRACT($J$58:$J$77,""^[+-]?[0-9]*\.?[0-9]+""))&lt;
   VALUE(REGEXEXTRACT(K$58:K$77,""^[+-]?[0-9]*\.?[0-9]+"")))*1,0)))"),"19/0/1")</f>
        <v>19/0/1</v>
      </c>
      <c r="L78" s="20" t="str">
        <f>IFERROR(__xludf.DUMMYFUNCTION("SUM(ARRAYFORMULA(IFERROR(
  (VALUE(REGEXEXTRACT($J$58:$J$77,""^[+-]?[0-9]*\.?[0-9]+""))&gt;
   VALUE(REGEXEXTRACT(L$58:L$77,""^[+-]?[0-9]*\.?[0-9]+"")))*1,0)))
&amp;""/""&amp;
SUM(ARRAYFORMULA(IFERROR(
  (VALUE(REGEXEXTRACT($J$58:$J$77,""^[+-]?[0-9]*\.?[0-9]+""))=
 "&amp;"  VALUE(REGEXEXTRACT(L$58:L$77,""^[+-]?[0-9]*\.?[0-9]+"")))*1,0)))
&amp;""/""&amp;
SUM(ARRAYFORMULA(IFERROR(
  (VALUE(REGEXEXTRACT($J$58:$J$77,""^[+-]?[0-9]*\.?[0-9]+""))&lt;
   VALUE(REGEXEXTRACT(L$58:L$77,""^[+-]?[0-9]*\.?[0-9]+"")))*1,0)))"),"17/0/3")</f>
        <v>17/0/3</v>
      </c>
      <c r="M78" s="20" t="str">
        <f>IFERROR(__xludf.DUMMYFUNCTION("SUM(ARRAYFORMULA(IFERROR(
  (VALUE(REGEXEXTRACT($J$58:$J$77,""^[+-]?[0-9]*\.?[0-9]+""))&gt;
   VALUE(REGEXEXTRACT(M$58:M$77,""^[+-]?[0-9]*\.?[0-9]+"")))*1,0)))
&amp;""/""&amp;
SUM(ARRAYFORMULA(IFERROR(
  (VALUE(REGEXEXTRACT($J$58:$J$77,""^[+-]?[0-9]*\.?[0-9]+""))=
 "&amp;"  VALUE(REGEXEXTRACT(M$58:M$77,""^[+-]?[0-9]*\.?[0-9]+"")))*1,0)))
&amp;""/""&amp;
SUM(ARRAYFORMULA(IFERROR(
  (VALUE(REGEXEXTRACT($J$58:$J$77,""^[+-]?[0-9]*\.?[0-9]+""))&lt;
   VALUE(REGEXEXTRACT(M$58:M$77,""^[+-]?[0-9]*\.?[0-9]+"")))*1,0)))"),"14/0/6")</f>
        <v>14/0/6</v>
      </c>
      <c r="N78" s="20" t="str">
        <f>IFERROR(__xludf.DUMMYFUNCTION("SUM(ARRAYFORMULA(IFERROR(
  (VALUE(REGEXEXTRACT($J$58:$J$77,""^[+-]?[0-9]*\.?[0-9]+""))&gt;
   VALUE(REGEXEXTRACT(N$58:N$77,""^[+-]?[0-9]*\.?[0-9]+"")))*1,0)))
&amp;""/""&amp;
SUM(ARRAYFORMULA(IFERROR(
  (VALUE(REGEXEXTRACT($J$58:$J$77,""^[+-]?[0-9]*\.?[0-9]+""))=
 "&amp;"  VALUE(REGEXEXTRACT(N$58:N$77,""^[+-]?[0-9]*\.?[0-9]+"")))*1,0)))
&amp;""/""&amp;
SUM(ARRAYFORMULA(IFERROR(
  (VALUE(REGEXEXTRACT($J$58:$J$77,""^[+-]?[0-9]*\.?[0-9]+""))&lt;
   VALUE(REGEXEXTRACT(N$58:N$77,""^[+-]?[0-9]*\.?[0-9]+"")))*1,0)))"),"14/0/6")</f>
        <v>14/0/6</v>
      </c>
      <c r="O78" s="20" t="str">
        <f>IFERROR(__xludf.DUMMYFUNCTION("SUM(ARRAYFORMULA(IFERROR(
  (VALUE(REGEXEXTRACT($J$58:$J$77,""^[+-]?[0-9]*\.?[0-9]+""))&gt;
   VALUE(REGEXEXTRACT(O$58:O$77,""^[+-]?[0-9]*\.?[0-9]+"")))*1,0)))
&amp;""/""&amp;
SUM(ARRAYFORMULA(IFERROR(
  (VALUE(REGEXEXTRACT($J$58:$J$77,""^[+-]?[0-9]*\.?[0-9]+""))=
 "&amp;"  VALUE(REGEXEXTRACT(O$58:O$77,""^[+-]?[0-9]*\.?[0-9]+"")))*1,0)))
&amp;""/""&amp;
SUM(ARRAYFORMULA(IFERROR(
  (VALUE(REGEXEXTRACT($J$58:$J$77,""^[+-]?[0-9]*\.?[0-9]+""))&lt;
   VALUE(REGEXEXTRACT(O$58:O$77,""^[+-]?[0-9]*\.?[0-9]+"")))*1,0)))"),"12/0/8")</f>
        <v>12/0/8</v>
      </c>
      <c r="P78" s="20" t="str">
        <f>IFERROR(__xludf.DUMMYFUNCTION("SUM(ARRAYFORMULA(IFERROR(
  (VALUE(REGEXEXTRACT($J$58:$J$77,""^[+-]?[0-9]*\.?[0-9]+""))&gt;
   VALUE(REGEXEXTRACT(P$58:P$77,""^[+-]?[0-9]*\.?[0-9]+"")))*1,0)))
&amp;""/""&amp;
SUM(ARRAYFORMULA(IFERROR(
  (VALUE(REGEXEXTRACT($J$58:$J$77,""^[+-]?[0-9]*\.?[0-9]+""))=
 "&amp;"  VALUE(REGEXEXTRACT(P$58:P$77,""^[+-]?[0-9]*\.?[0-9]+"")))*1,0)))
&amp;""/""&amp;
SUM(ARRAYFORMULA(IFERROR(
  (VALUE(REGEXEXTRACT($J$58:$J$77,""^[+-]?[0-9]*\.?[0-9]+""))&lt;
   VALUE(REGEXEXTRACT(P$58:P$77,""^[+-]?[0-9]*\.?[0-9]+"")))*1,0)))"),"15/0/5")</f>
        <v>15/0/5</v>
      </c>
    </row>
    <row r="79">
      <c r="A79" s="6" t="s">
        <v>489</v>
      </c>
      <c r="B79" s="14" t="s">
        <v>3607</v>
      </c>
      <c r="C79" s="14" t="s">
        <v>3608</v>
      </c>
      <c r="D79" s="14" t="s">
        <v>3609</v>
      </c>
      <c r="E79" s="14" t="s">
        <v>3610</v>
      </c>
      <c r="F79" s="14" t="s">
        <v>3611</v>
      </c>
      <c r="G79" s="14" t="s">
        <v>3612</v>
      </c>
      <c r="H79" s="14" t="s">
        <v>3613</v>
      </c>
      <c r="I79" s="8" t="str">
        <f t="shared" si="4"/>
        <v>Average (%)</v>
      </c>
      <c r="J79" s="14">
        <f>IFERROR(__xludf.DUMMYFUNCTION("ROUND(AVERAGE(ARRAYFORMULA(IFERROR(VALUE(REGEXEXTRACT(J$58:J$77,""^[+-]?[0-9]*\.?[0-9]+"")),""""))),2)"),61.01)</f>
        <v>61.01</v>
      </c>
      <c r="K79" s="14">
        <f>IFERROR(__xludf.DUMMYFUNCTION("ROUND(AVERAGE(ARRAYFORMULA(IFERROR(VALUE(REGEXEXTRACT(K$58:K$77,""^[+-]?[0-9]*\.?[0-9]+"")),""""))),2)"),49.57)</f>
        <v>49.57</v>
      </c>
      <c r="L79" s="14">
        <f>IFERROR(__xludf.DUMMYFUNCTION("ROUND(AVERAGE(ARRAYFORMULA(IFERROR(VALUE(REGEXEXTRACT(L$58:L$77,""^[+-]?[0-9]*\.?[0-9]+"")),""""))),2)"),48.17)</f>
        <v>48.17</v>
      </c>
      <c r="M79" s="14">
        <f>IFERROR(__xludf.DUMMYFUNCTION("ROUND(AVERAGE(ARRAYFORMULA(IFERROR(VALUE(REGEXEXTRACT(M$58:M$77,""^[+-]?[0-9]*\.?[0-9]+"")),""""))),2)"),61.17)</f>
        <v>61.17</v>
      </c>
      <c r="N79" s="14">
        <f>IFERROR(__xludf.DUMMYFUNCTION("ROUND(AVERAGE(ARRAYFORMULA(IFERROR(VALUE(REGEXEXTRACT(N$58:N$77,""^[+-]?[0-9]*\.?[0-9]+"")),""""))),2)"),59.97)</f>
        <v>59.97</v>
      </c>
      <c r="O79" s="14">
        <f>IFERROR(__xludf.DUMMYFUNCTION("ROUND(AVERAGE(ARRAYFORMULA(IFERROR(VALUE(REGEXEXTRACT(O$58:O$77,""^[+-]?[0-9]*\.?[0-9]+"")),""""))),2)"),60.9)</f>
        <v>60.9</v>
      </c>
      <c r="P79" s="14">
        <f>IFERROR(__xludf.DUMMYFUNCTION("ROUND(AVERAGE(ARRAYFORMULA(IFERROR(VALUE(REGEXEXTRACT(P$58:P$77,""^[+-]?[0-9]*\.?[0-9]+"")),""""))),2)"),58.02)</f>
        <v>58.02</v>
      </c>
    </row>
    <row r="80">
      <c r="A80" s="6" t="s">
        <v>1334</v>
      </c>
      <c r="B80" s="14"/>
      <c r="C80" s="34" t="s">
        <v>1337</v>
      </c>
      <c r="D80" s="34" t="s">
        <v>3614</v>
      </c>
      <c r="E80" s="34" t="s">
        <v>3615</v>
      </c>
      <c r="F80" s="34" t="s">
        <v>2369</v>
      </c>
      <c r="G80" s="34" t="s">
        <v>2369</v>
      </c>
      <c r="H80" s="34" t="s">
        <v>3616</v>
      </c>
      <c r="I80" s="8" t="str">
        <f t="shared" si="4"/>
        <v>Overall W/T/L</v>
      </c>
      <c r="K80" s="34" t="str">
        <f>IFERROR(__xludf.DUMMYFUNCTION("SUM(ARRAYFORMULA(IFERROR(REGEXMATCH($A$3:$A$77,""→"")*(VALUE(REGEXEXTRACT($J$3:$J$77,""^[+-]?[0-9]*\.?[0-9]+""))&gt;VALUE(REGEXEXTRACT(K$3:K$77,""^[+-]?[0-9]*\.?[0-9]+""))),0)))
&amp;""/""&amp;
SUM(ARRAYFORMULA(IFERROR(REGEXMATCH($A$3:$A$77,""→"")*(VALUE(REGEXEXTRAC"&amp;"T($J$3:$J$77,""^[+-]?[0-9]*\.?[0-9]+""))=VALUE(REGEXEXTRACT(K$3:K$77,""^[+-]?[0-9]*\.?[0-9]+""))),0)))
&amp;""/""&amp;
SUM(ARRAYFORMULA(IFERROR(REGEXMATCH($A$3:$A$77,""→"")*(VALUE(REGEXEXTRACT($J$3:$J$77,""^[+-]?[0-9]*\.?[0-9]+""))&lt;VALUE(REGEXEXTRACT(K$3:K$77,""^"&amp;"[+-]?[0-9]*\.?[0-9]+""))),0)))"),"57/2/7")</f>
        <v>57/2/7</v>
      </c>
      <c r="L80" s="34" t="str">
        <f>IFERROR(__xludf.DUMMYFUNCTION("SUM(ARRAYFORMULA(IFERROR(REGEXMATCH($A$3:$A$77,""→"")*(VALUE(REGEXEXTRACT($J$3:$J$77,""^[+-]?[0-9]*\.?[0-9]+""))&gt;VALUE(REGEXEXTRACT(L$3:L$77,""^[+-]?[0-9]*\.?[0-9]+""))),0)))
&amp;""/""&amp;
SUM(ARRAYFORMULA(IFERROR(REGEXMATCH($A$3:$A$77,""→"")*(VALUE(REGEXEXTRAC"&amp;"T($J$3:$J$77,""^[+-]?[0-9]*\.?[0-9]+""))=VALUE(REGEXEXTRACT(L$3:L$77,""^[+-]?[0-9]*\.?[0-9]+""))),0)))
&amp;""/""&amp;
SUM(ARRAYFORMULA(IFERROR(REGEXMATCH($A$3:$A$77,""→"")*(VALUE(REGEXEXTRACT($J$3:$J$77,""^[+-]?[0-9]*\.?[0-9]+""))&lt;VALUE(REGEXEXTRACT(L$3:L$77,""^"&amp;"[+-]?[0-9]*\.?[0-9]+""))),0)))"),"55/0/11")</f>
        <v>55/0/11</v>
      </c>
      <c r="M80" s="34" t="str">
        <f>IFERROR(__xludf.DUMMYFUNCTION("SUM(ARRAYFORMULA(IFERROR(REGEXMATCH($A$3:$A$77,""→"")*(VALUE(REGEXEXTRACT($J$3:$J$77,""^[+-]?[0-9]*\.?[0-9]+""))&gt;VALUE(REGEXEXTRACT(M$3:M$77,""^[+-]?[0-9]*\.?[0-9]+""))),0)))
&amp;""/""&amp;
SUM(ARRAYFORMULA(IFERROR(REGEXMATCH($A$3:$A$77,""→"")*(VALUE(REGEXEXTRAC"&amp;"T($J$3:$J$77,""^[+-]?[0-9]*\.?[0-9]+""))=VALUE(REGEXEXTRACT(M$3:M$77,""^[+-]?[0-9]*\.?[0-9]+""))),0)))
&amp;""/""&amp;
SUM(ARRAYFORMULA(IFERROR(REGEXMATCH($A$3:$A$77,""→"")*(VALUE(REGEXEXTRACT($J$3:$J$77,""^[+-]?[0-9]*\.?[0-9]+""))&lt;VALUE(REGEXEXTRACT(M$3:M$77,""^"&amp;"[+-]?[0-9]*\.?[0-9]+""))),0)))"),"35/3/28")</f>
        <v>35/3/28</v>
      </c>
      <c r="N80" s="34" t="str">
        <f>IFERROR(__xludf.DUMMYFUNCTION("SUM(ARRAYFORMULA(IFERROR(REGEXMATCH($A$3:$A$77,""→"")*(VALUE(REGEXEXTRACT($J$3:$J$77,""^[+-]?[0-9]*\.?[0-9]+""))&gt;VALUE(REGEXEXTRACT(N$3:N$77,""^[+-]?[0-9]*\.?[0-9]+""))),0)))
&amp;""/""&amp;
SUM(ARRAYFORMULA(IFERROR(REGEXMATCH($A$3:$A$77,""→"")*(VALUE(REGEXEXTRAC"&amp;"T($J$3:$J$77,""^[+-]?[0-9]*\.?[0-9]+""))=VALUE(REGEXEXTRACT(N$3:N$77,""^[+-]?[0-9]*\.?[0-9]+""))),0)))
&amp;""/""&amp;
SUM(ARRAYFORMULA(IFERROR(REGEXMATCH($A$3:$A$77,""→"")*(VALUE(REGEXEXTRACT($J$3:$J$77,""^[+-]?[0-9]*\.?[0-9]+""))&lt;VALUE(REGEXEXTRACT(N$3:N$77,""^"&amp;"[+-]?[0-9]*\.?[0-9]+""))),0)))"),"38/2/26")</f>
        <v>38/2/26</v>
      </c>
      <c r="O80" s="34" t="str">
        <f>IFERROR(__xludf.DUMMYFUNCTION("SUM(ARRAYFORMULA(IFERROR(REGEXMATCH($A$3:$A$77,""→"")*(VALUE(REGEXEXTRACT($J$3:$J$77,""^[+-]?[0-9]*\.?[0-9]+""))&gt;VALUE(REGEXEXTRACT(O$3:O$77,""^[+-]?[0-9]*\.?[0-9]+""))),0)))
&amp;""/""&amp;
SUM(ARRAYFORMULA(IFERROR(REGEXMATCH($A$3:$A$77,""→"")*(VALUE(REGEXEXTRAC"&amp;"T($J$3:$J$77,""^[+-]?[0-9]*\.?[0-9]+""))=VALUE(REGEXEXTRACT(O$3:O$77,""^[+-]?[0-9]*\.?[0-9]+""))),0)))
&amp;""/""&amp;
SUM(ARRAYFORMULA(IFERROR(REGEXMATCH($A$3:$A$77,""→"")*(VALUE(REGEXEXTRACT($J$3:$J$77,""^[+-]?[0-9]*\.?[0-9]+""))&lt;VALUE(REGEXEXTRACT(O$3:O$77,""^"&amp;"[+-]?[0-9]*\.?[0-9]+""))),0)))"),"38/2/26")</f>
        <v>38/2/26</v>
      </c>
      <c r="P80" s="34" t="str">
        <f>IFERROR(__xludf.DUMMYFUNCTION("SUM(ARRAYFORMULA(IFERROR(REGEXMATCH($A$3:$A$77,""→"")*(VALUE(REGEXEXTRACT($J$3:$J$77,""^[+-]?[0-9]*\.?[0-9]+""))&gt;VALUE(REGEXEXTRACT(P$3:P$77,""^[+-]?[0-9]*\.?[0-9]+""))),0)))
&amp;""/""&amp;
SUM(ARRAYFORMULA(IFERROR(REGEXMATCH($A$3:$A$77,""→"")*(VALUE(REGEXEXTRAC"&amp;"T($J$3:$J$77,""^[+-]?[0-9]*\.?[0-9]+""))=VALUE(REGEXEXTRACT(P$3:P$77,""^[+-]?[0-9]*\.?[0-9]+""))),0)))
&amp;""/""&amp;
SUM(ARRAYFORMULA(IFERROR(REGEXMATCH($A$3:$A$77,""→"")*(VALUE(REGEXEXTRACT($J$3:$J$77,""^[+-]?[0-9]*\.?[0-9]+""))&lt;VALUE(REGEXEXTRACT(P$3:P$77,""^"&amp;"[+-]?[0-9]*\.?[0-9]+""))),0)))"),"43/2/21")</f>
        <v>43/2/21</v>
      </c>
    </row>
    <row r="81">
      <c r="A81" s="6" t="s">
        <v>1348</v>
      </c>
      <c r="B81" s="35">
        <v>60.12</v>
      </c>
      <c r="C81" s="35">
        <v>46.23</v>
      </c>
      <c r="D81" s="35">
        <v>45.84</v>
      </c>
      <c r="E81" s="35">
        <v>59.96</v>
      </c>
      <c r="F81" s="35">
        <v>58.87</v>
      </c>
      <c r="G81" s="35">
        <v>59.44</v>
      </c>
      <c r="H81" s="35">
        <v>57.08</v>
      </c>
      <c r="I81" s="8" t="str">
        <f t="shared" si="4"/>
        <v>Overall Average (%)</v>
      </c>
      <c r="J81" s="9">
        <f>IFERROR(__xludf.DUMMYFUNCTION("ROUND(AVERAGE(ARRAYFORMULA(IFERROR(VALUE(REGEXEXTRACT(FILTER(J$3:J$77,REGEXMATCH($A$3:$A$77,""→"")),""^[+-]?[0-9]*\.?[0-9]+"")),""""))),2)"),60.12)</f>
        <v>60.12</v>
      </c>
      <c r="K81" s="9">
        <f>IFERROR(__xludf.DUMMYFUNCTION("ROUND(AVERAGE(ARRAYFORMULA(IFERROR(VALUE(REGEXEXTRACT(FILTER(K$3:K$77,REGEXMATCH($A$3:$A$77,""→"")),""^[+-]?[0-9]*\.?[0-9]+"")),""""))),2)"),46.23)</f>
        <v>46.23</v>
      </c>
      <c r="L81" s="9">
        <f>IFERROR(__xludf.DUMMYFUNCTION("ROUND(AVERAGE(ARRAYFORMULA(IFERROR(VALUE(REGEXEXTRACT(FILTER(L$3:L$77,REGEXMATCH($A$3:$A$77,""→"")),""^[+-]?[0-9]*\.?[0-9]+"")),""""))),2)"),45.84)</f>
        <v>45.84</v>
      </c>
      <c r="M81" s="9">
        <f>IFERROR(__xludf.DUMMYFUNCTION("ROUND(AVERAGE(ARRAYFORMULA(IFERROR(VALUE(REGEXEXTRACT(FILTER(M$3:M$77,REGEXMATCH($A$3:$A$77,""→"")),""^[+-]?[0-9]*\.?[0-9]+"")),""""))),2)"),59.96)</f>
        <v>59.96</v>
      </c>
      <c r="N81" s="9">
        <f>IFERROR(__xludf.DUMMYFUNCTION("ROUND(AVERAGE(ARRAYFORMULA(IFERROR(VALUE(REGEXEXTRACT(FILTER(N$3:N$77,REGEXMATCH($A$3:$A$77,""→"")),""^[+-]?[0-9]*\.?[0-9]+"")),""""))),2)"),58.87)</f>
        <v>58.87</v>
      </c>
      <c r="O81" s="9">
        <f>IFERROR(__xludf.DUMMYFUNCTION("ROUND(AVERAGE(ARRAYFORMULA(IFERROR(VALUE(REGEXEXTRACT(FILTER(O$3:O$77,REGEXMATCH($A$3:$A$77,""→"")),""^[+-]?[0-9]*\.?[0-9]+"")),""""))),2)"),59.44)</f>
        <v>59.44</v>
      </c>
      <c r="P81" s="9">
        <f>IFERROR(__xludf.DUMMYFUNCTION("ROUND(AVERAGE(ARRAYFORMULA(IFERROR(VALUE(REGEXEXTRACT(FILTER(P$3:P$77,REGEXMATCH($A$3:$A$77,""→"")),""^[+-]?[0-9]*\.?[0-9]+"")),""""))),2)"),57.08)</f>
        <v>57.08</v>
      </c>
    </row>
    <row r="82">
      <c r="A82" s="31"/>
      <c r="B82" s="36"/>
      <c r="C82" s="37"/>
      <c r="D82" s="37"/>
      <c r="E82" s="37"/>
      <c r="F82" s="37"/>
      <c r="G82" s="37"/>
      <c r="H82" s="37"/>
      <c r="I82" s="38" t="s">
        <v>2015</v>
      </c>
      <c r="J82" s="35">
        <v>2.8409</v>
      </c>
      <c r="K82" s="35">
        <v>5.6894</v>
      </c>
      <c r="L82" s="35">
        <v>5.5076</v>
      </c>
      <c r="M82" s="35">
        <v>2.8182</v>
      </c>
      <c r="N82" s="35">
        <v>3.6591</v>
      </c>
      <c r="O82" s="35">
        <v>3.2576</v>
      </c>
      <c r="P82" s="35">
        <v>4.2273</v>
      </c>
    </row>
    <row r="83">
      <c r="A83" s="10"/>
      <c r="I83" s="38" t="s">
        <v>2016</v>
      </c>
      <c r="J83" s="35" t="s">
        <v>2359</v>
      </c>
      <c r="K83" s="35" t="s">
        <v>2017</v>
      </c>
      <c r="L83" s="35" t="s">
        <v>2017</v>
      </c>
      <c r="M83" s="35" t="s">
        <v>3438</v>
      </c>
      <c r="N83" s="35" t="s">
        <v>3438</v>
      </c>
      <c r="O83" s="35" t="s">
        <v>3438</v>
      </c>
      <c r="P83" s="35" t="s">
        <v>2017</v>
      </c>
    </row>
    <row r="84">
      <c r="A84" s="10"/>
      <c r="I84" s="10"/>
    </row>
    <row r="85">
      <c r="A85" s="10"/>
      <c r="I85" s="10"/>
    </row>
    <row r="86">
      <c r="A86" s="10"/>
      <c r="I86" s="10"/>
    </row>
    <row r="87">
      <c r="A87" s="10"/>
      <c r="I87" s="10"/>
    </row>
    <row r="88">
      <c r="A88" s="10"/>
      <c r="I88" s="10"/>
    </row>
    <row r="89">
      <c r="A89" s="10"/>
      <c r="I89" s="10"/>
    </row>
    <row r="90">
      <c r="A90" s="10"/>
      <c r="I90" s="10"/>
    </row>
    <row r="91">
      <c r="A91" s="10"/>
      <c r="I91" s="10"/>
    </row>
    <row r="92">
      <c r="A92" s="10"/>
      <c r="I92" s="10"/>
    </row>
    <row r="93">
      <c r="A93" s="10"/>
      <c r="I93" s="10"/>
    </row>
    <row r="94">
      <c r="A94" s="10"/>
      <c r="I94" s="10"/>
    </row>
    <row r="95">
      <c r="A95" s="10"/>
      <c r="I95" s="10"/>
    </row>
    <row r="96">
      <c r="A96" s="10"/>
      <c r="I96" s="10"/>
    </row>
    <row r="97">
      <c r="A97" s="10"/>
      <c r="I97" s="10"/>
    </row>
    <row r="98">
      <c r="A98" s="10"/>
      <c r="I98" s="10"/>
    </row>
    <row r="99">
      <c r="A99" s="10"/>
      <c r="I99" s="10"/>
    </row>
    <row r="100">
      <c r="A100" s="10"/>
      <c r="I100" s="10"/>
    </row>
    <row r="101">
      <c r="A101" s="10"/>
      <c r="I101" s="10"/>
    </row>
    <row r="102">
      <c r="A102" s="10"/>
      <c r="I102" s="10"/>
    </row>
    <row r="103">
      <c r="A103" s="10"/>
      <c r="I103" s="10"/>
    </row>
    <row r="104">
      <c r="A104" s="10"/>
      <c r="I104" s="10"/>
    </row>
    <row r="105">
      <c r="A105" s="10"/>
      <c r="I105" s="10"/>
    </row>
    <row r="106">
      <c r="A106" s="10"/>
      <c r="I106" s="10"/>
    </row>
    <row r="107">
      <c r="A107" s="10"/>
      <c r="I107" s="10"/>
    </row>
    <row r="108">
      <c r="A108" s="10"/>
      <c r="I108" s="10"/>
    </row>
    <row r="109">
      <c r="A109" s="10"/>
      <c r="I109" s="10"/>
    </row>
    <row r="110">
      <c r="A110" s="10"/>
      <c r="I110" s="10"/>
    </row>
    <row r="111">
      <c r="A111" s="10"/>
      <c r="I111" s="10"/>
    </row>
    <row r="112">
      <c r="A112" s="10"/>
      <c r="I112" s="10"/>
    </row>
    <row r="113">
      <c r="A113" s="10"/>
      <c r="I113" s="10"/>
    </row>
    <row r="114">
      <c r="A114" s="10"/>
      <c r="I114" s="10"/>
    </row>
    <row r="115">
      <c r="A115" s="10"/>
      <c r="I115" s="10"/>
    </row>
    <row r="116">
      <c r="A116" s="10"/>
      <c r="I116" s="10"/>
    </row>
    <row r="117">
      <c r="A117" s="10"/>
      <c r="I117" s="10"/>
    </row>
    <row r="118">
      <c r="A118" s="10"/>
      <c r="I118" s="10"/>
    </row>
    <row r="119">
      <c r="A119" s="10"/>
      <c r="I119" s="10"/>
    </row>
    <row r="120">
      <c r="A120" s="10"/>
      <c r="I120" s="10"/>
    </row>
    <row r="121">
      <c r="A121" s="10"/>
      <c r="I121" s="10"/>
    </row>
    <row r="122">
      <c r="A122" s="10"/>
      <c r="I122" s="10"/>
    </row>
    <row r="123">
      <c r="A123" s="10"/>
      <c r="I123" s="10"/>
    </row>
    <row r="124">
      <c r="A124" s="10"/>
      <c r="I124" s="10"/>
    </row>
    <row r="125">
      <c r="A125" s="10"/>
      <c r="I125" s="10"/>
    </row>
    <row r="126">
      <c r="A126" s="10"/>
      <c r="I126" s="10"/>
    </row>
    <row r="127">
      <c r="A127" s="10"/>
      <c r="I127" s="10"/>
    </row>
    <row r="128">
      <c r="A128" s="10"/>
      <c r="I128" s="10"/>
    </row>
    <row r="129">
      <c r="A129" s="10"/>
      <c r="I129" s="10"/>
    </row>
    <row r="130">
      <c r="A130" s="10"/>
      <c r="I130" s="10"/>
    </row>
    <row r="131">
      <c r="A131" s="10"/>
      <c r="I131" s="10"/>
    </row>
    <row r="132">
      <c r="A132" s="10"/>
      <c r="I132" s="10"/>
    </row>
    <row r="133">
      <c r="A133" s="10"/>
      <c r="I133" s="10"/>
    </row>
    <row r="134">
      <c r="A134" s="10"/>
      <c r="I134" s="10"/>
    </row>
    <row r="135">
      <c r="A135" s="10"/>
      <c r="I135" s="10"/>
    </row>
    <row r="136">
      <c r="A136" s="10"/>
      <c r="I136" s="10"/>
    </row>
    <row r="137">
      <c r="A137" s="10"/>
      <c r="I137" s="10"/>
    </row>
    <row r="138">
      <c r="A138" s="10"/>
      <c r="I138" s="10"/>
    </row>
    <row r="139">
      <c r="A139" s="10"/>
      <c r="I139" s="10"/>
    </row>
    <row r="140">
      <c r="A140" s="10"/>
      <c r="I140" s="10"/>
    </row>
    <row r="141">
      <c r="A141" s="10"/>
      <c r="I141" s="10"/>
    </row>
    <row r="142">
      <c r="A142" s="10"/>
      <c r="I142" s="10"/>
    </row>
    <row r="143">
      <c r="A143" s="10"/>
      <c r="I143" s="10"/>
    </row>
    <row r="144">
      <c r="A144" s="10"/>
      <c r="I144" s="10"/>
    </row>
    <row r="145">
      <c r="A145" s="10"/>
      <c r="I145" s="10"/>
    </row>
    <row r="146">
      <c r="A146" s="10"/>
      <c r="I146" s="10"/>
    </row>
    <row r="147">
      <c r="A147" s="10"/>
      <c r="I147" s="10"/>
    </row>
    <row r="148">
      <c r="A148" s="10"/>
      <c r="I148" s="10"/>
    </row>
    <row r="149">
      <c r="A149" s="10"/>
      <c r="I149" s="10"/>
    </row>
    <row r="150">
      <c r="A150" s="10"/>
      <c r="I150" s="10"/>
    </row>
    <row r="151">
      <c r="A151" s="10"/>
      <c r="I151" s="10"/>
    </row>
    <row r="152">
      <c r="A152" s="10"/>
      <c r="I152" s="10"/>
    </row>
    <row r="153">
      <c r="A153" s="10"/>
      <c r="I153" s="10"/>
    </row>
    <row r="154">
      <c r="A154" s="10"/>
      <c r="I154" s="10"/>
    </row>
    <row r="155">
      <c r="A155" s="10"/>
      <c r="I155" s="10"/>
    </row>
    <row r="156">
      <c r="A156" s="10"/>
      <c r="I156" s="10"/>
    </row>
    <row r="157">
      <c r="A157" s="10"/>
      <c r="I157" s="10"/>
    </row>
    <row r="158">
      <c r="A158" s="10"/>
      <c r="I158" s="10"/>
    </row>
    <row r="159">
      <c r="A159" s="10"/>
      <c r="I159" s="10"/>
    </row>
    <row r="160">
      <c r="A160" s="10"/>
      <c r="I160" s="10"/>
    </row>
    <row r="161">
      <c r="A161" s="10"/>
      <c r="I161" s="10"/>
    </row>
    <row r="162">
      <c r="A162" s="10"/>
      <c r="I162" s="10"/>
    </row>
    <row r="163">
      <c r="A163" s="10"/>
      <c r="I163" s="10"/>
    </row>
    <row r="164">
      <c r="A164" s="10"/>
      <c r="I164" s="10"/>
    </row>
    <row r="165">
      <c r="A165" s="10"/>
      <c r="I165" s="10"/>
    </row>
    <row r="166">
      <c r="A166" s="10"/>
      <c r="I166" s="10"/>
    </row>
    <row r="167">
      <c r="A167" s="10"/>
      <c r="I167" s="10"/>
    </row>
    <row r="168">
      <c r="A168" s="10"/>
      <c r="I168" s="10"/>
    </row>
    <row r="169">
      <c r="A169" s="10"/>
      <c r="I169" s="10"/>
    </row>
    <row r="170">
      <c r="A170" s="10"/>
      <c r="I170" s="10"/>
    </row>
    <row r="171">
      <c r="A171" s="10"/>
      <c r="I171" s="10"/>
    </row>
    <row r="172">
      <c r="A172" s="10"/>
      <c r="I172" s="10"/>
    </row>
    <row r="173">
      <c r="A173" s="10"/>
      <c r="I173" s="10"/>
    </row>
    <row r="174">
      <c r="A174" s="10"/>
      <c r="I174" s="10"/>
    </row>
    <row r="175">
      <c r="A175" s="10"/>
      <c r="I175" s="10"/>
    </row>
    <row r="176">
      <c r="A176" s="10"/>
      <c r="I176" s="10"/>
    </row>
    <row r="177">
      <c r="A177" s="10"/>
      <c r="I177" s="10"/>
    </row>
    <row r="178">
      <c r="A178" s="10"/>
      <c r="I178" s="10"/>
    </row>
    <row r="179">
      <c r="A179" s="10"/>
      <c r="I179" s="10"/>
    </row>
    <row r="180">
      <c r="A180" s="10"/>
      <c r="I180" s="10"/>
    </row>
    <row r="181">
      <c r="A181" s="10"/>
      <c r="I181" s="10"/>
    </row>
    <row r="182">
      <c r="A182" s="10"/>
      <c r="I182" s="10"/>
    </row>
    <row r="183">
      <c r="A183" s="10"/>
      <c r="I183" s="10"/>
    </row>
    <row r="184">
      <c r="A184" s="10"/>
      <c r="I184" s="10"/>
    </row>
    <row r="185">
      <c r="A185" s="10"/>
      <c r="I185" s="10"/>
    </row>
    <row r="186">
      <c r="A186" s="10"/>
      <c r="I186" s="10"/>
    </row>
    <row r="187">
      <c r="A187" s="10"/>
      <c r="I187" s="10"/>
    </row>
    <row r="188">
      <c r="A188" s="10"/>
      <c r="I188" s="10"/>
    </row>
    <row r="189">
      <c r="A189" s="10"/>
      <c r="I189" s="10"/>
    </row>
    <row r="190">
      <c r="A190" s="10"/>
      <c r="I190" s="10"/>
    </row>
    <row r="191">
      <c r="A191" s="10"/>
      <c r="I191" s="10"/>
    </row>
    <row r="192">
      <c r="A192" s="10"/>
      <c r="I192" s="10"/>
    </row>
    <row r="193">
      <c r="A193" s="10"/>
      <c r="I193" s="10"/>
    </row>
    <row r="194">
      <c r="A194" s="10"/>
      <c r="I194" s="10"/>
    </row>
    <row r="195">
      <c r="A195" s="10"/>
      <c r="I195" s="10"/>
    </row>
    <row r="196">
      <c r="A196" s="10"/>
      <c r="I196" s="10"/>
    </row>
    <row r="197">
      <c r="A197" s="10"/>
      <c r="I197" s="10"/>
    </row>
    <row r="198">
      <c r="A198" s="10"/>
      <c r="I198" s="10"/>
    </row>
    <row r="199">
      <c r="A199" s="10"/>
      <c r="I199" s="10"/>
    </row>
    <row r="200">
      <c r="A200" s="10"/>
      <c r="I200" s="10"/>
    </row>
    <row r="201">
      <c r="A201" s="10"/>
      <c r="I201" s="10"/>
    </row>
    <row r="202">
      <c r="A202" s="10"/>
      <c r="I202" s="10"/>
    </row>
    <row r="203">
      <c r="A203" s="10"/>
      <c r="I203" s="10"/>
    </row>
    <row r="204">
      <c r="A204" s="10"/>
      <c r="I204" s="10"/>
    </row>
    <row r="205">
      <c r="A205" s="10"/>
      <c r="I205" s="10"/>
    </row>
    <row r="206">
      <c r="A206" s="10"/>
      <c r="I206" s="10"/>
    </row>
    <row r="207">
      <c r="A207" s="10"/>
      <c r="I207" s="10"/>
    </row>
    <row r="208">
      <c r="A208" s="10"/>
      <c r="I208" s="10"/>
    </row>
    <row r="209">
      <c r="A209" s="10"/>
      <c r="I209" s="10"/>
    </row>
    <row r="210">
      <c r="A210" s="10"/>
      <c r="I210" s="10"/>
    </row>
    <row r="211">
      <c r="A211" s="10"/>
      <c r="I211" s="10"/>
    </row>
    <row r="212">
      <c r="A212" s="10"/>
      <c r="I212" s="10"/>
    </row>
    <row r="213">
      <c r="A213" s="10"/>
      <c r="I213" s="10"/>
    </row>
    <row r="214">
      <c r="A214" s="10"/>
      <c r="I214" s="10"/>
    </row>
    <row r="215">
      <c r="A215" s="10"/>
      <c r="I215" s="10"/>
    </row>
    <row r="216">
      <c r="A216" s="10"/>
      <c r="I216" s="10"/>
    </row>
    <row r="217">
      <c r="A217" s="10"/>
      <c r="I217" s="10"/>
    </row>
    <row r="218">
      <c r="A218" s="10"/>
      <c r="I218" s="10"/>
    </row>
    <row r="219">
      <c r="A219" s="10"/>
      <c r="I219" s="10"/>
    </row>
    <row r="220">
      <c r="A220" s="10"/>
      <c r="I220" s="10"/>
    </row>
    <row r="221">
      <c r="A221" s="10"/>
      <c r="I221" s="10"/>
    </row>
    <row r="222">
      <c r="A222" s="10"/>
      <c r="I222" s="10"/>
    </row>
    <row r="223">
      <c r="A223" s="10"/>
      <c r="I223" s="10"/>
    </row>
    <row r="224">
      <c r="A224" s="10"/>
      <c r="I224" s="10"/>
    </row>
    <row r="225">
      <c r="A225" s="10"/>
      <c r="I225" s="10"/>
    </row>
    <row r="226">
      <c r="A226" s="10"/>
      <c r="I226" s="10"/>
    </row>
    <row r="227">
      <c r="A227" s="10"/>
      <c r="I227" s="10"/>
    </row>
    <row r="228">
      <c r="A228" s="10"/>
      <c r="I228" s="10"/>
    </row>
    <row r="229">
      <c r="A229" s="10"/>
      <c r="I229" s="10"/>
    </row>
    <row r="230">
      <c r="A230" s="10"/>
      <c r="I230" s="10"/>
    </row>
    <row r="231">
      <c r="A231" s="10"/>
      <c r="I231" s="10"/>
    </row>
    <row r="232">
      <c r="A232" s="10"/>
      <c r="I232" s="10"/>
    </row>
    <row r="233">
      <c r="A233" s="10"/>
      <c r="I233" s="10"/>
    </row>
    <row r="234">
      <c r="A234" s="10"/>
      <c r="I234" s="10"/>
    </row>
    <row r="235">
      <c r="A235" s="10"/>
      <c r="I235" s="10"/>
    </row>
    <row r="236">
      <c r="A236" s="10"/>
      <c r="I236" s="10"/>
    </row>
    <row r="237">
      <c r="A237" s="10"/>
      <c r="I237" s="10"/>
    </row>
    <row r="238">
      <c r="A238" s="10"/>
      <c r="I238" s="10"/>
    </row>
    <row r="239">
      <c r="A239" s="10"/>
      <c r="I239" s="10"/>
    </row>
    <row r="240">
      <c r="A240" s="10"/>
      <c r="I240" s="10"/>
    </row>
    <row r="241">
      <c r="A241" s="10"/>
      <c r="I241" s="10"/>
    </row>
    <row r="242">
      <c r="A242" s="10"/>
      <c r="I242" s="10"/>
    </row>
    <row r="243">
      <c r="A243" s="10"/>
      <c r="I243" s="10"/>
    </row>
    <row r="244">
      <c r="A244" s="10"/>
      <c r="I244" s="10"/>
    </row>
    <row r="245">
      <c r="A245" s="10"/>
      <c r="I245" s="10"/>
    </row>
    <row r="246">
      <c r="A246" s="10"/>
      <c r="I246" s="10"/>
    </row>
    <row r="247">
      <c r="A247" s="10"/>
      <c r="I247" s="10"/>
    </row>
    <row r="248">
      <c r="A248" s="10"/>
      <c r="I248" s="10"/>
    </row>
    <row r="249">
      <c r="A249" s="10"/>
      <c r="I249" s="10"/>
    </row>
    <row r="250">
      <c r="A250" s="10"/>
      <c r="I250" s="10"/>
    </row>
    <row r="251">
      <c r="A251" s="10"/>
      <c r="I251" s="10"/>
    </row>
    <row r="252">
      <c r="A252" s="10"/>
      <c r="I252" s="10"/>
    </row>
    <row r="253">
      <c r="A253" s="10"/>
      <c r="I253" s="10"/>
    </row>
    <row r="254">
      <c r="A254" s="10"/>
      <c r="I254" s="10"/>
    </row>
    <row r="255">
      <c r="A255" s="10"/>
      <c r="I255" s="10"/>
    </row>
    <row r="256">
      <c r="A256" s="10"/>
      <c r="I256" s="10"/>
    </row>
    <row r="257">
      <c r="A257" s="10"/>
      <c r="I257" s="10"/>
    </row>
    <row r="258">
      <c r="A258" s="10"/>
      <c r="I258" s="10"/>
    </row>
    <row r="259">
      <c r="A259" s="10"/>
      <c r="I259" s="10"/>
    </row>
    <row r="260">
      <c r="A260" s="10"/>
      <c r="I260" s="10"/>
    </row>
    <row r="261">
      <c r="A261" s="10"/>
      <c r="I261" s="10"/>
    </row>
    <row r="262">
      <c r="A262" s="10"/>
      <c r="I262" s="10"/>
    </row>
    <row r="263">
      <c r="A263" s="10"/>
      <c r="I263" s="10"/>
    </row>
    <row r="264">
      <c r="A264" s="10"/>
      <c r="I264" s="10"/>
    </row>
    <row r="265">
      <c r="A265" s="10"/>
      <c r="I265" s="10"/>
    </row>
    <row r="266">
      <c r="A266" s="10"/>
      <c r="I266" s="10"/>
    </row>
    <row r="267">
      <c r="A267" s="10"/>
      <c r="I267" s="10"/>
    </row>
    <row r="268">
      <c r="A268" s="10"/>
      <c r="I268" s="10"/>
    </row>
    <row r="269">
      <c r="A269" s="10"/>
      <c r="I269" s="10"/>
    </row>
    <row r="270">
      <c r="A270" s="10"/>
      <c r="I270" s="10"/>
    </row>
    <row r="271">
      <c r="A271" s="10"/>
      <c r="I271" s="10"/>
    </row>
    <row r="272">
      <c r="A272" s="10"/>
      <c r="I272" s="10"/>
    </row>
    <row r="273">
      <c r="A273" s="10"/>
      <c r="I273" s="10"/>
    </row>
    <row r="274">
      <c r="A274" s="10"/>
      <c r="I274" s="10"/>
    </row>
    <row r="275">
      <c r="A275" s="10"/>
      <c r="I275" s="10"/>
    </row>
    <row r="276">
      <c r="A276" s="10"/>
      <c r="I276" s="10"/>
    </row>
    <row r="277">
      <c r="A277" s="10"/>
      <c r="I277" s="10"/>
    </row>
    <row r="278">
      <c r="A278" s="10"/>
      <c r="I278" s="10"/>
    </row>
    <row r="279">
      <c r="A279" s="10"/>
      <c r="I279" s="10"/>
    </row>
    <row r="280">
      <c r="A280" s="10"/>
      <c r="I280" s="10"/>
    </row>
    <row r="281">
      <c r="A281" s="10"/>
      <c r="I281" s="10"/>
    </row>
    <row r="282">
      <c r="A282" s="10"/>
      <c r="I282" s="10"/>
    </row>
    <row r="283">
      <c r="A283" s="10"/>
      <c r="I283" s="10"/>
    </row>
    <row r="284">
      <c r="A284" s="10"/>
      <c r="I284" s="10"/>
    </row>
    <row r="285">
      <c r="A285" s="10"/>
      <c r="I285" s="10"/>
    </row>
    <row r="286">
      <c r="A286" s="10"/>
      <c r="I286" s="10"/>
    </row>
    <row r="287">
      <c r="A287" s="10"/>
      <c r="I287" s="10"/>
    </row>
    <row r="288">
      <c r="A288" s="10"/>
      <c r="I288" s="10"/>
    </row>
    <row r="289">
      <c r="A289" s="10"/>
      <c r="I289" s="10"/>
    </row>
    <row r="290">
      <c r="A290" s="10"/>
      <c r="I290" s="10"/>
    </row>
    <row r="291">
      <c r="A291" s="10"/>
      <c r="I291" s="10"/>
    </row>
    <row r="292">
      <c r="A292" s="10"/>
      <c r="I292" s="10"/>
    </row>
    <row r="293">
      <c r="A293" s="10"/>
      <c r="I293" s="10"/>
    </row>
    <row r="294">
      <c r="A294" s="10"/>
      <c r="I294" s="10"/>
    </row>
    <row r="295">
      <c r="A295" s="10"/>
      <c r="I295" s="10"/>
    </row>
    <row r="296">
      <c r="A296" s="10"/>
      <c r="I296" s="10"/>
    </row>
    <row r="297">
      <c r="A297" s="10"/>
      <c r="I297" s="10"/>
    </row>
    <row r="298">
      <c r="A298" s="10"/>
      <c r="I298" s="10"/>
    </row>
    <row r="299">
      <c r="A299" s="10"/>
      <c r="I299" s="10"/>
    </row>
    <row r="300">
      <c r="A300" s="10"/>
      <c r="I300" s="10"/>
    </row>
    <row r="301">
      <c r="A301" s="10"/>
      <c r="I301" s="10"/>
    </row>
    <row r="302">
      <c r="A302" s="10"/>
      <c r="I302" s="10"/>
    </row>
    <row r="303">
      <c r="A303" s="10"/>
      <c r="I303" s="10"/>
    </row>
    <row r="304">
      <c r="A304" s="10"/>
      <c r="I304" s="10"/>
    </row>
    <row r="305">
      <c r="A305" s="10"/>
      <c r="I305" s="10"/>
    </row>
    <row r="306">
      <c r="A306" s="10"/>
      <c r="I306" s="10"/>
    </row>
    <row r="307">
      <c r="A307" s="10"/>
      <c r="I307" s="10"/>
    </row>
    <row r="308">
      <c r="A308" s="10"/>
      <c r="I308" s="10"/>
    </row>
    <row r="309">
      <c r="A309" s="10"/>
      <c r="I309" s="10"/>
    </row>
    <row r="310">
      <c r="A310" s="10"/>
      <c r="I310" s="10"/>
    </row>
    <row r="311">
      <c r="A311" s="10"/>
      <c r="I311" s="10"/>
    </row>
    <row r="312">
      <c r="A312" s="10"/>
      <c r="I312" s="10"/>
    </row>
    <row r="313">
      <c r="A313" s="10"/>
      <c r="I313" s="10"/>
    </row>
    <row r="314">
      <c r="A314" s="10"/>
      <c r="I314" s="10"/>
    </row>
    <row r="315">
      <c r="A315" s="10"/>
      <c r="I315" s="10"/>
    </row>
    <row r="316">
      <c r="A316" s="10"/>
      <c r="I316" s="10"/>
    </row>
    <row r="317">
      <c r="A317" s="10"/>
      <c r="I317" s="10"/>
    </row>
    <row r="318">
      <c r="A318" s="10"/>
      <c r="I318" s="10"/>
    </row>
    <row r="319">
      <c r="A319" s="10"/>
      <c r="I319" s="10"/>
    </row>
    <row r="320">
      <c r="A320" s="10"/>
      <c r="I320" s="10"/>
    </row>
    <row r="321">
      <c r="A321" s="10"/>
      <c r="I321" s="10"/>
    </row>
    <row r="322">
      <c r="A322" s="10"/>
      <c r="I322" s="10"/>
    </row>
    <row r="323">
      <c r="A323" s="10"/>
      <c r="I323" s="10"/>
    </row>
    <row r="324">
      <c r="A324" s="10"/>
      <c r="I324" s="10"/>
    </row>
    <row r="325">
      <c r="A325" s="10"/>
      <c r="I325" s="10"/>
    </row>
    <row r="326">
      <c r="A326" s="10"/>
      <c r="I326" s="10"/>
    </row>
    <row r="327">
      <c r="A327" s="10"/>
      <c r="I327" s="10"/>
    </row>
    <row r="328">
      <c r="A328" s="10"/>
      <c r="I328" s="10"/>
    </row>
    <row r="329">
      <c r="A329" s="10"/>
      <c r="I329" s="10"/>
    </row>
    <row r="330">
      <c r="A330" s="10"/>
      <c r="I330" s="10"/>
    </row>
    <row r="331">
      <c r="A331" s="10"/>
      <c r="I331" s="10"/>
    </row>
    <row r="332">
      <c r="A332" s="10"/>
      <c r="I332" s="10"/>
    </row>
    <row r="333">
      <c r="A333" s="10"/>
      <c r="I333" s="10"/>
    </row>
    <row r="334">
      <c r="A334" s="10"/>
      <c r="I334" s="10"/>
    </row>
    <row r="335">
      <c r="A335" s="10"/>
      <c r="I335" s="10"/>
    </row>
    <row r="336">
      <c r="A336" s="10"/>
      <c r="I336" s="10"/>
    </row>
    <row r="337">
      <c r="A337" s="10"/>
      <c r="I337" s="10"/>
    </row>
    <row r="338">
      <c r="A338" s="10"/>
      <c r="I338" s="10"/>
    </row>
    <row r="339">
      <c r="A339" s="10"/>
      <c r="I339" s="10"/>
    </row>
    <row r="340">
      <c r="A340" s="10"/>
      <c r="I340" s="10"/>
    </row>
    <row r="341">
      <c r="A341" s="10"/>
      <c r="I341" s="10"/>
    </row>
    <row r="342">
      <c r="A342" s="10"/>
      <c r="I342" s="10"/>
    </row>
    <row r="343">
      <c r="A343" s="10"/>
      <c r="I343" s="10"/>
    </row>
    <row r="344">
      <c r="A344" s="10"/>
      <c r="I344" s="10"/>
    </row>
    <row r="345">
      <c r="A345" s="10"/>
      <c r="I345" s="10"/>
    </row>
    <row r="346">
      <c r="A346" s="10"/>
      <c r="I346" s="10"/>
    </row>
    <row r="347">
      <c r="A347" s="10"/>
      <c r="I347" s="10"/>
    </row>
    <row r="348">
      <c r="A348" s="10"/>
      <c r="I348" s="10"/>
    </row>
    <row r="349">
      <c r="A349" s="10"/>
      <c r="I349" s="10"/>
    </row>
    <row r="350">
      <c r="A350" s="10"/>
      <c r="I350" s="10"/>
    </row>
    <row r="351">
      <c r="A351" s="10"/>
      <c r="I351" s="10"/>
    </row>
    <row r="352">
      <c r="A352" s="10"/>
      <c r="I352" s="10"/>
    </row>
    <row r="353">
      <c r="A353" s="10"/>
      <c r="I353" s="10"/>
    </row>
    <row r="354">
      <c r="A354" s="10"/>
      <c r="I354" s="10"/>
    </row>
    <row r="355">
      <c r="A355" s="10"/>
      <c r="I355" s="10"/>
    </row>
    <row r="356">
      <c r="A356" s="10"/>
      <c r="I356" s="10"/>
    </row>
    <row r="357">
      <c r="A357" s="10"/>
      <c r="I357" s="10"/>
    </row>
    <row r="358">
      <c r="A358" s="10"/>
      <c r="I358" s="10"/>
    </row>
    <row r="359">
      <c r="A359" s="10"/>
      <c r="I359" s="10"/>
    </row>
    <row r="360">
      <c r="A360" s="10"/>
      <c r="I360" s="10"/>
    </row>
    <row r="361">
      <c r="A361" s="10"/>
      <c r="I361" s="10"/>
    </row>
    <row r="362">
      <c r="A362" s="10"/>
      <c r="I362" s="10"/>
    </row>
    <row r="363">
      <c r="A363" s="10"/>
      <c r="I363" s="10"/>
    </row>
    <row r="364">
      <c r="A364" s="10"/>
      <c r="I364" s="10"/>
    </row>
    <row r="365">
      <c r="A365" s="10"/>
      <c r="I365" s="10"/>
    </row>
    <row r="366">
      <c r="A366" s="10"/>
      <c r="I366" s="10"/>
    </row>
    <row r="367">
      <c r="A367" s="10"/>
      <c r="I367" s="10"/>
    </row>
    <row r="368">
      <c r="A368" s="10"/>
      <c r="I368" s="10"/>
    </row>
    <row r="369">
      <c r="A369" s="10"/>
      <c r="I369" s="10"/>
    </row>
    <row r="370">
      <c r="A370" s="10"/>
      <c r="I370" s="10"/>
    </row>
    <row r="371">
      <c r="A371" s="10"/>
      <c r="I371" s="10"/>
    </row>
    <row r="372">
      <c r="A372" s="10"/>
      <c r="I372" s="10"/>
    </row>
    <row r="373">
      <c r="A373" s="10"/>
      <c r="I373" s="10"/>
    </row>
    <row r="374">
      <c r="A374" s="10"/>
      <c r="I374" s="10"/>
    </row>
    <row r="375">
      <c r="A375" s="10"/>
      <c r="I375" s="10"/>
    </row>
    <row r="376">
      <c r="A376" s="10"/>
      <c r="I376" s="10"/>
    </row>
    <row r="377">
      <c r="A377" s="10"/>
      <c r="I377" s="10"/>
    </row>
    <row r="378">
      <c r="A378" s="10"/>
      <c r="I378" s="10"/>
    </row>
    <row r="379">
      <c r="A379" s="10"/>
      <c r="I379" s="10"/>
    </row>
    <row r="380">
      <c r="A380" s="10"/>
      <c r="I380" s="10"/>
    </row>
    <row r="381">
      <c r="A381" s="10"/>
      <c r="I381" s="10"/>
    </row>
    <row r="382">
      <c r="A382" s="10"/>
      <c r="I382" s="10"/>
    </row>
    <row r="383">
      <c r="A383" s="10"/>
      <c r="I383" s="10"/>
    </row>
    <row r="384">
      <c r="A384" s="10"/>
      <c r="I384" s="10"/>
    </row>
    <row r="385">
      <c r="A385" s="10"/>
      <c r="I385" s="10"/>
    </row>
    <row r="386">
      <c r="A386" s="10"/>
      <c r="I386" s="10"/>
    </row>
    <row r="387">
      <c r="A387" s="10"/>
      <c r="I387" s="10"/>
    </row>
    <row r="388">
      <c r="A388" s="10"/>
      <c r="I388" s="10"/>
    </row>
    <row r="389">
      <c r="A389" s="10"/>
      <c r="I389" s="10"/>
    </row>
    <row r="390">
      <c r="A390" s="10"/>
      <c r="I390" s="10"/>
    </row>
    <row r="391">
      <c r="A391" s="10"/>
      <c r="I391" s="10"/>
    </row>
    <row r="392">
      <c r="A392" s="10"/>
      <c r="I392" s="10"/>
    </row>
    <row r="393">
      <c r="A393" s="10"/>
      <c r="I393" s="10"/>
    </row>
    <row r="394">
      <c r="A394" s="10"/>
      <c r="I394" s="10"/>
    </row>
    <row r="395">
      <c r="A395" s="10"/>
      <c r="I395" s="10"/>
    </row>
    <row r="396">
      <c r="A396" s="10"/>
      <c r="I396" s="10"/>
    </row>
    <row r="397">
      <c r="A397" s="10"/>
      <c r="I397" s="10"/>
    </row>
    <row r="398">
      <c r="A398" s="10"/>
      <c r="I398" s="10"/>
    </row>
    <row r="399">
      <c r="A399" s="10"/>
      <c r="I399" s="10"/>
    </row>
    <row r="400">
      <c r="A400" s="10"/>
      <c r="I400" s="10"/>
    </row>
    <row r="401">
      <c r="A401" s="10"/>
      <c r="I401" s="10"/>
    </row>
    <row r="402">
      <c r="A402" s="10"/>
      <c r="I402" s="10"/>
    </row>
    <row r="403">
      <c r="A403" s="10"/>
      <c r="I403" s="10"/>
    </row>
    <row r="404">
      <c r="A404" s="10"/>
      <c r="I404" s="10"/>
    </row>
    <row r="405">
      <c r="A405" s="10"/>
      <c r="I405" s="10"/>
    </row>
    <row r="406">
      <c r="A406" s="10"/>
      <c r="I406" s="10"/>
    </row>
    <row r="407">
      <c r="A407" s="10"/>
      <c r="I407" s="10"/>
    </row>
    <row r="408">
      <c r="A408" s="10"/>
      <c r="I408" s="10"/>
    </row>
    <row r="409">
      <c r="A409" s="10"/>
      <c r="I409" s="10"/>
    </row>
    <row r="410">
      <c r="A410" s="10"/>
      <c r="I410" s="10"/>
    </row>
    <row r="411">
      <c r="A411" s="10"/>
      <c r="I411" s="10"/>
    </row>
    <row r="412">
      <c r="A412" s="10"/>
      <c r="I412" s="10"/>
    </row>
    <row r="413">
      <c r="A413" s="10"/>
      <c r="I413" s="10"/>
    </row>
    <row r="414">
      <c r="A414" s="10"/>
      <c r="I414" s="10"/>
    </row>
    <row r="415">
      <c r="A415" s="10"/>
      <c r="I415" s="10"/>
    </row>
    <row r="416">
      <c r="A416" s="10"/>
      <c r="I416" s="10"/>
    </row>
    <row r="417">
      <c r="A417" s="10"/>
      <c r="I417" s="10"/>
    </row>
    <row r="418">
      <c r="A418" s="10"/>
      <c r="I418" s="10"/>
    </row>
    <row r="419">
      <c r="A419" s="10"/>
      <c r="I419" s="10"/>
    </row>
    <row r="420">
      <c r="A420" s="10"/>
      <c r="I420" s="10"/>
    </row>
    <row r="421">
      <c r="A421" s="10"/>
      <c r="I421" s="10"/>
    </row>
    <row r="422">
      <c r="A422" s="10"/>
      <c r="I422" s="10"/>
    </row>
    <row r="423">
      <c r="A423" s="10"/>
      <c r="I423" s="10"/>
    </row>
    <row r="424">
      <c r="A424" s="10"/>
      <c r="I424" s="10"/>
    </row>
    <row r="425">
      <c r="A425" s="10"/>
      <c r="I425" s="10"/>
    </row>
    <row r="426">
      <c r="A426" s="10"/>
      <c r="I426" s="10"/>
    </row>
    <row r="427">
      <c r="A427" s="10"/>
      <c r="I427" s="10"/>
    </row>
    <row r="428">
      <c r="A428" s="10"/>
      <c r="I428" s="10"/>
    </row>
    <row r="429">
      <c r="A429" s="10"/>
      <c r="I429" s="10"/>
    </row>
    <row r="430">
      <c r="A430" s="10"/>
      <c r="I430" s="10"/>
    </row>
    <row r="431">
      <c r="A431" s="10"/>
      <c r="I431" s="10"/>
    </row>
    <row r="432">
      <c r="A432" s="10"/>
      <c r="I432" s="10"/>
    </row>
    <row r="433">
      <c r="A433" s="10"/>
      <c r="I433" s="10"/>
    </row>
    <row r="434">
      <c r="A434" s="10"/>
      <c r="I434" s="10"/>
    </row>
    <row r="435">
      <c r="A435" s="10"/>
      <c r="I435" s="10"/>
    </row>
    <row r="436">
      <c r="A436" s="10"/>
      <c r="I436" s="10"/>
    </row>
    <row r="437">
      <c r="A437" s="10"/>
      <c r="I437" s="10"/>
    </row>
    <row r="438">
      <c r="A438" s="10"/>
      <c r="I438" s="10"/>
    </row>
    <row r="439">
      <c r="A439" s="10"/>
      <c r="I439" s="10"/>
    </row>
    <row r="440">
      <c r="A440" s="10"/>
      <c r="I440" s="10"/>
    </row>
    <row r="441">
      <c r="A441" s="10"/>
      <c r="I441" s="10"/>
    </row>
    <row r="442">
      <c r="A442" s="10"/>
      <c r="I442" s="10"/>
    </row>
    <row r="443">
      <c r="A443" s="10"/>
      <c r="I443" s="10"/>
    </row>
    <row r="444">
      <c r="A444" s="10"/>
      <c r="I444" s="10"/>
    </row>
    <row r="445">
      <c r="A445" s="10"/>
      <c r="I445" s="10"/>
    </row>
    <row r="446">
      <c r="A446" s="10"/>
      <c r="I446" s="10"/>
    </row>
    <row r="447">
      <c r="A447" s="10"/>
      <c r="I447" s="10"/>
    </row>
    <row r="448">
      <c r="A448" s="10"/>
      <c r="I448" s="10"/>
    </row>
    <row r="449">
      <c r="A449" s="10"/>
      <c r="I449" s="10"/>
    </row>
    <row r="450">
      <c r="A450" s="10"/>
      <c r="I450" s="10"/>
    </row>
    <row r="451">
      <c r="A451" s="10"/>
      <c r="I451" s="10"/>
    </row>
    <row r="452">
      <c r="A452" s="10"/>
      <c r="I452" s="10"/>
    </row>
    <row r="453">
      <c r="A453" s="10"/>
      <c r="I453" s="10"/>
    </row>
    <row r="454">
      <c r="A454" s="10"/>
      <c r="I454" s="10"/>
    </row>
    <row r="455">
      <c r="A455" s="10"/>
      <c r="I455" s="10"/>
    </row>
    <row r="456">
      <c r="A456" s="10"/>
      <c r="I456" s="10"/>
    </row>
    <row r="457">
      <c r="A457" s="10"/>
      <c r="I457" s="10"/>
    </row>
    <row r="458">
      <c r="A458" s="10"/>
      <c r="I458" s="10"/>
    </row>
    <row r="459">
      <c r="A459" s="10"/>
      <c r="I459" s="10"/>
    </row>
    <row r="460">
      <c r="A460" s="10"/>
      <c r="I460" s="10"/>
    </row>
    <row r="461">
      <c r="A461" s="10"/>
      <c r="I461" s="10"/>
    </row>
    <row r="462">
      <c r="A462" s="10"/>
      <c r="I462" s="10"/>
    </row>
    <row r="463">
      <c r="A463" s="10"/>
      <c r="I463" s="10"/>
    </row>
    <row r="464">
      <c r="A464" s="10"/>
      <c r="I464" s="10"/>
    </row>
    <row r="465">
      <c r="A465" s="10"/>
      <c r="I465" s="10"/>
    </row>
    <row r="466">
      <c r="A466" s="10"/>
      <c r="I466" s="10"/>
    </row>
    <row r="467">
      <c r="A467" s="10"/>
      <c r="I467" s="10"/>
    </row>
    <row r="468">
      <c r="A468" s="10"/>
      <c r="I468" s="10"/>
    </row>
    <row r="469">
      <c r="A469" s="10"/>
      <c r="I469" s="10"/>
    </row>
    <row r="470">
      <c r="A470" s="10"/>
      <c r="I470" s="10"/>
    </row>
    <row r="471">
      <c r="A471" s="10"/>
      <c r="I471" s="10"/>
    </row>
    <row r="472">
      <c r="A472" s="10"/>
      <c r="I472" s="10"/>
    </row>
    <row r="473">
      <c r="A473" s="10"/>
      <c r="I473" s="10"/>
    </row>
    <row r="474">
      <c r="A474" s="10"/>
      <c r="I474" s="10"/>
    </row>
    <row r="475">
      <c r="A475" s="10"/>
      <c r="I475" s="10"/>
    </row>
    <row r="476">
      <c r="A476" s="10"/>
      <c r="I476" s="10"/>
    </row>
    <row r="477">
      <c r="A477" s="10"/>
      <c r="I477" s="10"/>
    </row>
    <row r="478">
      <c r="A478" s="10"/>
      <c r="I478" s="10"/>
    </row>
    <row r="479">
      <c r="A479" s="10"/>
      <c r="I479" s="10"/>
    </row>
    <row r="480">
      <c r="A480" s="10"/>
      <c r="I480" s="10"/>
    </row>
    <row r="481">
      <c r="A481" s="10"/>
      <c r="I481" s="10"/>
    </row>
    <row r="482">
      <c r="A482" s="10"/>
      <c r="I482" s="10"/>
    </row>
    <row r="483">
      <c r="A483" s="10"/>
      <c r="I483" s="10"/>
    </row>
    <row r="484">
      <c r="A484" s="10"/>
      <c r="I484" s="10"/>
    </row>
    <row r="485">
      <c r="A485" s="10"/>
      <c r="I485" s="10"/>
    </row>
    <row r="486">
      <c r="A486" s="10"/>
      <c r="I486" s="10"/>
    </row>
    <row r="487">
      <c r="A487" s="10"/>
      <c r="I487" s="10"/>
    </row>
    <row r="488">
      <c r="A488" s="10"/>
      <c r="I488" s="10"/>
    </row>
    <row r="489">
      <c r="A489" s="10"/>
      <c r="I489" s="10"/>
    </row>
    <row r="490">
      <c r="A490" s="10"/>
      <c r="I490" s="10"/>
    </row>
    <row r="491">
      <c r="A491" s="10"/>
      <c r="I491" s="10"/>
    </row>
    <row r="492">
      <c r="A492" s="10"/>
      <c r="I492" s="10"/>
    </row>
    <row r="493">
      <c r="A493" s="10"/>
      <c r="I493" s="10"/>
    </row>
    <row r="494">
      <c r="A494" s="10"/>
      <c r="I494" s="10"/>
    </row>
    <row r="495">
      <c r="A495" s="10"/>
      <c r="I495" s="10"/>
    </row>
    <row r="496">
      <c r="A496" s="10"/>
      <c r="I496" s="10"/>
    </row>
    <row r="497">
      <c r="A497" s="10"/>
      <c r="I497" s="10"/>
    </row>
    <row r="498">
      <c r="A498" s="10"/>
      <c r="I498" s="10"/>
    </row>
    <row r="499">
      <c r="A499" s="10"/>
      <c r="I499" s="10"/>
    </row>
    <row r="500">
      <c r="A500" s="10"/>
      <c r="I500" s="10"/>
    </row>
    <row r="501">
      <c r="A501" s="10"/>
      <c r="I501" s="10"/>
    </row>
    <row r="502">
      <c r="A502" s="10"/>
      <c r="I502" s="10"/>
    </row>
    <row r="503">
      <c r="A503" s="10"/>
      <c r="I503" s="10"/>
    </row>
    <row r="504">
      <c r="A504" s="10"/>
      <c r="I504" s="10"/>
    </row>
    <row r="505">
      <c r="A505" s="10"/>
      <c r="I505" s="10"/>
    </row>
    <row r="506">
      <c r="A506" s="10"/>
      <c r="I506" s="10"/>
    </row>
    <row r="507">
      <c r="A507" s="10"/>
      <c r="I507" s="10"/>
    </row>
    <row r="508">
      <c r="A508" s="10"/>
      <c r="I508" s="10"/>
    </row>
    <row r="509">
      <c r="A509" s="10"/>
      <c r="I509" s="10"/>
    </row>
    <row r="510">
      <c r="A510" s="10"/>
      <c r="I510" s="10"/>
    </row>
    <row r="511">
      <c r="A511" s="10"/>
      <c r="I511" s="10"/>
    </row>
    <row r="512">
      <c r="A512" s="10"/>
      <c r="I512" s="10"/>
    </row>
    <row r="513">
      <c r="A513" s="10"/>
      <c r="I513" s="10"/>
    </row>
    <row r="514">
      <c r="A514" s="10"/>
      <c r="I514" s="10"/>
    </row>
    <row r="515">
      <c r="A515" s="10"/>
      <c r="I515" s="10"/>
    </row>
    <row r="516">
      <c r="A516" s="10"/>
      <c r="I516" s="10"/>
    </row>
    <row r="517">
      <c r="A517" s="10"/>
      <c r="I517" s="10"/>
    </row>
    <row r="518">
      <c r="A518" s="10"/>
      <c r="I518" s="10"/>
    </row>
    <row r="519">
      <c r="A519" s="10"/>
      <c r="I519" s="10"/>
    </row>
    <row r="520">
      <c r="A520" s="10"/>
      <c r="I520" s="10"/>
    </row>
    <row r="521">
      <c r="A521" s="10"/>
      <c r="I521" s="10"/>
    </row>
    <row r="522">
      <c r="A522" s="10"/>
      <c r="I522" s="10"/>
    </row>
    <row r="523">
      <c r="A523" s="10"/>
      <c r="I523" s="10"/>
    </row>
    <row r="524">
      <c r="A524" s="10"/>
      <c r="I524" s="10"/>
    </row>
    <row r="525">
      <c r="A525" s="10"/>
      <c r="I525" s="10"/>
    </row>
    <row r="526">
      <c r="A526" s="10"/>
      <c r="I526" s="10"/>
    </row>
    <row r="527">
      <c r="A527" s="10"/>
      <c r="I527" s="10"/>
    </row>
    <row r="528">
      <c r="A528" s="10"/>
      <c r="I528" s="10"/>
    </row>
    <row r="529">
      <c r="A529" s="10"/>
      <c r="I529" s="10"/>
    </row>
    <row r="530">
      <c r="A530" s="10"/>
      <c r="I530" s="10"/>
    </row>
    <row r="531">
      <c r="A531" s="10"/>
      <c r="I531" s="10"/>
    </row>
    <row r="532">
      <c r="A532" s="10"/>
      <c r="I532" s="10"/>
    </row>
    <row r="533">
      <c r="A533" s="10"/>
      <c r="I533" s="10"/>
    </row>
    <row r="534">
      <c r="A534" s="10"/>
      <c r="I534" s="10"/>
    </row>
    <row r="535">
      <c r="A535" s="10"/>
      <c r="I535" s="10"/>
    </row>
    <row r="536">
      <c r="A536" s="10"/>
      <c r="I536" s="10"/>
    </row>
    <row r="537">
      <c r="A537" s="10"/>
      <c r="I537" s="10"/>
    </row>
    <row r="538">
      <c r="A538" s="10"/>
      <c r="I538" s="10"/>
    </row>
    <row r="539">
      <c r="A539" s="10"/>
      <c r="I539" s="10"/>
    </row>
    <row r="540">
      <c r="A540" s="10"/>
      <c r="I540" s="10"/>
    </row>
    <row r="541">
      <c r="A541" s="10"/>
      <c r="I541" s="10"/>
    </row>
    <row r="542">
      <c r="A542" s="10"/>
      <c r="I542" s="10"/>
    </row>
    <row r="543">
      <c r="A543" s="10"/>
      <c r="I543" s="10"/>
    </row>
    <row r="544">
      <c r="A544" s="10"/>
      <c r="I544" s="10"/>
    </row>
    <row r="545">
      <c r="A545" s="10"/>
      <c r="I545" s="10"/>
    </row>
    <row r="546">
      <c r="A546" s="10"/>
      <c r="I546" s="10"/>
    </row>
    <row r="547">
      <c r="A547" s="10"/>
      <c r="I547" s="10"/>
    </row>
    <row r="548">
      <c r="A548" s="10"/>
      <c r="I548" s="10"/>
    </row>
    <row r="549">
      <c r="A549" s="10"/>
      <c r="I549" s="10"/>
    </row>
    <row r="550">
      <c r="A550" s="10"/>
      <c r="I550" s="10"/>
    </row>
    <row r="551">
      <c r="A551" s="10"/>
      <c r="I551" s="10"/>
    </row>
    <row r="552">
      <c r="A552" s="10"/>
      <c r="I552" s="10"/>
    </row>
    <row r="553">
      <c r="A553" s="10"/>
      <c r="I553" s="10"/>
    </row>
    <row r="554">
      <c r="A554" s="10"/>
      <c r="I554" s="10"/>
    </row>
    <row r="555">
      <c r="A555" s="10"/>
      <c r="I555" s="10"/>
    </row>
    <row r="556">
      <c r="A556" s="10"/>
      <c r="I556" s="10"/>
    </row>
    <row r="557">
      <c r="A557" s="10"/>
      <c r="I557" s="10"/>
    </row>
    <row r="558">
      <c r="A558" s="10"/>
      <c r="I558" s="10"/>
    </row>
    <row r="559">
      <c r="A559" s="10"/>
      <c r="I559" s="10"/>
    </row>
    <row r="560">
      <c r="A560" s="10"/>
      <c r="I560" s="10"/>
    </row>
    <row r="561">
      <c r="A561" s="10"/>
      <c r="I561" s="10"/>
    </row>
    <row r="562">
      <c r="A562" s="10"/>
      <c r="I562" s="10"/>
    </row>
    <row r="563">
      <c r="A563" s="10"/>
      <c r="I563" s="10"/>
    </row>
    <row r="564">
      <c r="A564" s="10"/>
      <c r="I564" s="10"/>
    </row>
    <row r="565">
      <c r="A565" s="10"/>
      <c r="I565" s="10"/>
    </row>
    <row r="566">
      <c r="A566" s="10"/>
      <c r="I566" s="10"/>
    </row>
    <row r="567">
      <c r="A567" s="10"/>
      <c r="I567" s="10"/>
    </row>
    <row r="568">
      <c r="A568" s="10"/>
      <c r="I568" s="10"/>
    </row>
    <row r="569">
      <c r="A569" s="10"/>
      <c r="I569" s="10"/>
    </row>
    <row r="570">
      <c r="A570" s="10"/>
      <c r="I570" s="10"/>
    </row>
    <row r="571">
      <c r="A571" s="10"/>
      <c r="I571" s="10"/>
    </row>
    <row r="572">
      <c r="A572" s="10"/>
      <c r="I572" s="10"/>
    </row>
    <row r="573">
      <c r="A573" s="10"/>
      <c r="I573" s="10"/>
    </row>
    <row r="574">
      <c r="A574" s="10"/>
      <c r="I574" s="10"/>
    </row>
    <row r="575">
      <c r="A575" s="10"/>
      <c r="I575" s="10"/>
    </row>
    <row r="576">
      <c r="A576" s="10"/>
      <c r="I576" s="10"/>
    </row>
    <row r="577">
      <c r="A577" s="10"/>
      <c r="I577" s="10"/>
    </row>
    <row r="578">
      <c r="A578" s="10"/>
      <c r="I578" s="10"/>
    </row>
    <row r="579">
      <c r="A579" s="10"/>
      <c r="I579" s="10"/>
    </row>
    <row r="580">
      <c r="A580" s="10"/>
      <c r="I580" s="10"/>
    </row>
    <row r="581">
      <c r="A581" s="10"/>
      <c r="I581" s="10"/>
    </row>
    <row r="582">
      <c r="A582" s="10"/>
      <c r="I582" s="10"/>
    </row>
    <row r="583">
      <c r="A583" s="10"/>
      <c r="I583" s="10"/>
    </row>
    <row r="584">
      <c r="A584" s="10"/>
      <c r="I584" s="10"/>
    </row>
    <row r="585">
      <c r="A585" s="10"/>
      <c r="I585" s="10"/>
    </row>
    <row r="586">
      <c r="A586" s="10"/>
      <c r="I586" s="10"/>
    </row>
    <row r="587">
      <c r="A587" s="10"/>
      <c r="I587" s="10"/>
    </row>
    <row r="588">
      <c r="A588" s="10"/>
      <c r="I588" s="10"/>
    </row>
    <row r="589">
      <c r="A589" s="10"/>
      <c r="I589" s="10"/>
    </row>
    <row r="590">
      <c r="A590" s="10"/>
      <c r="I590" s="10"/>
    </row>
    <row r="591">
      <c r="A591" s="10"/>
      <c r="I591" s="10"/>
    </row>
    <row r="592">
      <c r="A592" s="10"/>
      <c r="I592" s="10"/>
    </row>
    <row r="593">
      <c r="A593" s="10"/>
      <c r="I593" s="10"/>
    </row>
    <row r="594">
      <c r="A594" s="10"/>
      <c r="I594" s="10"/>
    </row>
    <row r="595">
      <c r="A595" s="10"/>
      <c r="I595" s="10"/>
    </row>
    <row r="596">
      <c r="A596" s="10"/>
      <c r="I596" s="10"/>
    </row>
    <row r="597">
      <c r="A597" s="10"/>
      <c r="I597" s="10"/>
    </row>
    <row r="598">
      <c r="A598" s="10"/>
      <c r="I598" s="10"/>
    </row>
    <row r="599">
      <c r="A599" s="10"/>
      <c r="I599" s="10"/>
    </row>
    <row r="600">
      <c r="A600" s="10"/>
      <c r="I600" s="10"/>
    </row>
    <row r="601">
      <c r="A601" s="10"/>
      <c r="I601" s="10"/>
    </row>
    <row r="602">
      <c r="A602" s="10"/>
      <c r="I602" s="10"/>
    </row>
    <row r="603">
      <c r="A603" s="10"/>
      <c r="I603" s="10"/>
    </row>
    <row r="604">
      <c r="A604" s="10"/>
      <c r="I604" s="10"/>
    </row>
    <row r="605">
      <c r="A605" s="10"/>
      <c r="I605" s="10"/>
    </row>
    <row r="606">
      <c r="A606" s="10"/>
      <c r="I606" s="10"/>
    </row>
    <row r="607">
      <c r="A607" s="10"/>
      <c r="I607" s="10"/>
    </row>
    <row r="608">
      <c r="A608" s="10"/>
      <c r="I608" s="10"/>
    </row>
    <row r="609">
      <c r="A609" s="10"/>
      <c r="I609" s="10"/>
    </row>
    <row r="610">
      <c r="A610" s="10"/>
      <c r="I610" s="10"/>
    </row>
    <row r="611">
      <c r="A611" s="10"/>
      <c r="I611" s="10"/>
    </row>
    <row r="612">
      <c r="A612" s="10"/>
      <c r="I612" s="10"/>
    </row>
    <row r="613">
      <c r="A613" s="10"/>
      <c r="I613" s="10"/>
    </row>
    <row r="614">
      <c r="A614" s="10"/>
      <c r="I614" s="10"/>
    </row>
    <row r="615">
      <c r="A615" s="10"/>
      <c r="I615" s="10"/>
    </row>
    <row r="616">
      <c r="A616" s="10"/>
      <c r="I616" s="10"/>
    </row>
    <row r="617">
      <c r="A617" s="10"/>
      <c r="I617" s="10"/>
    </row>
    <row r="618">
      <c r="A618" s="10"/>
      <c r="I618" s="10"/>
    </row>
    <row r="619">
      <c r="A619" s="10"/>
      <c r="I619" s="10"/>
    </row>
    <row r="620">
      <c r="A620" s="10"/>
      <c r="I620" s="10"/>
    </row>
    <row r="621">
      <c r="A621" s="10"/>
      <c r="I621" s="10"/>
    </row>
    <row r="622">
      <c r="A622" s="10"/>
      <c r="I622" s="10"/>
    </row>
    <row r="623">
      <c r="A623" s="10"/>
      <c r="I623" s="10"/>
    </row>
    <row r="624">
      <c r="A624" s="10"/>
      <c r="I624" s="10"/>
    </row>
    <row r="625">
      <c r="A625" s="10"/>
      <c r="I625" s="10"/>
    </row>
    <row r="626">
      <c r="A626" s="10"/>
      <c r="I626" s="10"/>
    </row>
    <row r="627">
      <c r="A627" s="10"/>
      <c r="I627" s="10"/>
    </row>
    <row r="628">
      <c r="A628" s="10"/>
      <c r="I628" s="10"/>
    </row>
    <row r="629">
      <c r="A629" s="10"/>
      <c r="I629" s="10"/>
    </row>
    <row r="630">
      <c r="A630" s="10"/>
      <c r="I630" s="10"/>
    </row>
    <row r="631">
      <c r="A631" s="10"/>
      <c r="I631" s="10"/>
    </row>
    <row r="632">
      <c r="A632" s="10"/>
      <c r="I632" s="10"/>
    </row>
    <row r="633">
      <c r="A633" s="10"/>
      <c r="I633" s="10"/>
    </row>
    <row r="634">
      <c r="A634" s="10"/>
      <c r="I634" s="10"/>
    </row>
    <row r="635">
      <c r="A635" s="10"/>
      <c r="I635" s="10"/>
    </row>
    <row r="636">
      <c r="A636" s="10"/>
      <c r="I636" s="10"/>
    </row>
    <row r="637">
      <c r="A637" s="10"/>
      <c r="I637" s="10"/>
    </row>
    <row r="638">
      <c r="A638" s="10"/>
      <c r="I638" s="10"/>
    </row>
    <row r="639">
      <c r="A639" s="10"/>
      <c r="I639" s="10"/>
    </row>
    <row r="640">
      <c r="A640" s="10"/>
      <c r="I640" s="10"/>
    </row>
    <row r="641">
      <c r="A641" s="10"/>
      <c r="I641" s="10"/>
    </row>
    <row r="642">
      <c r="A642" s="10"/>
      <c r="I642" s="10"/>
    </row>
    <row r="643">
      <c r="A643" s="10"/>
      <c r="I643" s="10"/>
    </row>
    <row r="644">
      <c r="A644" s="10"/>
      <c r="I644" s="10"/>
    </row>
    <row r="645">
      <c r="A645" s="10"/>
      <c r="I645" s="10"/>
    </row>
    <row r="646">
      <c r="A646" s="10"/>
      <c r="I646" s="10"/>
    </row>
    <row r="647">
      <c r="A647" s="10"/>
      <c r="I647" s="10"/>
    </row>
    <row r="648">
      <c r="A648" s="10"/>
      <c r="I648" s="10"/>
    </row>
    <row r="649">
      <c r="A649" s="10"/>
      <c r="I649" s="10"/>
    </row>
    <row r="650">
      <c r="A650" s="10"/>
      <c r="I650" s="10"/>
    </row>
    <row r="651">
      <c r="A651" s="10"/>
      <c r="I651" s="10"/>
    </row>
    <row r="652">
      <c r="A652" s="10"/>
      <c r="I652" s="10"/>
    </row>
    <row r="653">
      <c r="A653" s="10"/>
      <c r="I653" s="10"/>
    </row>
    <row r="654">
      <c r="A654" s="10"/>
      <c r="I654" s="10"/>
    </row>
    <row r="655">
      <c r="A655" s="10"/>
      <c r="I655" s="10"/>
    </row>
    <row r="656">
      <c r="A656" s="10"/>
      <c r="I656" s="10"/>
    </row>
    <row r="657">
      <c r="A657" s="10"/>
      <c r="I657" s="10"/>
    </row>
    <row r="658">
      <c r="A658" s="10"/>
      <c r="I658" s="10"/>
    </row>
    <row r="659">
      <c r="A659" s="10"/>
      <c r="I659" s="10"/>
    </row>
    <row r="660">
      <c r="A660" s="10"/>
      <c r="I660" s="10"/>
    </row>
    <row r="661">
      <c r="A661" s="10"/>
      <c r="I661" s="10"/>
    </row>
    <row r="662">
      <c r="A662" s="10"/>
      <c r="I662" s="10"/>
    </row>
    <row r="663">
      <c r="A663" s="10"/>
      <c r="I663" s="10"/>
    </row>
    <row r="664">
      <c r="A664" s="10"/>
      <c r="I664" s="10"/>
    </row>
    <row r="665">
      <c r="A665" s="10"/>
      <c r="I665" s="10"/>
    </row>
    <row r="666">
      <c r="A666" s="10"/>
      <c r="I666" s="10"/>
    </row>
    <row r="667">
      <c r="A667" s="10"/>
      <c r="I667" s="10"/>
    </row>
    <row r="668">
      <c r="A668" s="10"/>
      <c r="I668" s="10"/>
    </row>
    <row r="669">
      <c r="A669" s="10"/>
      <c r="I669" s="10"/>
    </row>
    <row r="670">
      <c r="A670" s="10"/>
      <c r="I670" s="10"/>
    </row>
    <row r="671">
      <c r="A671" s="10"/>
      <c r="I671" s="10"/>
    </row>
    <row r="672">
      <c r="A672" s="10"/>
      <c r="I672" s="10"/>
    </row>
    <row r="673">
      <c r="A673" s="10"/>
      <c r="I673" s="10"/>
    </row>
    <row r="674">
      <c r="A674" s="10"/>
      <c r="I674" s="10"/>
    </row>
    <row r="675">
      <c r="A675" s="10"/>
      <c r="I675" s="10"/>
    </row>
    <row r="676">
      <c r="A676" s="10"/>
      <c r="I676" s="10"/>
    </row>
    <row r="677">
      <c r="A677" s="10"/>
      <c r="I677" s="10"/>
    </row>
    <row r="678">
      <c r="A678" s="10"/>
      <c r="I678" s="10"/>
    </row>
    <row r="679">
      <c r="A679" s="10"/>
      <c r="I679" s="10"/>
    </row>
    <row r="680">
      <c r="A680" s="10"/>
      <c r="I680" s="10"/>
    </row>
    <row r="681">
      <c r="A681" s="10"/>
      <c r="I681" s="10"/>
    </row>
    <row r="682">
      <c r="A682" s="10"/>
      <c r="I682" s="10"/>
    </row>
    <row r="683">
      <c r="A683" s="10"/>
      <c r="I683" s="10"/>
    </row>
    <row r="684">
      <c r="A684" s="10"/>
      <c r="I684" s="10"/>
    </row>
    <row r="685">
      <c r="A685" s="10"/>
      <c r="I685" s="10"/>
    </row>
    <row r="686">
      <c r="A686" s="10"/>
      <c r="I686" s="10"/>
    </row>
    <row r="687">
      <c r="A687" s="10"/>
      <c r="I687" s="10"/>
    </row>
    <row r="688">
      <c r="A688" s="10"/>
      <c r="I688" s="10"/>
    </row>
    <row r="689">
      <c r="A689" s="10"/>
      <c r="I689" s="10"/>
    </row>
    <row r="690">
      <c r="A690" s="10"/>
      <c r="I690" s="10"/>
    </row>
    <row r="691">
      <c r="A691" s="10"/>
      <c r="I691" s="10"/>
    </row>
    <row r="692">
      <c r="A692" s="10"/>
      <c r="I692" s="10"/>
    </row>
    <row r="693">
      <c r="A693" s="10"/>
      <c r="I693" s="10"/>
    </row>
    <row r="694">
      <c r="A694" s="10"/>
      <c r="I694" s="10"/>
    </row>
    <row r="695">
      <c r="A695" s="10"/>
      <c r="I695" s="10"/>
    </row>
    <row r="696">
      <c r="A696" s="10"/>
      <c r="I696" s="10"/>
    </row>
    <row r="697">
      <c r="A697" s="10"/>
      <c r="I697" s="10"/>
    </row>
    <row r="698">
      <c r="A698" s="10"/>
      <c r="I698" s="10"/>
    </row>
    <row r="699">
      <c r="A699" s="10"/>
      <c r="I699" s="10"/>
    </row>
    <row r="700">
      <c r="A700" s="10"/>
      <c r="I700" s="10"/>
    </row>
    <row r="701">
      <c r="A701" s="10"/>
      <c r="I701" s="10"/>
    </row>
    <row r="702">
      <c r="A702" s="10"/>
      <c r="I702" s="10"/>
    </row>
    <row r="703">
      <c r="A703" s="10"/>
      <c r="I703" s="10"/>
    </row>
    <row r="704">
      <c r="A704" s="10"/>
      <c r="I704" s="10"/>
    </row>
    <row r="705">
      <c r="A705" s="10"/>
      <c r="I705" s="10"/>
    </row>
    <row r="706">
      <c r="A706" s="10"/>
      <c r="I706" s="10"/>
    </row>
    <row r="707">
      <c r="A707" s="10"/>
      <c r="I707" s="10"/>
    </row>
    <row r="708">
      <c r="A708" s="10"/>
      <c r="I708" s="10"/>
    </row>
    <row r="709">
      <c r="A709" s="10"/>
      <c r="I709" s="10"/>
    </row>
    <row r="710">
      <c r="A710" s="10"/>
      <c r="I710" s="10"/>
    </row>
    <row r="711">
      <c r="A711" s="10"/>
      <c r="I711" s="10"/>
    </row>
    <row r="712">
      <c r="A712" s="10"/>
      <c r="I712" s="10"/>
    </row>
    <row r="713">
      <c r="A713" s="10"/>
      <c r="I713" s="10"/>
    </row>
    <row r="714">
      <c r="A714" s="10"/>
      <c r="I714" s="10"/>
    </row>
    <row r="715">
      <c r="A715" s="10"/>
      <c r="I715" s="10"/>
    </row>
    <row r="716">
      <c r="A716" s="10"/>
      <c r="I716" s="10"/>
    </row>
    <row r="717">
      <c r="A717" s="10"/>
      <c r="I717" s="10"/>
    </row>
    <row r="718">
      <c r="A718" s="10"/>
      <c r="I718" s="10"/>
    </row>
    <row r="719">
      <c r="A719" s="10"/>
      <c r="I719" s="10"/>
    </row>
    <row r="720">
      <c r="A720" s="10"/>
      <c r="I720" s="10"/>
    </row>
    <row r="721">
      <c r="A721" s="10"/>
      <c r="I721" s="10"/>
    </row>
    <row r="722">
      <c r="A722" s="10"/>
      <c r="I722" s="10"/>
    </row>
    <row r="723">
      <c r="A723" s="10"/>
      <c r="I723" s="10"/>
    </row>
    <row r="724">
      <c r="A724" s="10"/>
      <c r="I724" s="10"/>
    </row>
    <row r="725">
      <c r="A725" s="10"/>
      <c r="I725" s="10"/>
    </row>
    <row r="726">
      <c r="A726" s="10"/>
      <c r="I726" s="10"/>
    </row>
    <row r="727">
      <c r="A727" s="10"/>
      <c r="I727" s="10"/>
    </row>
    <row r="728">
      <c r="A728" s="10"/>
      <c r="I728" s="10"/>
    </row>
    <row r="729">
      <c r="A729" s="10"/>
      <c r="I729" s="10"/>
    </row>
    <row r="730">
      <c r="A730" s="10"/>
      <c r="I730" s="10"/>
    </row>
    <row r="731">
      <c r="A731" s="10"/>
      <c r="I731" s="10"/>
    </row>
    <row r="732">
      <c r="A732" s="10"/>
      <c r="I732" s="10"/>
    </row>
    <row r="733">
      <c r="A733" s="10"/>
      <c r="I733" s="10"/>
    </row>
    <row r="734">
      <c r="A734" s="10"/>
      <c r="I734" s="10"/>
    </row>
    <row r="735">
      <c r="A735" s="10"/>
      <c r="I735" s="10"/>
    </row>
    <row r="736">
      <c r="A736" s="10"/>
      <c r="I736" s="10"/>
    </row>
    <row r="737">
      <c r="A737" s="10"/>
      <c r="I737" s="10"/>
    </row>
    <row r="738">
      <c r="A738" s="10"/>
      <c r="I738" s="10"/>
    </row>
    <row r="739">
      <c r="A739" s="10"/>
      <c r="I739" s="10"/>
    </row>
    <row r="740">
      <c r="A740" s="10"/>
      <c r="I740" s="10"/>
    </row>
    <row r="741">
      <c r="A741" s="10"/>
      <c r="I741" s="10"/>
    </row>
    <row r="742">
      <c r="A742" s="10"/>
      <c r="I742" s="10"/>
    </row>
    <row r="743">
      <c r="A743" s="10"/>
      <c r="I743" s="10"/>
    </row>
    <row r="744">
      <c r="A744" s="10"/>
      <c r="I744" s="10"/>
    </row>
    <row r="745">
      <c r="A745" s="10"/>
      <c r="I745" s="10"/>
    </row>
    <row r="746">
      <c r="A746" s="10"/>
      <c r="I746" s="10"/>
    </row>
    <row r="747">
      <c r="A747" s="10"/>
      <c r="I747" s="10"/>
    </row>
    <row r="748">
      <c r="A748" s="10"/>
      <c r="I748" s="10"/>
    </row>
    <row r="749">
      <c r="A749" s="10"/>
      <c r="I749" s="10"/>
    </row>
    <row r="750">
      <c r="A750" s="10"/>
      <c r="I750" s="10"/>
    </row>
    <row r="751">
      <c r="A751" s="10"/>
      <c r="I751" s="10"/>
    </row>
    <row r="752">
      <c r="A752" s="10"/>
      <c r="I752" s="10"/>
    </row>
    <row r="753">
      <c r="A753" s="10"/>
      <c r="I753" s="10"/>
    </row>
    <row r="754">
      <c r="A754" s="10"/>
      <c r="I754" s="10"/>
    </row>
    <row r="755">
      <c r="A755" s="10"/>
      <c r="I755" s="10"/>
    </row>
    <row r="756">
      <c r="A756" s="10"/>
      <c r="I756" s="10"/>
    </row>
    <row r="757">
      <c r="A757" s="10"/>
      <c r="I757" s="10"/>
    </row>
    <row r="758">
      <c r="A758" s="10"/>
      <c r="I758" s="10"/>
    </row>
    <row r="759">
      <c r="A759" s="10"/>
      <c r="I759" s="10"/>
    </row>
    <row r="760">
      <c r="A760" s="10"/>
      <c r="I760" s="10"/>
    </row>
    <row r="761">
      <c r="A761" s="10"/>
      <c r="I761" s="10"/>
    </row>
    <row r="762">
      <c r="A762" s="10"/>
      <c r="I762" s="10"/>
    </row>
    <row r="763">
      <c r="A763" s="10"/>
      <c r="I763" s="10"/>
    </row>
    <row r="764">
      <c r="A764" s="10"/>
      <c r="I764" s="10"/>
    </row>
    <row r="765">
      <c r="A765" s="10"/>
      <c r="I765" s="10"/>
    </row>
    <row r="766">
      <c r="A766" s="10"/>
      <c r="I766" s="10"/>
    </row>
    <row r="767">
      <c r="A767" s="10"/>
      <c r="I767" s="10"/>
    </row>
    <row r="768">
      <c r="A768" s="10"/>
      <c r="I768" s="10"/>
    </row>
    <row r="769">
      <c r="A769" s="10"/>
      <c r="I769" s="10"/>
    </row>
    <row r="770">
      <c r="A770" s="10"/>
      <c r="I770" s="10"/>
    </row>
    <row r="771">
      <c r="A771" s="10"/>
      <c r="I771" s="10"/>
    </row>
    <row r="772">
      <c r="A772" s="10"/>
      <c r="I772" s="10"/>
    </row>
    <row r="773">
      <c r="A773" s="10"/>
      <c r="I773" s="10"/>
    </row>
    <row r="774">
      <c r="A774" s="10"/>
      <c r="I774" s="10"/>
    </row>
    <row r="775">
      <c r="A775" s="10"/>
      <c r="I775" s="10"/>
    </row>
    <row r="776">
      <c r="A776" s="10"/>
      <c r="I776" s="10"/>
    </row>
    <row r="777">
      <c r="A777" s="10"/>
      <c r="I777" s="10"/>
    </row>
    <row r="778">
      <c r="A778" s="10"/>
      <c r="I778" s="10"/>
    </row>
    <row r="779">
      <c r="A779" s="10"/>
      <c r="I779" s="10"/>
    </row>
    <row r="780">
      <c r="A780" s="10"/>
      <c r="I780" s="10"/>
    </row>
    <row r="781">
      <c r="A781" s="10"/>
      <c r="I781" s="10"/>
    </row>
    <row r="782">
      <c r="A782" s="10"/>
      <c r="I782" s="10"/>
    </row>
    <row r="783">
      <c r="A783" s="10"/>
      <c r="I783" s="10"/>
    </row>
    <row r="784">
      <c r="A784" s="10"/>
      <c r="I784" s="10"/>
    </row>
    <row r="785">
      <c r="A785" s="10"/>
      <c r="I785" s="10"/>
    </row>
    <row r="786">
      <c r="A786" s="10"/>
      <c r="I786" s="10"/>
    </row>
    <row r="787">
      <c r="A787" s="10"/>
      <c r="I787" s="10"/>
    </row>
    <row r="788">
      <c r="A788" s="10"/>
      <c r="I788" s="10"/>
    </row>
    <row r="789">
      <c r="A789" s="10"/>
      <c r="I789" s="10"/>
    </row>
    <row r="790">
      <c r="A790" s="10"/>
      <c r="I790" s="10"/>
    </row>
    <row r="791">
      <c r="A791" s="10"/>
      <c r="I791" s="10"/>
    </row>
    <row r="792">
      <c r="A792" s="10"/>
      <c r="I792" s="10"/>
    </row>
    <row r="793">
      <c r="A793" s="10"/>
      <c r="I793" s="10"/>
    </row>
    <row r="794">
      <c r="A794" s="10"/>
      <c r="I794" s="10"/>
    </row>
    <row r="795">
      <c r="A795" s="10"/>
      <c r="I795" s="10"/>
    </row>
    <row r="796">
      <c r="A796" s="10"/>
      <c r="I796" s="10"/>
    </row>
    <row r="797">
      <c r="A797" s="10"/>
      <c r="I797" s="10"/>
    </row>
    <row r="798">
      <c r="A798" s="10"/>
      <c r="I798" s="10"/>
    </row>
    <row r="799">
      <c r="A799" s="10"/>
      <c r="I799" s="10"/>
    </row>
    <row r="800">
      <c r="A800" s="10"/>
      <c r="I800" s="10"/>
    </row>
    <row r="801">
      <c r="A801" s="10"/>
      <c r="I801" s="10"/>
    </row>
    <row r="802">
      <c r="A802" s="10"/>
      <c r="I802" s="10"/>
    </row>
    <row r="803">
      <c r="A803" s="10"/>
      <c r="I803" s="10"/>
    </row>
    <row r="804">
      <c r="A804" s="10"/>
      <c r="I804" s="10"/>
    </row>
    <row r="805">
      <c r="A805" s="10"/>
      <c r="I805" s="10"/>
    </row>
    <row r="806">
      <c r="A806" s="10"/>
      <c r="I806" s="10"/>
    </row>
    <row r="807">
      <c r="A807" s="10"/>
      <c r="I807" s="10"/>
    </row>
    <row r="808">
      <c r="A808" s="10"/>
      <c r="I808" s="10"/>
    </row>
    <row r="809">
      <c r="A809" s="10"/>
      <c r="I809" s="10"/>
    </row>
    <row r="810">
      <c r="A810" s="10"/>
      <c r="I810" s="10"/>
    </row>
    <row r="811">
      <c r="A811" s="10"/>
      <c r="I811" s="10"/>
    </row>
    <row r="812">
      <c r="A812" s="10"/>
      <c r="I812" s="10"/>
    </row>
    <row r="813">
      <c r="A813" s="10"/>
      <c r="I813" s="10"/>
    </row>
    <row r="814">
      <c r="A814" s="10"/>
      <c r="I814" s="10"/>
    </row>
    <row r="815">
      <c r="A815" s="10"/>
      <c r="I815" s="10"/>
    </row>
    <row r="816">
      <c r="A816" s="10"/>
      <c r="I816" s="10"/>
    </row>
    <row r="817">
      <c r="A817" s="10"/>
      <c r="I817" s="10"/>
    </row>
    <row r="818">
      <c r="A818" s="10"/>
      <c r="I818" s="10"/>
    </row>
    <row r="819">
      <c r="A819" s="10"/>
      <c r="I819" s="10"/>
    </row>
    <row r="820">
      <c r="A820" s="10"/>
      <c r="I820" s="10"/>
    </row>
    <row r="821">
      <c r="A821" s="10"/>
      <c r="I821" s="10"/>
    </row>
    <row r="822">
      <c r="A822" s="10"/>
      <c r="I822" s="10"/>
    </row>
    <row r="823">
      <c r="A823" s="10"/>
      <c r="I823" s="10"/>
    </row>
    <row r="824">
      <c r="A824" s="10"/>
      <c r="I824" s="10"/>
    </row>
    <row r="825">
      <c r="A825" s="10"/>
      <c r="I825" s="10"/>
    </row>
    <row r="826">
      <c r="A826" s="10"/>
      <c r="I826" s="10"/>
    </row>
    <row r="827">
      <c r="A827" s="10"/>
      <c r="I827" s="10"/>
    </row>
    <row r="828">
      <c r="A828" s="10"/>
      <c r="I828" s="10"/>
    </row>
    <row r="829">
      <c r="A829" s="10"/>
      <c r="I829" s="10"/>
    </row>
    <row r="830">
      <c r="A830" s="10"/>
      <c r="I830" s="10"/>
    </row>
    <row r="831">
      <c r="A831" s="10"/>
      <c r="I831" s="10"/>
    </row>
    <row r="832">
      <c r="A832" s="10"/>
      <c r="I832" s="10"/>
    </row>
    <row r="833">
      <c r="A833" s="10"/>
      <c r="I833" s="10"/>
    </row>
    <row r="834">
      <c r="A834" s="10"/>
      <c r="I834" s="10"/>
    </row>
    <row r="835">
      <c r="A835" s="10"/>
      <c r="I835" s="10"/>
    </row>
    <row r="836">
      <c r="A836" s="10"/>
      <c r="I836" s="10"/>
    </row>
    <row r="837">
      <c r="A837" s="10"/>
      <c r="I837" s="10"/>
    </row>
    <row r="838">
      <c r="A838" s="10"/>
      <c r="I838" s="10"/>
    </row>
    <row r="839">
      <c r="A839" s="10"/>
      <c r="I839" s="10"/>
    </row>
    <row r="840">
      <c r="A840" s="10"/>
      <c r="I840" s="10"/>
    </row>
    <row r="841">
      <c r="A841" s="10"/>
      <c r="I841" s="10"/>
    </row>
    <row r="842">
      <c r="A842" s="10"/>
      <c r="I842" s="10"/>
    </row>
    <row r="843">
      <c r="A843" s="10"/>
      <c r="I843" s="10"/>
    </row>
    <row r="844">
      <c r="A844" s="10"/>
      <c r="I844" s="10"/>
    </row>
    <row r="845">
      <c r="A845" s="10"/>
      <c r="I845" s="10"/>
    </row>
    <row r="846">
      <c r="A846" s="10"/>
      <c r="I846" s="10"/>
    </row>
    <row r="847">
      <c r="A847" s="10"/>
      <c r="I847" s="10"/>
    </row>
    <row r="848">
      <c r="A848" s="10"/>
      <c r="I848" s="10"/>
    </row>
    <row r="849">
      <c r="A849" s="10"/>
      <c r="I849" s="10"/>
    </row>
    <row r="850">
      <c r="A850" s="10"/>
      <c r="I850" s="10"/>
    </row>
    <row r="851">
      <c r="A851" s="10"/>
      <c r="I851" s="10"/>
    </row>
    <row r="852">
      <c r="A852" s="10"/>
      <c r="I852" s="10"/>
    </row>
    <row r="853">
      <c r="A853" s="10"/>
      <c r="I853" s="10"/>
    </row>
    <row r="854">
      <c r="A854" s="10"/>
      <c r="I854" s="10"/>
    </row>
    <row r="855">
      <c r="A855" s="10"/>
      <c r="I855" s="10"/>
    </row>
    <row r="856">
      <c r="A856" s="10"/>
      <c r="I856" s="10"/>
    </row>
    <row r="857">
      <c r="A857" s="10"/>
      <c r="I857" s="10"/>
    </row>
    <row r="858">
      <c r="A858" s="10"/>
      <c r="I858" s="10"/>
    </row>
    <row r="859">
      <c r="A859" s="10"/>
      <c r="I859" s="10"/>
    </row>
    <row r="860">
      <c r="A860" s="10"/>
      <c r="I860" s="10"/>
    </row>
    <row r="861">
      <c r="A861" s="10"/>
      <c r="I861" s="10"/>
    </row>
    <row r="862">
      <c r="A862" s="10"/>
      <c r="I862" s="10"/>
    </row>
    <row r="863">
      <c r="A863" s="10"/>
      <c r="I863" s="10"/>
    </row>
    <row r="864">
      <c r="A864" s="10"/>
      <c r="I864" s="10"/>
    </row>
    <row r="865">
      <c r="A865" s="10"/>
      <c r="I865" s="10"/>
    </row>
    <row r="866">
      <c r="A866" s="10"/>
      <c r="I866" s="10"/>
    </row>
    <row r="867">
      <c r="A867" s="10"/>
      <c r="I867" s="10"/>
    </row>
    <row r="868">
      <c r="A868" s="10"/>
      <c r="I868" s="10"/>
    </row>
    <row r="869">
      <c r="A869" s="10"/>
      <c r="I869" s="10"/>
    </row>
    <row r="870">
      <c r="A870" s="10"/>
      <c r="I870" s="10"/>
    </row>
    <row r="871">
      <c r="A871" s="10"/>
      <c r="I871" s="10"/>
    </row>
    <row r="872">
      <c r="A872" s="10"/>
      <c r="I872" s="10"/>
    </row>
    <row r="873">
      <c r="A873" s="10"/>
      <c r="I873" s="10"/>
    </row>
    <row r="874">
      <c r="A874" s="10"/>
      <c r="I874" s="10"/>
    </row>
    <row r="875">
      <c r="A875" s="10"/>
      <c r="I875" s="10"/>
    </row>
    <row r="876">
      <c r="A876" s="10"/>
      <c r="I876" s="10"/>
    </row>
    <row r="877">
      <c r="A877" s="10"/>
      <c r="I877" s="10"/>
    </row>
    <row r="878">
      <c r="A878" s="10"/>
      <c r="I878" s="10"/>
    </row>
    <row r="879">
      <c r="A879" s="10"/>
      <c r="I879" s="10"/>
    </row>
    <row r="880">
      <c r="A880" s="10"/>
      <c r="I880" s="10"/>
    </row>
    <row r="881">
      <c r="A881" s="10"/>
      <c r="I881" s="10"/>
    </row>
    <row r="882">
      <c r="A882" s="10"/>
      <c r="I882" s="10"/>
    </row>
    <row r="883">
      <c r="A883" s="10"/>
      <c r="I883" s="10"/>
    </row>
    <row r="884">
      <c r="A884" s="10"/>
      <c r="I884" s="10"/>
    </row>
    <row r="885">
      <c r="A885" s="10"/>
      <c r="I885" s="10"/>
    </row>
    <row r="886">
      <c r="A886" s="10"/>
      <c r="I886" s="10"/>
    </row>
    <row r="887">
      <c r="A887" s="10"/>
      <c r="I887" s="10"/>
    </row>
    <row r="888">
      <c r="A888" s="10"/>
      <c r="I888" s="10"/>
    </row>
    <row r="889">
      <c r="A889" s="10"/>
      <c r="I889" s="10"/>
    </row>
    <row r="890">
      <c r="A890" s="10"/>
      <c r="I890" s="10"/>
    </row>
    <row r="891">
      <c r="A891" s="10"/>
      <c r="I891" s="10"/>
    </row>
    <row r="892">
      <c r="A892" s="10"/>
      <c r="I892" s="10"/>
    </row>
    <row r="893">
      <c r="A893" s="10"/>
      <c r="I893" s="10"/>
    </row>
    <row r="894">
      <c r="A894" s="10"/>
      <c r="I894" s="10"/>
    </row>
    <row r="895">
      <c r="A895" s="10"/>
      <c r="I895" s="10"/>
    </row>
    <row r="896">
      <c r="A896" s="10"/>
      <c r="I896" s="10"/>
    </row>
    <row r="897">
      <c r="A897" s="10"/>
      <c r="I897" s="10"/>
    </row>
    <row r="898">
      <c r="A898" s="10"/>
      <c r="I898" s="10"/>
    </row>
    <row r="899">
      <c r="A899" s="10"/>
      <c r="I899" s="10"/>
    </row>
    <row r="900">
      <c r="A900" s="10"/>
      <c r="I900" s="10"/>
    </row>
    <row r="901">
      <c r="A901" s="10"/>
      <c r="I901" s="10"/>
    </row>
    <row r="902">
      <c r="A902" s="10"/>
      <c r="I902" s="10"/>
    </row>
    <row r="903">
      <c r="A903" s="10"/>
      <c r="I903" s="10"/>
    </row>
    <row r="904">
      <c r="A904" s="10"/>
      <c r="I904" s="10"/>
    </row>
    <row r="905">
      <c r="A905" s="10"/>
      <c r="I905" s="10"/>
    </row>
    <row r="906">
      <c r="A906" s="10"/>
      <c r="I906" s="10"/>
    </row>
    <row r="907">
      <c r="A907" s="10"/>
      <c r="I907" s="10"/>
    </row>
    <row r="908">
      <c r="A908" s="10"/>
      <c r="I908" s="10"/>
    </row>
    <row r="909">
      <c r="A909" s="10"/>
      <c r="I909" s="10"/>
    </row>
    <row r="910">
      <c r="A910" s="10"/>
      <c r="I910" s="10"/>
    </row>
    <row r="911">
      <c r="A911" s="10"/>
      <c r="I911" s="10"/>
    </row>
    <row r="912">
      <c r="A912" s="10"/>
      <c r="I912" s="10"/>
    </row>
    <row r="913">
      <c r="A913" s="10"/>
      <c r="I913" s="10"/>
    </row>
    <row r="914">
      <c r="A914" s="10"/>
      <c r="I914" s="10"/>
    </row>
    <row r="915">
      <c r="A915" s="10"/>
      <c r="I915" s="10"/>
    </row>
    <row r="916">
      <c r="A916" s="10"/>
      <c r="I916" s="10"/>
    </row>
    <row r="917">
      <c r="A917" s="10"/>
      <c r="I917" s="10"/>
    </row>
    <row r="918">
      <c r="A918" s="10"/>
      <c r="I918" s="10"/>
    </row>
    <row r="919">
      <c r="A919" s="10"/>
      <c r="I919" s="10"/>
    </row>
    <row r="920">
      <c r="A920" s="10"/>
      <c r="I920" s="10"/>
    </row>
    <row r="921">
      <c r="A921" s="10"/>
      <c r="I921" s="10"/>
    </row>
    <row r="922">
      <c r="A922" s="10"/>
      <c r="I922" s="10"/>
    </row>
    <row r="923">
      <c r="A923" s="10"/>
      <c r="I923" s="10"/>
    </row>
    <row r="924">
      <c r="A924" s="10"/>
      <c r="I924" s="10"/>
    </row>
    <row r="925">
      <c r="A925" s="10"/>
      <c r="I925" s="10"/>
    </row>
    <row r="926">
      <c r="A926" s="10"/>
      <c r="I926" s="10"/>
    </row>
    <row r="927">
      <c r="A927" s="10"/>
      <c r="I927" s="10"/>
    </row>
    <row r="928">
      <c r="A928" s="10"/>
      <c r="I928" s="10"/>
    </row>
    <row r="929">
      <c r="A929" s="10"/>
      <c r="I929" s="10"/>
    </row>
    <row r="930">
      <c r="A930" s="10"/>
      <c r="I930" s="10"/>
    </row>
    <row r="931">
      <c r="A931" s="10"/>
      <c r="I931" s="10"/>
    </row>
    <row r="932">
      <c r="A932" s="10"/>
      <c r="I932" s="10"/>
    </row>
    <row r="933">
      <c r="A933" s="10"/>
      <c r="I933" s="10"/>
    </row>
    <row r="934">
      <c r="A934" s="10"/>
      <c r="I934" s="10"/>
    </row>
    <row r="935">
      <c r="A935" s="10"/>
      <c r="I935" s="10"/>
    </row>
    <row r="936">
      <c r="A936" s="10"/>
      <c r="I936" s="10"/>
    </row>
    <row r="937">
      <c r="A937" s="10"/>
      <c r="I937" s="10"/>
    </row>
    <row r="938">
      <c r="A938" s="10"/>
      <c r="I938" s="10"/>
    </row>
    <row r="939">
      <c r="A939" s="10"/>
      <c r="I939" s="10"/>
    </row>
    <row r="940">
      <c r="A940" s="10"/>
      <c r="I940" s="10"/>
    </row>
    <row r="941">
      <c r="A941" s="10"/>
      <c r="I941" s="10"/>
    </row>
    <row r="942">
      <c r="A942" s="10"/>
      <c r="I942" s="10"/>
    </row>
    <row r="943">
      <c r="A943" s="10"/>
      <c r="I943" s="10"/>
    </row>
    <row r="944">
      <c r="A944" s="10"/>
      <c r="I944" s="10"/>
    </row>
    <row r="945">
      <c r="A945" s="10"/>
      <c r="I945" s="10"/>
    </row>
    <row r="946">
      <c r="A946" s="10"/>
      <c r="I946" s="10"/>
    </row>
    <row r="947">
      <c r="A947" s="10"/>
      <c r="I947" s="10"/>
    </row>
    <row r="948">
      <c r="A948" s="10"/>
      <c r="I948" s="10"/>
    </row>
    <row r="949">
      <c r="A949" s="10"/>
      <c r="I949" s="10"/>
    </row>
    <row r="950">
      <c r="A950" s="10"/>
      <c r="I950" s="10"/>
    </row>
    <row r="951">
      <c r="A951" s="10"/>
      <c r="I951" s="10"/>
    </row>
    <row r="952">
      <c r="A952" s="10"/>
      <c r="I952" s="10"/>
    </row>
    <row r="953">
      <c r="A953" s="10"/>
      <c r="I953" s="10"/>
    </row>
    <row r="954">
      <c r="A954" s="10"/>
      <c r="I954" s="10"/>
    </row>
    <row r="955">
      <c r="A955" s="10"/>
      <c r="I955" s="10"/>
    </row>
    <row r="956">
      <c r="A956" s="10"/>
      <c r="I956" s="10"/>
    </row>
    <row r="957">
      <c r="A957" s="10"/>
      <c r="I957" s="10"/>
    </row>
    <row r="958">
      <c r="A958" s="10"/>
      <c r="I958" s="10"/>
    </row>
    <row r="959">
      <c r="A959" s="10"/>
      <c r="I959" s="10"/>
    </row>
    <row r="960">
      <c r="A960" s="10"/>
      <c r="I960" s="10"/>
    </row>
    <row r="961">
      <c r="A961" s="10"/>
      <c r="I961" s="10"/>
    </row>
    <row r="962">
      <c r="A962" s="10"/>
      <c r="I962" s="10"/>
    </row>
    <row r="963">
      <c r="A963" s="10"/>
      <c r="I963" s="10"/>
    </row>
    <row r="964">
      <c r="A964" s="10"/>
      <c r="I964" s="10"/>
    </row>
    <row r="965">
      <c r="A965" s="10"/>
      <c r="I965" s="10"/>
    </row>
    <row r="966">
      <c r="A966" s="10"/>
      <c r="I966" s="10"/>
    </row>
    <row r="967">
      <c r="A967" s="10"/>
      <c r="I967" s="10"/>
    </row>
    <row r="968">
      <c r="A968" s="10"/>
      <c r="I968" s="10"/>
    </row>
    <row r="969">
      <c r="A969" s="10"/>
      <c r="I969" s="10"/>
    </row>
    <row r="970">
      <c r="A970" s="10"/>
      <c r="I970" s="10"/>
    </row>
    <row r="971">
      <c r="A971" s="10"/>
      <c r="I971" s="10"/>
    </row>
    <row r="972">
      <c r="A972" s="10"/>
      <c r="I972" s="10"/>
    </row>
    <row r="973">
      <c r="A973" s="10"/>
      <c r="I973" s="10"/>
    </row>
    <row r="974">
      <c r="A974" s="10"/>
      <c r="I974" s="10"/>
    </row>
    <row r="975">
      <c r="A975" s="10"/>
      <c r="I975" s="10"/>
    </row>
    <row r="976">
      <c r="A976" s="10"/>
      <c r="I976" s="10"/>
    </row>
    <row r="977">
      <c r="A977" s="10"/>
      <c r="I977" s="10"/>
    </row>
    <row r="978">
      <c r="A978" s="10"/>
      <c r="I978" s="10"/>
    </row>
    <row r="979">
      <c r="A979" s="10"/>
      <c r="I979" s="10"/>
    </row>
    <row r="980">
      <c r="A980" s="10"/>
      <c r="I980" s="10"/>
    </row>
    <row r="981">
      <c r="A981" s="10"/>
      <c r="I981" s="10"/>
    </row>
    <row r="982">
      <c r="A982" s="10"/>
      <c r="I982" s="10"/>
    </row>
    <row r="983">
      <c r="A983" s="10"/>
      <c r="I983" s="10"/>
    </row>
    <row r="984">
      <c r="A984" s="10"/>
      <c r="I984" s="10"/>
    </row>
    <row r="985">
      <c r="A985" s="10"/>
      <c r="I985" s="10"/>
    </row>
    <row r="986">
      <c r="A986" s="10"/>
      <c r="I986" s="10"/>
    </row>
    <row r="987">
      <c r="A987" s="10"/>
      <c r="I987" s="10"/>
    </row>
    <row r="988">
      <c r="A988" s="10"/>
      <c r="I988" s="10"/>
    </row>
    <row r="989">
      <c r="A989" s="10"/>
      <c r="I989" s="10"/>
    </row>
    <row r="990">
      <c r="A990" s="10"/>
      <c r="I990" s="10"/>
    </row>
    <row r="991">
      <c r="A991" s="10"/>
      <c r="I991" s="10"/>
    </row>
    <row r="992">
      <c r="A992" s="10"/>
      <c r="I992" s="10"/>
    </row>
    <row r="993">
      <c r="A993" s="10"/>
      <c r="I993" s="10"/>
    </row>
    <row r="994">
      <c r="A994" s="10"/>
      <c r="I994" s="10"/>
    </row>
    <row r="995">
      <c r="A995" s="10"/>
      <c r="I995" s="10"/>
    </row>
    <row r="996">
      <c r="A996" s="10"/>
      <c r="I996" s="10"/>
    </row>
    <row r="997">
      <c r="A997" s="10"/>
      <c r="I997" s="10"/>
    </row>
    <row r="998">
      <c r="A998" s="10"/>
      <c r="I998" s="10"/>
    </row>
    <row r="999">
      <c r="A999" s="10"/>
      <c r="I999" s="10"/>
    </row>
    <row r="1000">
      <c r="A1000" s="10"/>
      <c r="I1000" s="10"/>
    </row>
    <row r="1001">
      <c r="A1001" s="10"/>
      <c r="I1001" s="10"/>
    </row>
    <row r="1002">
      <c r="A1002" s="10"/>
      <c r="I1002" s="10"/>
    </row>
    <row r="1003">
      <c r="A1003" s="10"/>
      <c r="I1003" s="10"/>
    </row>
    <row r="1004">
      <c r="A1004" s="10"/>
      <c r="I1004" s="10"/>
    </row>
    <row r="1005">
      <c r="A1005" s="10"/>
      <c r="I1005" s="10"/>
    </row>
    <row r="1006">
      <c r="A1006" s="10"/>
      <c r="I1006" s="10"/>
    </row>
    <row r="1007">
      <c r="A1007" s="10"/>
      <c r="I1007" s="10"/>
    </row>
    <row r="1008">
      <c r="A1008" s="10"/>
      <c r="I1008" s="10"/>
    </row>
    <row r="1009">
      <c r="A1009" s="10"/>
      <c r="I1009" s="10"/>
    </row>
    <row r="1010">
      <c r="A1010" s="10"/>
      <c r="I1010" s="10"/>
    </row>
    <row r="1011">
      <c r="A1011" s="10"/>
      <c r="I1011" s="10"/>
    </row>
    <row r="1012">
      <c r="A1012" s="10"/>
      <c r="I1012" s="10"/>
    </row>
    <row r="1013">
      <c r="A1013" s="10"/>
      <c r="I1013" s="10"/>
    </row>
    <row r="1014">
      <c r="A1014" s="10"/>
      <c r="I1014" s="10"/>
    </row>
    <row r="1015">
      <c r="A1015" s="10"/>
      <c r="I1015" s="10"/>
    </row>
    <row r="1016">
      <c r="A1016" s="10"/>
      <c r="I1016" s="10"/>
    </row>
    <row r="1017">
      <c r="A1017" s="10"/>
      <c r="I1017" s="10"/>
    </row>
    <row r="1018">
      <c r="A1018" s="10"/>
      <c r="I1018" s="10"/>
    </row>
    <row r="1019">
      <c r="A1019" s="10"/>
      <c r="I1019" s="10"/>
    </row>
    <row r="1020">
      <c r="A1020" s="10"/>
      <c r="I1020" s="10"/>
    </row>
    <row r="1021">
      <c r="A1021" s="10"/>
      <c r="I1021" s="10"/>
    </row>
    <row r="1022">
      <c r="A1022" s="10"/>
      <c r="I1022" s="10"/>
    </row>
    <row r="1023">
      <c r="A1023" s="10"/>
      <c r="I1023" s="10"/>
    </row>
    <row r="1024">
      <c r="A1024" s="10"/>
      <c r="I1024" s="10"/>
    </row>
    <row r="1025">
      <c r="A1025" s="10"/>
      <c r="I1025" s="10"/>
    </row>
    <row r="1026">
      <c r="A1026" s="10"/>
      <c r="I1026" s="10"/>
    </row>
    <row r="1027">
      <c r="A1027" s="10"/>
      <c r="I1027" s="10"/>
    </row>
    <row r="1028">
      <c r="A1028" s="10"/>
      <c r="I1028" s="10"/>
    </row>
    <row r="1029">
      <c r="A1029" s="10"/>
      <c r="I1029" s="10"/>
    </row>
    <row r="1030">
      <c r="A1030" s="10"/>
      <c r="I1030" s="10"/>
    </row>
    <row r="1031">
      <c r="A1031" s="10"/>
      <c r="I1031" s="10"/>
    </row>
    <row r="1032">
      <c r="A1032" s="10"/>
      <c r="I1032" s="10"/>
    </row>
    <row r="1033">
      <c r="A1033" s="10"/>
      <c r="I1033" s="10"/>
    </row>
    <row r="1034">
      <c r="A1034" s="10"/>
      <c r="I1034" s="10"/>
    </row>
    <row r="1035">
      <c r="A1035" s="10"/>
      <c r="I1035" s="10"/>
    </row>
    <row r="1036">
      <c r="A1036" s="10"/>
      <c r="I1036" s="10"/>
    </row>
    <row r="1037">
      <c r="A1037" s="10"/>
      <c r="I1037" s="10"/>
    </row>
    <row r="1038">
      <c r="A1038" s="10"/>
      <c r="I1038" s="10"/>
    </row>
    <row r="1039">
      <c r="A1039" s="10"/>
      <c r="I1039" s="10"/>
    </row>
    <row r="1040">
      <c r="A1040" s="10"/>
      <c r="I1040" s="10"/>
    </row>
    <row r="1041">
      <c r="A1041" s="10"/>
      <c r="I1041" s="10"/>
    </row>
    <row r="1042">
      <c r="A1042" s="10"/>
      <c r="I1042" s="10"/>
    </row>
    <row r="1043">
      <c r="A1043" s="10"/>
      <c r="I1043" s="10"/>
    </row>
    <row r="1044">
      <c r="A1044" s="10"/>
      <c r="I1044" s="10"/>
    </row>
    <row r="1045">
      <c r="A1045" s="10"/>
      <c r="I1045" s="10"/>
    </row>
    <row r="1046">
      <c r="A1046" s="10"/>
      <c r="I1046" s="10"/>
    </row>
    <row r="1047">
      <c r="A1047" s="10"/>
      <c r="I1047" s="10"/>
    </row>
    <row r="1048">
      <c r="A1048" s="10"/>
      <c r="I1048" s="10"/>
    </row>
    <row r="1049">
      <c r="A1049" s="10"/>
      <c r="I1049" s="10"/>
    </row>
    <row r="1050">
      <c r="A1050" s="10"/>
      <c r="I1050" s="10"/>
    </row>
    <row r="1051">
      <c r="A1051" s="10"/>
      <c r="I1051" s="10"/>
    </row>
    <row r="1052">
      <c r="A1052" s="10"/>
      <c r="I1052" s="10"/>
    </row>
    <row r="1053">
      <c r="A1053" s="39"/>
      <c r="I1053" s="10"/>
    </row>
    <row r="1054">
      <c r="A1054" s="39"/>
      <c r="I1054" s="10"/>
    </row>
    <row r="1055">
      <c r="A1055" s="39"/>
      <c r="I1055" s="10"/>
    </row>
    <row r="1056">
      <c r="A1056" s="39"/>
      <c r="I1056" s="10"/>
    </row>
  </sheetData>
  <mergeCells count="4">
    <mergeCell ref="I2:P2"/>
    <mergeCell ref="I25:P25"/>
    <mergeCell ref="I34:P34"/>
    <mergeCell ref="I57:P5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75"/>
    <col customWidth="1" min="2" max="3" width="14.5"/>
    <col customWidth="1" min="4" max="4" width="14.25"/>
    <col customWidth="1" min="5" max="6" width="14.63"/>
  </cols>
  <sheetData>
    <row r="1">
      <c r="A1" s="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3" t="s">
        <v>8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</row>
    <row r="2">
      <c r="A2" s="4" t="s">
        <v>9</v>
      </c>
      <c r="B2" s="15"/>
      <c r="C2" s="15"/>
      <c r="D2" s="15"/>
      <c r="E2" s="15"/>
      <c r="F2" s="15"/>
      <c r="G2" s="15"/>
      <c r="H2" s="15"/>
      <c r="I2" s="5" t="s">
        <v>9</v>
      </c>
    </row>
    <row r="3">
      <c r="A3" s="6" t="s">
        <v>10</v>
      </c>
      <c r="B3" s="16" t="s">
        <v>2428</v>
      </c>
      <c r="C3" s="16" t="s">
        <v>2429</v>
      </c>
      <c r="D3" s="16" t="s">
        <v>2430</v>
      </c>
      <c r="E3" s="16" t="s">
        <v>2431</v>
      </c>
      <c r="F3" s="16" t="s">
        <v>2432</v>
      </c>
      <c r="G3" s="16" t="s">
        <v>2433</v>
      </c>
      <c r="H3" s="16" t="s">
        <v>2434</v>
      </c>
      <c r="I3" s="20" t="str">
        <f t="shared" ref="I3:I24" si="1">A3</f>
        <v>CM1→MW1</v>
      </c>
      <c r="J3" s="10" t="str">
        <f>IFERROR(__xludf.DUMMYFUNCTION("TEXT(VALUE(REGEXEXTRACT(B3,""^[+-]?[0-9]*\.?[0-9]+""))*100,""0.00"")&amp;"" +/- ""&amp;TEXT(VALUE(REGEXEXTRACT(B3,""[0-9]*\.?[0-9]+$""))*100,""0.00"")"),"36.00 +/- 1.76")</f>
        <v>36.00 +/- 1.76</v>
      </c>
      <c r="K3" s="9" t="str">
        <f>IFERROR(__xludf.DUMMYFUNCTION("TEXT(VALUE(REGEXEXTRACT(C3,""^[+-]?[0-9]*\.?[0-9]+""))*100,""0.00"")&amp;"" +/- ""&amp;TEXT(VALUE(REGEXEXTRACT(C3,""[0-9]*\.?[0-9]+$""))*100,""0.00"")"),"24.39 +/- 0.00")</f>
        <v>24.39 +/- 0.00</v>
      </c>
      <c r="L3" s="9" t="str">
        <f>IFERROR(__xludf.DUMMYFUNCTION("TEXT(VALUE(REGEXEXTRACT(D3,""^[+-]?[0-9]*\.?[0-9]+""))*100,""0.00"")&amp;"" +/- ""&amp;TEXT(VALUE(REGEXEXTRACT(D3,""[0-9]*\.?[0-9]+$""))*100,""0.00"")"),"13.33 +/- 0.00")</f>
        <v>13.33 +/- 0.00</v>
      </c>
      <c r="M3" s="9" t="str">
        <f>IFERROR(__xludf.DUMMYFUNCTION("TEXT(VALUE(REGEXEXTRACT(E3,""^[+-]?[0-9]*\.?[0-9]+""))*100,""0.00"")&amp;"" +/- ""&amp;TEXT(VALUE(REGEXEXTRACT(E3,""[0-9]*\.?[0-9]+$""))*100,""0.00"")"),"20.79 +/- 3.81")</f>
        <v>20.79 +/- 3.81</v>
      </c>
      <c r="N3" s="9" t="str">
        <f>IFERROR(__xludf.DUMMYFUNCTION("TEXT(VALUE(REGEXEXTRACT(F3,""^[+-]?[0-9]*\.?[0-9]+""))*100,""0.00"")&amp;"" +/- ""&amp;TEXT(VALUE(REGEXEXTRACT(F3,""[0-9]*\.?[0-9]+$""))*100,""0.00"")"),"18.91 +/- 0.89")</f>
        <v>18.91 +/- 0.89</v>
      </c>
      <c r="O3" s="9" t="str">
        <f>IFERROR(__xludf.DUMMYFUNCTION("TEXT(VALUE(REGEXEXTRACT(G3,""^[+-]?[0-9]*\.?[0-9]+""))*100,""0.00"")&amp;"" +/- ""&amp;TEXT(VALUE(REGEXEXTRACT(G3,""[0-9]*\.?[0-9]+$""))*100,""0.00"")"),"19.46 +/- 2.09")</f>
        <v>19.46 +/- 2.09</v>
      </c>
      <c r="P3" s="9" t="str">
        <f>IFERROR(__xludf.DUMMYFUNCTION("TEXT(VALUE(REGEXEXTRACT(H3,""^[+-]?[0-9]*\.?[0-9]+""))*100,""0.00"")&amp;"" +/- ""&amp;TEXT(VALUE(REGEXEXTRACT(H3,""[0-9]*\.?[0-9]+$""))*100,""0.00"")"),"16.51 +/- 0.70")</f>
        <v>16.51 +/- 0.70</v>
      </c>
    </row>
    <row r="4">
      <c r="A4" s="6" t="s">
        <v>18</v>
      </c>
      <c r="B4" s="16" t="s">
        <v>2442</v>
      </c>
      <c r="C4" s="16" t="s">
        <v>2443</v>
      </c>
      <c r="D4" s="16" t="s">
        <v>2444</v>
      </c>
      <c r="E4" s="16" t="s">
        <v>2445</v>
      </c>
      <c r="F4" s="16" t="s">
        <v>2446</v>
      </c>
      <c r="G4" s="16" t="s">
        <v>2447</v>
      </c>
      <c r="H4" s="16" t="s">
        <v>2448</v>
      </c>
      <c r="I4" s="20" t="str">
        <f t="shared" si="1"/>
        <v>CM1→PC1</v>
      </c>
      <c r="J4" s="9" t="str">
        <f>IFERROR(__xludf.DUMMYFUNCTION("TEXT(VALUE(REGEXEXTRACT(B4,""^[+-]?[0-9]*\.?[0-9]+""))*100,""0.00"")&amp;"" +/- ""&amp;TEXT(VALUE(REGEXEXTRACT(B4,""[0-9]*\.?[0-9]+$""))*100,""0.00"")"),"27.86 +/- 0.62")</f>
        <v>27.86 +/- 0.62</v>
      </c>
      <c r="K4" s="9" t="str">
        <f>IFERROR(__xludf.DUMMYFUNCTION("TEXT(VALUE(REGEXEXTRACT(C4,""^[+-]?[0-9]*\.?[0-9]+""))*100,""0.00"")&amp;"" +/- ""&amp;TEXT(VALUE(REGEXEXTRACT(C4,""[0-9]*\.?[0-9]+$""))*100,""0.00"")"),"22.22 +/- 0.00")</f>
        <v>22.22 +/- 0.00</v>
      </c>
      <c r="L4" s="10" t="str">
        <f>IFERROR(__xludf.DUMMYFUNCTION("TEXT(VALUE(REGEXEXTRACT(D4,""^[+-]?[0-9]*\.?[0-9]+""))*100,""0.00"")&amp;"" +/- ""&amp;TEXT(VALUE(REGEXEXTRACT(D4,""[0-9]*\.?[0-9]+$""))*100,""0.00"")"),"32.14 +/- 0.00")</f>
        <v>32.14 +/- 0.00</v>
      </c>
      <c r="M4" s="9" t="str">
        <f>IFERROR(__xludf.DUMMYFUNCTION("TEXT(VALUE(REGEXEXTRACT(E4,""^[+-]?[0-9]*\.?[0-9]+""))*100,""0.00"")&amp;"" +/- ""&amp;TEXT(VALUE(REGEXEXTRACT(E4,""[0-9]*\.?[0-9]+$""))*100,""0.00"")"),"24.53 +/- 1.37")</f>
        <v>24.53 +/- 1.37</v>
      </c>
      <c r="N4" s="9" t="str">
        <f>IFERROR(__xludf.DUMMYFUNCTION("TEXT(VALUE(REGEXEXTRACT(F4,""^[+-]?[0-9]*\.?[0-9]+""))*100,""0.00"")&amp;"" +/- ""&amp;TEXT(VALUE(REGEXEXTRACT(F4,""[0-9]*\.?[0-9]+$""))*100,""0.00"")"),"23.86 +/- 1.21")</f>
        <v>23.86 +/- 1.21</v>
      </c>
      <c r="O4" s="9" t="str">
        <f>IFERROR(__xludf.DUMMYFUNCTION("TEXT(VALUE(REGEXEXTRACT(G4,""^[+-]?[0-9]*\.?[0-9]+""))*100,""0.00"")&amp;"" +/- ""&amp;TEXT(VALUE(REGEXEXTRACT(G4,""[0-9]*\.?[0-9]+$""))*100,""0.00"")"),"24.12 +/- 1.25")</f>
        <v>24.12 +/- 1.25</v>
      </c>
      <c r="P4" s="9" t="str">
        <f>IFERROR(__xludf.DUMMYFUNCTION("TEXT(VALUE(REGEXEXTRACT(H4,""^[+-]?[0-9]*\.?[0-9]+""))*100,""0.00"")&amp;"" +/- ""&amp;TEXT(VALUE(REGEXEXTRACT(H4,""[0-9]*\.?[0-9]+$""))*100,""0.00"")"),"24.21 +/- 0.49")</f>
        <v>24.21 +/- 0.49</v>
      </c>
    </row>
    <row r="5">
      <c r="A5" s="6" t="s">
        <v>26</v>
      </c>
      <c r="B5" s="16" t="s">
        <v>2449</v>
      </c>
      <c r="C5" s="16" t="s">
        <v>2450</v>
      </c>
      <c r="D5" s="16" t="s">
        <v>2451</v>
      </c>
      <c r="E5" s="16" t="s">
        <v>2452</v>
      </c>
      <c r="F5" s="16" t="s">
        <v>2453</v>
      </c>
      <c r="G5" s="16" t="s">
        <v>2454</v>
      </c>
      <c r="H5" s="16" t="s">
        <v>2455</v>
      </c>
      <c r="I5" s="20" t="str">
        <f t="shared" si="1"/>
        <v>CM1→PC3</v>
      </c>
      <c r="J5" s="10" t="str">
        <f>IFERROR(__xludf.DUMMYFUNCTION("TEXT(VALUE(REGEXEXTRACT(B5,""^[+-]?[0-9]*\.?[0-9]+""))*100,""0.00"")&amp;"" +/- ""&amp;TEXT(VALUE(REGEXEXTRACT(B5,""[0-9]*\.?[0-9]+$""))*100,""0.00"")"),"31.15 +/- 0.91")</f>
        <v>31.15 +/- 0.91</v>
      </c>
      <c r="K5" s="9" t="str">
        <f>IFERROR(__xludf.DUMMYFUNCTION("TEXT(VALUE(REGEXEXTRACT(C5,""^[+-]?[0-9]*\.?[0-9]+""))*100,""0.00"")&amp;"" +/- ""&amp;TEXT(VALUE(REGEXEXTRACT(C5,""[0-9]*\.?[0-9]+$""))*100,""0.00"")"),"18.63 +/- 0.00")</f>
        <v>18.63 +/- 0.00</v>
      </c>
      <c r="L5" s="9" t="str">
        <f>IFERROR(__xludf.DUMMYFUNCTION("TEXT(VALUE(REGEXEXTRACT(D5,""^[+-]?[0-9]*\.?[0-9]+""))*100,""0.00"")&amp;"" +/- ""&amp;TEXT(VALUE(REGEXEXTRACT(D5,""[0-9]*\.?[0-9]+$""))*100,""0.00"")"),"31.45 +/- 0.00")</f>
        <v>31.45 +/- 0.00</v>
      </c>
      <c r="M5" s="9" t="str">
        <f>IFERROR(__xludf.DUMMYFUNCTION("TEXT(VALUE(REGEXEXTRACT(E5,""^[+-]?[0-9]*\.?[0-9]+""))*100,""0.00"")&amp;"" +/- ""&amp;TEXT(VALUE(REGEXEXTRACT(E5,""[0-9]*\.?[0-9]+$""))*100,""0.00"")"),"29.53 +/- 0.85")</f>
        <v>29.53 +/- 0.85</v>
      </c>
      <c r="N5" s="9" t="str">
        <f>IFERROR(__xludf.DUMMYFUNCTION("TEXT(VALUE(REGEXEXTRACT(F5,""^[+-]?[0-9]*\.?[0-9]+""))*100,""0.00"")&amp;"" +/- ""&amp;TEXT(VALUE(REGEXEXTRACT(F5,""[0-9]*\.?[0-9]+$""))*100,""0.00"")"),"27.38 +/- 0.50")</f>
        <v>27.38 +/- 0.50</v>
      </c>
      <c r="O5" s="9" t="str">
        <f>IFERROR(__xludf.DUMMYFUNCTION("TEXT(VALUE(REGEXEXTRACT(G5,""^[+-]?[0-9]*\.?[0-9]+""))*100,""0.00"")&amp;"" +/- ""&amp;TEXT(VALUE(REGEXEXTRACT(G5,""[0-9]*\.?[0-9]+$""))*100,""0.00"")"),"28.02 +/- 1.07")</f>
        <v>28.02 +/- 1.07</v>
      </c>
      <c r="P5" s="9" t="str">
        <f>IFERROR(__xludf.DUMMYFUNCTION("TEXT(VALUE(REGEXEXTRACT(H5,""^[+-]?[0-9]*\.?[0-9]+""))*100,""0.00"")&amp;"" +/- ""&amp;TEXT(VALUE(REGEXEXTRACT(H5,""[0-9]*\.?[0-9]+$""))*100,""0.00"")"),"28.20 +/- 0.92")</f>
        <v>28.20 +/- 0.92</v>
      </c>
    </row>
    <row r="6">
      <c r="A6" s="6" t="s">
        <v>34</v>
      </c>
      <c r="B6" s="16" t="s">
        <v>2456</v>
      </c>
      <c r="C6" s="16" t="s">
        <v>2457</v>
      </c>
      <c r="D6" s="16" t="s">
        <v>2458</v>
      </c>
      <c r="E6" s="16" t="s">
        <v>2459</v>
      </c>
      <c r="F6" s="16" t="s">
        <v>2460</v>
      </c>
      <c r="G6" s="16" t="s">
        <v>2461</v>
      </c>
      <c r="H6" s="16" t="s">
        <v>2462</v>
      </c>
      <c r="I6" s="20" t="str">
        <f t="shared" si="1"/>
        <v>CM1→PC4</v>
      </c>
      <c r="J6" s="10" t="str">
        <f>IFERROR(__xludf.DUMMYFUNCTION("TEXT(VALUE(REGEXEXTRACT(B6,""^[+-]?[0-9]*\.?[0-9]+""))*100,""0.00"")&amp;"" +/- ""&amp;TEXT(VALUE(REGEXEXTRACT(B6,""[0-9]*\.?[0-9]+$""))*100,""0.00"")"),"23.80 +/- 0.51")</f>
        <v>23.80 +/- 0.51</v>
      </c>
      <c r="K6" s="9" t="str">
        <f>IFERROR(__xludf.DUMMYFUNCTION("TEXT(VALUE(REGEXEXTRACT(C6,""^[+-]?[0-9]*\.?[0-9]+""))*100,""0.00"")&amp;"" +/- ""&amp;TEXT(VALUE(REGEXEXTRACT(C6,""[0-9]*\.?[0-9]+$""))*100,""0.00"")"),"4.90 +/- 0.00")</f>
        <v>4.90 +/- 0.00</v>
      </c>
      <c r="L6" s="9" t="str">
        <f>IFERROR(__xludf.DUMMYFUNCTION("TEXT(VALUE(REGEXEXTRACT(D6,""^[+-]?[0-9]*\.?[0-9]+""))*100,""0.00"")&amp;"" +/- ""&amp;TEXT(VALUE(REGEXEXTRACT(D6,""[0-9]*\.?[0-9]+$""))*100,""0.00"")"),"22.76 +/- 0.00")</f>
        <v>22.76 +/- 0.00</v>
      </c>
      <c r="M6" s="9" t="str">
        <f>IFERROR(__xludf.DUMMYFUNCTION("TEXT(VALUE(REGEXEXTRACT(E6,""^[+-]?[0-9]*\.?[0-9]+""))*100,""0.00"")&amp;"" +/- ""&amp;TEXT(VALUE(REGEXEXTRACT(E6,""[0-9]*\.?[0-9]+$""))*100,""0.00"")"),"20.70 +/- 1.41")</f>
        <v>20.70 +/- 1.41</v>
      </c>
      <c r="N6" s="9" t="str">
        <f>IFERROR(__xludf.DUMMYFUNCTION("TEXT(VALUE(REGEXEXTRACT(F6,""^[+-]?[0-9]*\.?[0-9]+""))*100,""0.00"")&amp;"" +/- ""&amp;TEXT(VALUE(REGEXEXTRACT(F6,""[0-9]*\.?[0-9]+$""))*100,""0.00"")"),"20.24 +/- 0.61")</f>
        <v>20.24 +/- 0.61</v>
      </c>
      <c r="O6" s="9" t="str">
        <f>IFERROR(__xludf.DUMMYFUNCTION("TEXT(VALUE(REGEXEXTRACT(G6,""^[+-]?[0-9]*\.?[0-9]+""))*100,""0.00"")&amp;"" +/- ""&amp;TEXT(VALUE(REGEXEXTRACT(G6,""[0-9]*\.?[0-9]+$""))*100,""0.00"")"),"20.57 +/- 1.26")</f>
        <v>20.57 +/- 1.26</v>
      </c>
      <c r="P6" s="9" t="str">
        <f>IFERROR(__xludf.DUMMYFUNCTION("TEXT(VALUE(REGEXEXTRACT(H6,""^[+-]?[0-9]*\.?[0-9]+""))*100,""0.00"")&amp;"" +/- ""&amp;TEXT(VALUE(REGEXEXTRACT(H6,""[0-9]*\.?[0-9]+$""))*100,""0.00"")"),"15.34 +/- 0.60")</f>
        <v>15.34 +/- 0.60</v>
      </c>
    </row>
    <row r="7">
      <c r="A7" s="6" t="s">
        <v>42</v>
      </c>
      <c r="B7" s="16" t="s">
        <v>2472</v>
      </c>
      <c r="C7" s="16" t="s">
        <v>2474</v>
      </c>
      <c r="D7" s="16" t="s">
        <v>2476</v>
      </c>
      <c r="E7" s="16" t="s">
        <v>2478</v>
      </c>
      <c r="F7" s="16" t="s">
        <v>2480</v>
      </c>
      <c r="G7" s="16" t="s">
        <v>2481</v>
      </c>
      <c r="H7" s="16" t="s">
        <v>2482</v>
      </c>
      <c r="I7" s="20" t="str">
        <f t="shared" si="1"/>
        <v>MW1→CM1</v>
      </c>
      <c r="J7" s="10" t="str">
        <f>IFERROR(__xludf.DUMMYFUNCTION("TEXT(VALUE(REGEXEXTRACT(B7,""^[+-]?[0-9]*\.?[0-9]+""))*100,""0.00"")&amp;"" +/- ""&amp;TEXT(VALUE(REGEXEXTRACT(B7,""[0-9]*\.?[0-9]+$""))*100,""0.00"")"),"28.87 +/- 1.16")</f>
        <v>28.87 +/- 1.16</v>
      </c>
      <c r="K7" s="9" t="str">
        <f>IFERROR(__xludf.DUMMYFUNCTION("TEXT(VALUE(REGEXEXTRACT(C7,""^[+-]?[0-9]*\.?[0-9]+""))*100,""0.00"")&amp;"" +/- ""&amp;TEXT(VALUE(REGEXEXTRACT(C7,""[0-9]*\.?[0-9]+$""))*100,""0.00"")"),"25.35 +/- 0.00")</f>
        <v>25.35 +/- 0.00</v>
      </c>
      <c r="L7" s="9" t="str">
        <f>IFERROR(__xludf.DUMMYFUNCTION("TEXT(VALUE(REGEXEXTRACT(D7,""^[+-]?[0-9]*\.?[0-9]+""))*100,""0.00"")&amp;"" +/- ""&amp;TEXT(VALUE(REGEXEXTRACT(D7,""[0-9]*\.?[0-9]+$""))*100,""0.00"")"),"17.93 +/- 0.00")</f>
        <v>17.93 +/- 0.00</v>
      </c>
      <c r="M7" s="9" t="str">
        <f>IFERROR(__xludf.DUMMYFUNCTION("TEXT(VALUE(REGEXEXTRACT(E7,""^[+-]?[0-9]*\.?[0-9]+""))*100,""0.00"")&amp;"" +/- ""&amp;TEXT(VALUE(REGEXEXTRACT(E7,""[0-9]*\.?[0-9]+$""))*100,""0.00"")"),"25.73 +/- 2.27")</f>
        <v>25.73 +/- 2.27</v>
      </c>
      <c r="N7" s="9" t="str">
        <f>IFERROR(__xludf.DUMMYFUNCTION("TEXT(VALUE(REGEXEXTRACT(F7,""^[+-]?[0-9]*\.?[0-9]+""))*100,""0.00"")&amp;"" +/- ""&amp;TEXT(VALUE(REGEXEXTRACT(F7,""[0-9]*\.?[0-9]+$""))*100,""0.00"")"),"27.30 +/- 1.37")</f>
        <v>27.30 +/- 1.37</v>
      </c>
      <c r="O7" s="9" t="str">
        <f>IFERROR(__xludf.DUMMYFUNCTION("TEXT(VALUE(REGEXEXTRACT(G7,""^[+-]?[0-9]*\.?[0-9]+""))*100,""0.00"")&amp;"" +/- ""&amp;TEXT(VALUE(REGEXEXTRACT(G7,""[0-9]*\.?[0-9]+$""))*100,""0.00"")"),"26.63 +/- 1.88")</f>
        <v>26.63 +/- 1.88</v>
      </c>
      <c r="P7" s="9" t="str">
        <f>IFERROR(__xludf.DUMMYFUNCTION("TEXT(VALUE(REGEXEXTRACT(H7,""^[+-]?[0-9]*\.?[0-9]+""))*100,""0.00"")&amp;"" +/- ""&amp;TEXT(VALUE(REGEXEXTRACT(H7,""[0-9]*\.?[0-9]+$""))*100,""0.00"")"),"25.96 +/- 0.94")</f>
        <v>25.96 +/- 0.94</v>
      </c>
    </row>
    <row r="8">
      <c r="A8" s="6" t="s">
        <v>50</v>
      </c>
      <c r="B8" s="16" t="s">
        <v>2490</v>
      </c>
      <c r="C8" s="16" t="s">
        <v>2491</v>
      </c>
      <c r="D8" s="16" t="s">
        <v>2492</v>
      </c>
      <c r="E8" s="16" t="s">
        <v>2493</v>
      </c>
      <c r="F8" s="16" t="s">
        <v>2494</v>
      </c>
      <c r="G8" s="16" t="s">
        <v>2495</v>
      </c>
      <c r="H8" s="16" t="s">
        <v>2496</v>
      </c>
      <c r="I8" s="20" t="str">
        <f t="shared" si="1"/>
        <v>MW1→PC1</v>
      </c>
      <c r="J8" s="9" t="str">
        <f>IFERROR(__xludf.DUMMYFUNCTION("TEXT(VALUE(REGEXEXTRACT(B8,""^[+-]?[0-9]*\.?[0-9]+""))*100,""0.00"")&amp;"" +/- ""&amp;TEXT(VALUE(REGEXEXTRACT(B8,""[0-9]*\.?[0-9]+$""))*100,""0.00"")"),"15.95 +/- 1.22")</f>
        <v>15.95 +/- 1.22</v>
      </c>
      <c r="K8" s="9" t="str">
        <f>IFERROR(__xludf.DUMMYFUNCTION("TEXT(VALUE(REGEXEXTRACT(C8,""^[+-]?[0-9]*\.?[0-9]+""))*100,""0.00"")&amp;"" +/- ""&amp;TEXT(VALUE(REGEXEXTRACT(C8,""[0-9]*\.?[0-9]+$""))*100,""0.00"")"),"19.12 +/- 0.00")</f>
        <v>19.12 +/- 0.00</v>
      </c>
      <c r="L8" s="9" t="str">
        <f>IFERROR(__xludf.DUMMYFUNCTION("TEXT(VALUE(REGEXEXTRACT(D8,""^[+-]?[0-9]*\.?[0-9]+""))*100,""0.00"")&amp;"" +/- ""&amp;TEXT(VALUE(REGEXEXTRACT(D8,""[0-9]*\.?[0-9]+$""))*100,""0.00"")"),"10.99 +/- 0.00")</f>
        <v>10.99 +/- 0.00</v>
      </c>
      <c r="M8" s="9" t="str">
        <f>IFERROR(__xludf.DUMMYFUNCTION("TEXT(VALUE(REGEXEXTRACT(E8,""^[+-]?[0-9]*\.?[0-9]+""))*100,""0.00"")&amp;"" +/- ""&amp;TEXT(VALUE(REGEXEXTRACT(E8,""[0-9]*\.?[0-9]+$""))*100,""0.00"")"),"14.27 +/- 0.76")</f>
        <v>14.27 +/- 0.76</v>
      </c>
      <c r="N8" s="9" t="str">
        <f>IFERROR(__xludf.DUMMYFUNCTION("TEXT(VALUE(REGEXEXTRACT(F8,""^[+-]?[0-9]*\.?[0-9]+""))*100,""0.00"")&amp;"" +/- ""&amp;TEXT(VALUE(REGEXEXTRACT(F8,""[0-9]*\.?[0-9]+$""))*100,""0.00"")"),"13.31 +/- 0.58")</f>
        <v>13.31 +/- 0.58</v>
      </c>
      <c r="O8" s="9" t="str">
        <f>IFERROR(__xludf.DUMMYFUNCTION("TEXT(VALUE(REGEXEXTRACT(G8,""^[+-]?[0-9]*\.?[0-9]+""))*100,""0.00"")&amp;"" +/- ""&amp;TEXT(VALUE(REGEXEXTRACT(G8,""[0-9]*\.?[0-9]+$""))*100,""0.00"")"),"14.48 +/- 0.73")</f>
        <v>14.48 +/- 0.73</v>
      </c>
      <c r="P8" s="10" t="str">
        <f>IFERROR(__xludf.DUMMYFUNCTION("TEXT(VALUE(REGEXEXTRACT(H8,""^[+-]?[0-9]*\.?[0-9]+""))*100,""0.00"")&amp;"" +/- ""&amp;TEXT(VALUE(REGEXEXTRACT(H8,""[0-9]*\.?[0-9]+$""))*100,""0.00"")"),"17.68 +/- 0.67")</f>
        <v>17.68 +/- 0.67</v>
      </c>
    </row>
    <row r="9">
      <c r="A9" s="6" t="s">
        <v>58</v>
      </c>
      <c r="B9" s="16" t="s">
        <v>2504</v>
      </c>
      <c r="C9" s="16" t="s">
        <v>2505</v>
      </c>
      <c r="D9" s="16" t="s">
        <v>2506</v>
      </c>
      <c r="E9" s="16" t="s">
        <v>2507</v>
      </c>
      <c r="F9" s="16" t="s">
        <v>2508</v>
      </c>
      <c r="G9" s="16" t="s">
        <v>2509</v>
      </c>
      <c r="H9" s="16" t="s">
        <v>2510</v>
      </c>
      <c r="I9" s="20" t="str">
        <f t="shared" si="1"/>
        <v>MW1→PC3</v>
      </c>
      <c r="J9" s="10" t="str">
        <f>IFERROR(__xludf.DUMMYFUNCTION("TEXT(VALUE(REGEXEXTRACT(B9,""^[+-]?[0-9]*\.?[0-9]+""))*100,""0.00"")&amp;"" +/- ""&amp;TEXT(VALUE(REGEXEXTRACT(B9,""[0-9]*\.?[0-9]+$""))*100,""0.00"")"),"29.30 +/- 0.92")</f>
        <v>29.30 +/- 0.92</v>
      </c>
      <c r="K9" s="9" t="str">
        <f>IFERROR(__xludf.DUMMYFUNCTION("TEXT(VALUE(REGEXEXTRACT(C9,""^[+-]?[0-9]*\.?[0-9]+""))*100,""0.00"")&amp;"" +/- ""&amp;TEXT(VALUE(REGEXEXTRACT(C9,""[0-9]*\.?[0-9]+$""))*100,""0.00"")"),"26.03 +/- 0.00")</f>
        <v>26.03 +/- 0.00</v>
      </c>
      <c r="L9" s="9" t="str">
        <f>IFERROR(__xludf.DUMMYFUNCTION("TEXT(VALUE(REGEXEXTRACT(D9,""^[+-]?[0-9]*\.?[0-9]+""))*100,""0.00"")&amp;"" +/- ""&amp;TEXT(VALUE(REGEXEXTRACT(D9,""[0-9]*\.?[0-9]+$""))*100,""0.00"")"),"18.58 +/- 0.00")</f>
        <v>18.58 +/- 0.00</v>
      </c>
      <c r="M9" s="9" t="str">
        <f>IFERROR(__xludf.DUMMYFUNCTION("TEXT(VALUE(REGEXEXTRACT(E9,""^[+-]?[0-9]*\.?[0-9]+""))*100,""0.00"")&amp;"" +/- ""&amp;TEXT(VALUE(REGEXEXTRACT(E9,""[0-9]*\.?[0-9]+$""))*100,""0.00"")"),"25.40 +/- 1.13")</f>
        <v>25.40 +/- 1.13</v>
      </c>
      <c r="N9" s="9" t="str">
        <f>IFERROR(__xludf.DUMMYFUNCTION("TEXT(VALUE(REGEXEXTRACT(F9,""^[+-]?[0-9]*\.?[0-9]+""))*100,""0.00"")&amp;"" +/- ""&amp;TEXT(VALUE(REGEXEXTRACT(F9,""[0-9]*\.?[0-9]+$""))*100,""0.00"")"),"24.72 +/- 0.75")</f>
        <v>24.72 +/- 0.75</v>
      </c>
      <c r="O9" s="9" t="str">
        <f>IFERROR(__xludf.DUMMYFUNCTION("TEXT(VALUE(REGEXEXTRACT(G9,""^[+-]?[0-9]*\.?[0-9]+""))*100,""0.00"")&amp;"" +/- ""&amp;TEXT(VALUE(REGEXEXTRACT(G9,""[0-9]*\.?[0-9]+$""))*100,""0.00"")"),"26.38 +/- 0.88")</f>
        <v>26.38 +/- 0.88</v>
      </c>
      <c r="P9" s="9" t="str">
        <f>IFERROR(__xludf.DUMMYFUNCTION("TEXT(VALUE(REGEXEXTRACT(H9,""^[+-]?[0-9]*\.?[0-9]+""))*100,""0.00"")&amp;"" +/- ""&amp;TEXT(VALUE(REGEXEXTRACT(H9,""[0-9]*\.?[0-9]+$""))*100,""0.00"")"),"24.01 +/- 0.60")</f>
        <v>24.01 +/- 0.60</v>
      </c>
    </row>
    <row r="10">
      <c r="A10" s="6" t="s">
        <v>66</v>
      </c>
      <c r="B10" s="16" t="s">
        <v>2517</v>
      </c>
      <c r="C10" s="16" t="s">
        <v>2518</v>
      </c>
      <c r="D10" s="16" t="s">
        <v>2519</v>
      </c>
      <c r="E10" s="16" t="s">
        <v>2520</v>
      </c>
      <c r="F10" s="16" t="s">
        <v>2521</v>
      </c>
      <c r="G10" s="16" t="s">
        <v>2522</v>
      </c>
      <c r="H10" s="16" t="s">
        <v>2523</v>
      </c>
      <c r="I10" s="20" t="str">
        <f t="shared" si="1"/>
        <v>MW1→PC4</v>
      </c>
      <c r="J10" s="9" t="str">
        <f>IFERROR(__xludf.DUMMYFUNCTION("TEXT(VALUE(REGEXEXTRACT(B10,""^[+-]?[0-9]*\.?[0-9]+""))*100,""0.00"")&amp;"" +/- ""&amp;TEXT(VALUE(REGEXEXTRACT(B10,""[0-9]*\.?[0-9]+$""))*100,""0.00"")"),"8.79 +/- 0.42")</f>
        <v>8.79 +/- 0.42</v>
      </c>
      <c r="K10" s="9" t="str">
        <f>IFERROR(__xludf.DUMMYFUNCTION("TEXT(VALUE(REGEXEXTRACT(C10,""^[+-]?[0-9]*\.?[0-9]+""))*100,""0.00"")&amp;"" +/- ""&amp;TEXT(VALUE(REGEXEXTRACT(C10,""[0-9]*\.?[0-9]+$""))*100,""0.00"")"),"3.84 +/- 0.00")</f>
        <v>3.84 +/- 0.00</v>
      </c>
      <c r="L10" s="10" t="str">
        <f>IFERROR(__xludf.DUMMYFUNCTION("TEXT(VALUE(REGEXEXTRACT(D10,""^[+-]?[0-9]*\.?[0-9]+""))*100,""0.00"")&amp;"" +/- ""&amp;TEXT(VALUE(REGEXEXTRACT(D10,""[0-9]*\.?[0-9]+$""))*100,""0.00"")"),"18.45 +/- 0.00")</f>
        <v>18.45 +/- 0.00</v>
      </c>
      <c r="M10" s="9" t="str">
        <f>IFERROR(__xludf.DUMMYFUNCTION("TEXT(VALUE(REGEXEXTRACT(E10,""^[+-]?[0-9]*\.?[0-9]+""))*100,""0.00"")&amp;"" +/- ""&amp;TEXT(VALUE(REGEXEXTRACT(E10,""[0-9]*\.?[0-9]+$""))*100,""0.00"")"),"7.40 +/- 0.51")</f>
        <v>7.40 +/- 0.51</v>
      </c>
      <c r="N10" s="9" t="str">
        <f>IFERROR(__xludf.DUMMYFUNCTION("TEXT(VALUE(REGEXEXTRACT(F10,""^[+-]?[0-9]*\.?[0-9]+""))*100,""0.00"")&amp;"" +/- ""&amp;TEXT(VALUE(REGEXEXTRACT(F10,""[0-9]*\.?[0-9]+$""))*100,""0.00"")"),"6.82 +/- 0.43")</f>
        <v>6.82 +/- 0.43</v>
      </c>
      <c r="O10" s="9" t="str">
        <f>IFERROR(__xludf.DUMMYFUNCTION("TEXT(VALUE(REGEXEXTRACT(G10,""^[+-]?[0-9]*\.?[0-9]+""))*100,""0.00"")&amp;"" +/- ""&amp;TEXT(VALUE(REGEXEXTRACT(G10,""[0-9]*\.?[0-9]+$""))*100,""0.00"")"),"7.69 +/- 0.59")</f>
        <v>7.69 +/- 0.59</v>
      </c>
      <c r="P10" s="9" t="str">
        <f>IFERROR(__xludf.DUMMYFUNCTION("TEXT(VALUE(REGEXEXTRACT(H10,""^[+-]?[0-9]*\.?[0-9]+""))*100,""0.00"")&amp;"" +/- ""&amp;TEXT(VALUE(REGEXEXTRACT(H10,""[0-9]*\.?[0-9]+$""))*100,""0.00"")"),"10.73 +/- 0.44")</f>
        <v>10.73 +/- 0.44</v>
      </c>
    </row>
    <row r="11">
      <c r="A11" s="6" t="s">
        <v>79</v>
      </c>
      <c r="B11" s="16" t="s">
        <v>2531</v>
      </c>
      <c r="C11" s="16" t="s">
        <v>2532</v>
      </c>
      <c r="D11" s="16" t="s">
        <v>2533</v>
      </c>
      <c r="E11" s="16" t="s">
        <v>2534</v>
      </c>
      <c r="F11" s="16" t="s">
        <v>2535</v>
      </c>
      <c r="G11" s="16" t="s">
        <v>2536</v>
      </c>
      <c r="H11" s="16" t="s">
        <v>2537</v>
      </c>
      <c r="I11" s="20" t="str">
        <f t="shared" si="1"/>
        <v>PC1→CM1</v>
      </c>
      <c r="J11" s="9" t="str">
        <f>IFERROR(__xludf.DUMMYFUNCTION("TEXT(VALUE(REGEXEXTRACT(B11,""^[+-]?[0-9]*\.?[0-9]+""))*100,""0.00"")&amp;"" +/- ""&amp;TEXT(VALUE(REGEXEXTRACT(B11,""[0-9]*\.?[0-9]+$""))*100,""0.00"")"),"25.98 +/- 1.69")</f>
        <v>25.98 +/- 1.69</v>
      </c>
      <c r="K11" s="9" t="str">
        <f>IFERROR(__xludf.DUMMYFUNCTION("TEXT(VALUE(REGEXEXTRACT(C11,""^[+-]?[0-9]*\.?[0-9]+""))*100,""0.00"")&amp;"" +/- ""&amp;TEXT(VALUE(REGEXEXTRACT(C11,""[0-9]*\.?[0-9]+$""))*100,""0.00"")"),"13.79 +/- 0.00")</f>
        <v>13.79 +/- 0.00</v>
      </c>
      <c r="L11" s="9" t="str">
        <f>IFERROR(__xludf.DUMMYFUNCTION("TEXT(VALUE(REGEXEXTRACT(D11,""^[+-]?[0-9]*\.?[0-9]+""))*100,""0.00"")&amp;"" +/- ""&amp;TEXT(VALUE(REGEXEXTRACT(D11,""[0-9]*\.?[0-9]+$""))*100,""0.00"")"),"8.70 +/- 0.00")</f>
        <v>8.70 +/- 0.00</v>
      </c>
      <c r="M11" s="9" t="str">
        <f>IFERROR(__xludf.DUMMYFUNCTION("TEXT(VALUE(REGEXEXTRACT(E11,""^[+-]?[0-9]*\.?[0-9]+""))*100,""0.00"")&amp;"" +/- ""&amp;TEXT(VALUE(REGEXEXTRACT(E11,""[0-9]*\.?[0-9]+$""))*100,""0.00"")"),"37.18 +/- 1.46")</f>
        <v>37.18 +/- 1.46</v>
      </c>
      <c r="N11" s="9" t="str">
        <f>IFERROR(__xludf.DUMMYFUNCTION("TEXT(VALUE(REGEXEXTRACT(F11,""^[+-]?[0-9]*\.?[0-9]+""))*100,""0.00"")&amp;"" +/- ""&amp;TEXT(VALUE(REGEXEXTRACT(F11,""[0-9]*\.?[0-9]+$""))*100,""0.00"")"),"38.52 +/- 1.06")</f>
        <v>38.52 +/- 1.06</v>
      </c>
      <c r="O11" s="9" t="str">
        <f>IFERROR(__xludf.DUMMYFUNCTION("TEXT(VALUE(REGEXEXTRACT(G11,""^[+-]?[0-9]*\.?[0-9]+""))*100,""0.00"")&amp;"" +/- ""&amp;TEXT(VALUE(REGEXEXTRACT(G11,""[0-9]*\.?[0-9]+$""))*100,""0.00"")"),"37.10 +/- 1.54")</f>
        <v>37.10 +/- 1.54</v>
      </c>
      <c r="P11" s="10" t="str">
        <f>IFERROR(__xludf.DUMMYFUNCTION("TEXT(VALUE(REGEXEXTRACT(H11,""^[+-]?[0-9]*\.?[0-9]+""))*100,""0.00"")&amp;"" +/- ""&amp;TEXT(VALUE(REGEXEXTRACT(H11,""[0-9]*\.?[0-9]+$""))*100,""0.00"")"),"39.62 +/- 1.35")</f>
        <v>39.62 +/- 1.35</v>
      </c>
    </row>
    <row r="12">
      <c r="A12" s="6" t="s">
        <v>94</v>
      </c>
      <c r="B12" s="16" t="s">
        <v>2545</v>
      </c>
      <c r="C12" s="16" t="s">
        <v>2546</v>
      </c>
      <c r="D12" s="16" t="s">
        <v>2547</v>
      </c>
      <c r="E12" s="16" t="s">
        <v>2548</v>
      </c>
      <c r="F12" s="16" t="s">
        <v>2549</v>
      </c>
      <c r="G12" s="16" t="s">
        <v>2550</v>
      </c>
      <c r="H12" s="16" t="s">
        <v>2551</v>
      </c>
      <c r="I12" s="20" t="str">
        <f t="shared" si="1"/>
        <v>PC1→MW1</v>
      </c>
      <c r="J12" s="9" t="str">
        <f>IFERROR(__xludf.DUMMYFUNCTION("TEXT(VALUE(REGEXEXTRACT(B12,""^[+-]?[0-9]*\.?[0-9]+""))*100,""0.00"")&amp;"" +/- ""&amp;TEXT(VALUE(REGEXEXTRACT(B12,""[0-9]*\.?[0-9]+$""))*100,""0.00"")"),"34.56 +/- 1.58")</f>
        <v>34.56 +/- 1.58</v>
      </c>
      <c r="K12" s="9" t="str">
        <f>IFERROR(__xludf.DUMMYFUNCTION("TEXT(VALUE(REGEXEXTRACT(C12,""^[+-]?[0-9]*\.?[0-9]+""))*100,""0.00"")&amp;"" +/- ""&amp;TEXT(VALUE(REGEXEXTRACT(C12,""[0-9]*\.?[0-9]+$""))*100,""0.00"")"),"15.00 +/- 0.00")</f>
        <v>15.00 +/- 0.00</v>
      </c>
      <c r="L12" s="9" t="str">
        <f>IFERROR(__xludf.DUMMYFUNCTION("TEXT(VALUE(REGEXEXTRACT(D12,""^[+-]?[0-9]*\.?[0-9]+""))*100,""0.00"")&amp;"" +/- ""&amp;TEXT(VALUE(REGEXEXTRACT(D12,""[0-9]*\.?[0-9]+$""))*100,""0.00"")"),"11.11 +/- 0.00")</f>
        <v>11.11 +/- 0.00</v>
      </c>
      <c r="M12" s="10" t="str">
        <f>IFERROR(__xludf.DUMMYFUNCTION("TEXT(VALUE(REGEXEXTRACT(E12,""^[+-]?[0-9]*\.?[0-9]+""))*100,""0.00"")&amp;"" +/- ""&amp;TEXT(VALUE(REGEXEXTRACT(E12,""[0-9]*\.?[0-9]+$""))*100,""0.00"")"),"36.57 +/- 1.15")</f>
        <v>36.57 +/- 1.15</v>
      </c>
      <c r="N12" s="9" t="str">
        <f>IFERROR(__xludf.DUMMYFUNCTION("TEXT(VALUE(REGEXEXTRACT(F12,""^[+-]?[0-9]*\.?[0-9]+""))*100,""0.00"")&amp;"" +/- ""&amp;TEXT(VALUE(REGEXEXTRACT(F12,""[0-9]*\.?[0-9]+$""))*100,""0.00"")"),"34.89 +/- 1.13")</f>
        <v>34.89 +/- 1.13</v>
      </c>
      <c r="O12" s="9" t="str">
        <f>IFERROR(__xludf.DUMMYFUNCTION("TEXT(VALUE(REGEXEXTRACT(G12,""^[+-]?[0-9]*\.?[0-9]+""))*100,""0.00"")&amp;"" +/- ""&amp;TEXT(VALUE(REGEXEXTRACT(G12,""[0-9]*\.?[0-9]+$""))*100,""0.00"")"),"35.68 +/- 1.72")</f>
        <v>35.68 +/- 1.72</v>
      </c>
      <c r="P12" s="9" t="str">
        <f>IFERROR(__xludf.DUMMYFUNCTION("TEXT(VALUE(REGEXEXTRACT(H12,""^[+-]?[0-9]*\.?[0-9]+""))*100,""0.00"")&amp;"" +/- ""&amp;TEXT(VALUE(REGEXEXTRACT(H12,""[0-9]*\.?[0-9]+$""))*100,""0.00"")"),"35.30 +/- 1.67")</f>
        <v>35.30 +/- 1.67</v>
      </c>
    </row>
    <row r="13">
      <c r="A13" s="6" t="s">
        <v>109</v>
      </c>
      <c r="B13" s="16" t="s">
        <v>2559</v>
      </c>
      <c r="C13" s="16" t="s">
        <v>2560</v>
      </c>
      <c r="D13" s="16" t="s">
        <v>2561</v>
      </c>
      <c r="E13" s="16" t="s">
        <v>2562</v>
      </c>
      <c r="F13" s="16" t="s">
        <v>2563</v>
      </c>
      <c r="G13" s="16" t="s">
        <v>2564</v>
      </c>
      <c r="H13" s="16" t="s">
        <v>2565</v>
      </c>
      <c r="I13" s="20" t="str">
        <f t="shared" si="1"/>
        <v>PC1→PC3</v>
      </c>
      <c r="J13" s="9" t="str">
        <f>IFERROR(__xludf.DUMMYFUNCTION("TEXT(VALUE(REGEXEXTRACT(B13,""^[+-]?[0-9]*\.?[0-9]+""))*100,""0.00"")&amp;"" +/- ""&amp;TEXT(VALUE(REGEXEXTRACT(B13,""[0-9]*\.?[0-9]+$""))*100,""0.00"")"),"36.70 +/- 0.69")</f>
        <v>36.70 +/- 0.69</v>
      </c>
      <c r="K13" s="9" t="str">
        <f>IFERROR(__xludf.DUMMYFUNCTION("TEXT(VALUE(REGEXEXTRACT(C13,""^[+-]?[0-9]*\.?[0-9]+""))*100,""0.00"")&amp;"" +/- ""&amp;TEXT(VALUE(REGEXEXTRACT(C13,""[0-9]*\.?[0-9]+$""))*100,""0.00"")"),"12.79 +/- 0.00")</f>
        <v>12.79 +/- 0.00</v>
      </c>
      <c r="L13" s="9" t="str">
        <f>IFERROR(__xludf.DUMMYFUNCTION("TEXT(VALUE(REGEXEXTRACT(D13,""^[+-]?[0-9]*\.?[0-9]+""))*100,""0.00"")&amp;"" +/- ""&amp;TEXT(VALUE(REGEXEXTRACT(D13,""[0-9]*\.?[0-9]+$""))*100,""0.00"")"),"6.45 +/- 0.00")</f>
        <v>6.45 +/- 0.00</v>
      </c>
      <c r="M13" s="9" t="str">
        <f>IFERROR(__xludf.DUMMYFUNCTION("TEXT(VALUE(REGEXEXTRACT(E13,""^[+-]?[0-9]*\.?[0-9]+""))*100,""0.00"")&amp;"" +/- ""&amp;TEXT(VALUE(REGEXEXTRACT(E13,""[0-9]*\.?[0-9]+$""))*100,""0.00"")"),"37.70 +/- 0.92")</f>
        <v>37.70 +/- 0.92</v>
      </c>
      <c r="N13" s="9" t="str">
        <f>IFERROR(__xludf.DUMMYFUNCTION("TEXT(VALUE(REGEXEXTRACT(F13,""^[+-]?[0-9]*\.?[0-9]+""))*100,""0.00"")&amp;"" +/- ""&amp;TEXT(VALUE(REGEXEXTRACT(F13,""[0-9]*\.?[0-9]+$""))*100,""0.00"")"),"36.30 +/- 0.77")</f>
        <v>36.30 +/- 0.77</v>
      </c>
      <c r="O13" s="10" t="str">
        <f>IFERROR(__xludf.DUMMYFUNCTION("TEXT(VALUE(REGEXEXTRACT(G13,""^[+-]?[0-9]*\.?[0-9]+""))*100,""0.00"")&amp;"" +/- ""&amp;TEXT(VALUE(REGEXEXTRACT(G13,""[0-9]*\.?[0-9]+$""))*100,""0.00"")"),"37.78 +/- 0.87")</f>
        <v>37.78 +/- 0.87</v>
      </c>
      <c r="P13" s="9" t="str">
        <f>IFERROR(__xludf.DUMMYFUNCTION("TEXT(VALUE(REGEXEXTRACT(H13,""^[+-]?[0-9]*\.?[0-9]+""))*100,""0.00"")&amp;"" +/- ""&amp;TEXT(VALUE(REGEXEXTRACT(H13,""[0-9]*\.?[0-9]+$""))*100,""0.00"")"),"36.35 +/- 1.09")</f>
        <v>36.35 +/- 1.09</v>
      </c>
    </row>
    <row r="14">
      <c r="A14" s="6" t="s">
        <v>124</v>
      </c>
      <c r="B14" s="16" t="s">
        <v>2572</v>
      </c>
      <c r="C14" s="16" t="s">
        <v>2573</v>
      </c>
      <c r="D14" s="16" t="s">
        <v>2574</v>
      </c>
      <c r="E14" s="16" t="s">
        <v>2575</v>
      </c>
      <c r="F14" s="16" t="s">
        <v>2576</v>
      </c>
      <c r="G14" s="16" t="s">
        <v>2577</v>
      </c>
      <c r="H14" s="16" t="s">
        <v>2578</v>
      </c>
      <c r="I14" s="20" t="str">
        <f t="shared" si="1"/>
        <v>PC1→PC4</v>
      </c>
      <c r="J14" s="9" t="str">
        <f>IFERROR(__xludf.DUMMYFUNCTION("TEXT(VALUE(REGEXEXTRACT(B14,""^[+-]?[0-9]*\.?[0-9]+""))*100,""0.00"")&amp;"" +/- ""&amp;TEXT(VALUE(REGEXEXTRACT(B14,""[0-9]*\.?[0-9]+$""))*100,""0.00"")"),"31.73 +/- 0.58")</f>
        <v>31.73 +/- 0.58</v>
      </c>
      <c r="K14" s="9" t="str">
        <f>IFERROR(__xludf.DUMMYFUNCTION("TEXT(VALUE(REGEXEXTRACT(C14,""^[+-]?[0-9]*\.?[0-9]+""))*100,""0.00"")&amp;"" +/- ""&amp;TEXT(VALUE(REGEXEXTRACT(C14,""[0-9]*\.?[0-9]+$""))*100,""0.00"")"),"18.33 +/- 0.00")</f>
        <v>18.33 +/- 0.00</v>
      </c>
      <c r="L14" s="9" t="str">
        <f>IFERROR(__xludf.DUMMYFUNCTION("TEXT(VALUE(REGEXEXTRACT(D14,""^[+-]?[0-9]*\.?[0-9]+""))*100,""0.00"")&amp;"" +/- ""&amp;TEXT(VALUE(REGEXEXTRACT(D14,""[0-9]*\.?[0-9]+$""))*100,""0.00"")"),"17.04 +/- 0.00")</f>
        <v>17.04 +/- 0.00</v>
      </c>
      <c r="M14" s="9" t="str">
        <f>IFERROR(__xludf.DUMMYFUNCTION("TEXT(VALUE(REGEXEXTRACT(E14,""^[+-]?[0-9]*\.?[0-9]+""))*100,""0.00"")&amp;"" +/- ""&amp;TEXT(VALUE(REGEXEXTRACT(E14,""[0-9]*\.?[0-9]+$""))*100,""0.00"")"),"32.55 +/- 0.68")</f>
        <v>32.55 +/- 0.68</v>
      </c>
      <c r="N14" s="9" t="str">
        <f>IFERROR(__xludf.DUMMYFUNCTION("TEXT(VALUE(REGEXEXTRACT(F14,""^[+-]?[0-9]*\.?[0-9]+""))*100,""0.00"")&amp;"" +/- ""&amp;TEXT(VALUE(REGEXEXTRACT(F14,""[0-9]*\.?[0-9]+$""))*100,""0.00"")"),"31.17 +/- 0.69")</f>
        <v>31.17 +/- 0.69</v>
      </c>
      <c r="O14" s="9" t="str">
        <f>IFERROR(__xludf.DUMMYFUNCTION("TEXT(VALUE(REGEXEXTRACT(G14,""^[+-]?[0-9]*\.?[0-9]+""))*100,""0.00"")&amp;"" +/- ""&amp;TEXT(VALUE(REGEXEXTRACT(G14,""[0-9]*\.?[0-9]+$""))*100,""0.00"")"),"31.62 +/- 0.89")</f>
        <v>31.62 +/- 0.89</v>
      </c>
      <c r="P14" s="10" t="str">
        <f>IFERROR(__xludf.DUMMYFUNCTION("TEXT(VALUE(REGEXEXTRACT(H14,""^[+-]?[0-9]*\.?[0-9]+""))*100,""0.00"")&amp;"" +/- ""&amp;TEXT(VALUE(REGEXEXTRACT(H14,""[0-9]*\.?[0-9]+$""))*100,""0.00"")"),"32.76 +/- 1.43")</f>
        <v>32.76 +/- 1.43</v>
      </c>
    </row>
    <row r="15">
      <c r="A15" s="6" t="s">
        <v>139</v>
      </c>
      <c r="B15" s="16" t="s">
        <v>2579</v>
      </c>
      <c r="C15" s="16" t="s">
        <v>2430</v>
      </c>
      <c r="D15" s="16" t="s">
        <v>2580</v>
      </c>
      <c r="E15" s="16" t="s">
        <v>2581</v>
      </c>
      <c r="F15" s="16" t="s">
        <v>2582</v>
      </c>
      <c r="G15" s="16" t="s">
        <v>2583</v>
      </c>
      <c r="H15" s="16" t="s">
        <v>2584</v>
      </c>
      <c r="I15" s="20" t="str">
        <f t="shared" si="1"/>
        <v>PC3→CM1</v>
      </c>
      <c r="J15" s="9" t="str">
        <f>IFERROR(__xludf.DUMMYFUNCTION("TEXT(VALUE(REGEXEXTRACT(B15,""^[+-]?[0-9]*\.?[0-9]+""))*100,""0.00"")&amp;"" +/- ""&amp;TEXT(VALUE(REGEXEXTRACT(B15,""[0-9]*\.?[0-9]+$""))*100,""0.00"")"),"27.32 +/- 0.70")</f>
        <v>27.32 +/- 0.70</v>
      </c>
      <c r="K15" s="9" t="str">
        <f>IFERROR(__xludf.DUMMYFUNCTION("TEXT(VALUE(REGEXEXTRACT(C15,""^[+-]?[0-9]*\.?[0-9]+""))*100,""0.00"")&amp;"" +/- ""&amp;TEXT(VALUE(REGEXEXTRACT(C15,""[0-9]*\.?[0-9]+$""))*100,""0.00"")"),"13.33 +/- 0.00")</f>
        <v>13.33 +/- 0.00</v>
      </c>
      <c r="L15" s="9" t="str">
        <f>IFERROR(__xludf.DUMMYFUNCTION("TEXT(VALUE(REGEXEXTRACT(D15,""^[+-]?[0-9]*\.?[0-9]+""))*100,""0.00"")&amp;"" +/- ""&amp;TEXT(VALUE(REGEXEXTRACT(D15,""[0-9]*\.?[0-9]+$""))*100,""0.00"")"),"12.50 +/- 0.00")</f>
        <v>12.50 +/- 0.00</v>
      </c>
      <c r="M15" s="9" t="str">
        <f>IFERROR(__xludf.DUMMYFUNCTION("TEXT(VALUE(REGEXEXTRACT(E15,""^[+-]?[0-9]*\.?[0-9]+""))*100,""0.00"")&amp;"" +/- ""&amp;TEXT(VALUE(REGEXEXTRACT(E15,""[0-9]*\.?[0-9]+$""))*100,""0.00"")"),"26.86 +/- 1.47")</f>
        <v>26.86 +/- 1.47</v>
      </c>
      <c r="N15" s="10" t="str">
        <f>IFERROR(__xludf.DUMMYFUNCTION("TEXT(VALUE(REGEXEXTRACT(F15,""^[+-]?[0-9]*\.?[0-9]+""))*100,""0.00"")&amp;"" +/- ""&amp;TEXT(VALUE(REGEXEXTRACT(F15,""[0-9]*\.?[0-9]+$""))*100,""0.00"")"),"28.37 +/- 0.84")</f>
        <v>28.37 +/- 0.84</v>
      </c>
      <c r="O15" s="9" t="str">
        <f>IFERROR(__xludf.DUMMYFUNCTION("TEXT(VALUE(REGEXEXTRACT(G15,""^[+-]?[0-9]*\.?[0-9]+""))*100,""0.00"")&amp;"" +/- ""&amp;TEXT(VALUE(REGEXEXTRACT(G15,""[0-9]*\.?[0-9]+$""))*100,""0.00"")"),"27.45 +/- 1.37")</f>
        <v>27.45 +/- 1.37</v>
      </c>
      <c r="P15" s="9" t="str">
        <f>IFERROR(__xludf.DUMMYFUNCTION("TEXT(VALUE(REGEXEXTRACT(H15,""^[+-]?[0-9]*\.?[0-9]+""))*100,""0.00"")&amp;"" +/- ""&amp;TEXT(VALUE(REGEXEXTRACT(H15,""[0-9]*\.?[0-9]+$""))*100,""0.00"")"),"24.70 +/- 0.93")</f>
        <v>24.70 +/- 0.93</v>
      </c>
    </row>
    <row r="16">
      <c r="A16" s="6" t="s">
        <v>154</v>
      </c>
      <c r="B16" s="16" t="s">
        <v>2585</v>
      </c>
      <c r="C16" s="16" t="s">
        <v>2546</v>
      </c>
      <c r="D16" s="16" t="s">
        <v>2547</v>
      </c>
      <c r="E16" s="16" t="s">
        <v>2586</v>
      </c>
      <c r="F16" s="16" t="s">
        <v>2587</v>
      </c>
      <c r="G16" s="16" t="s">
        <v>2588</v>
      </c>
      <c r="H16" s="16" t="s">
        <v>2589</v>
      </c>
      <c r="I16" s="20" t="str">
        <f t="shared" si="1"/>
        <v>PC3→MW1</v>
      </c>
      <c r="J16" s="10" t="str">
        <f>IFERROR(__xludf.DUMMYFUNCTION("TEXT(VALUE(REGEXEXTRACT(B16,""^[+-]?[0-9]*\.?[0-9]+""))*100,""0.00"")&amp;"" +/- ""&amp;TEXT(VALUE(REGEXEXTRACT(B16,""[0-9]*\.?[0-9]+$""))*100,""0.00"")"),"26.22 +/- 0.75")</f>
        <v>26.22 +/- 0.75</v>
      </c>
      <c r="K16" s="9" t="str">
        <f>IFERROR(__xludf.DUMMYFUNCTION("TEXT(VALUE(REGEXEXTRACT(C16,""^[+-]?[0-9]*\.?[0-9]+""))*100,""0.00"")&amp;"" +/- ""&amp;TEXT(VALUE(REGEXEXTRACT(C16,""[0-9]*\.?[0-9]+$""))*100,""0.00"")"),"15.00 +/- 0.00")</f>
        <v>15.00 +/- 0.00</v>
      </c>
      <c r="L16" s="9" t="str">
        <f>IFERROR(__xludf.DUMMYFUNCTION("TEXT(VALUE(REGEXEXTRACT(D16,""^[+-]?[0-9]*\.?[0-9]+""))*100,""0.00"")&amp;"" +/- ""&amp;TEXT(VALUE(REGEXEXTRACT(D16,""[0-9]*\.?[0-9]+$""))*100,""0.00"")"),"11.11 +/- 0.00")</f>
        <v>11.11 +/- 0.00</v>
      </c>
      <c r="M16" s="9" t="str">
        <f>IFERROR(__xludf.DUMMYFUNCTION("TEXT(VALUE(REGEXEXTRACT(E16,""^[+-]?[0-9]*\.?[0-9]+""))*100,""0.00"")&amp;"" +/- ""&amp;TEXT(VALUE(REGEXEXTRACT(E16,""[0-9]*\.?[0-9]+$""))*100,""0.00"")"),"22.33 +/- 2.18")</f>
        <v>22.33 +/- 2.18</v>
      </c>
      <c r="N16" s="9" t="str">
        <f>IFERROR(__xludf.DUMMYFUNCTION("TEXT(VALUE(REGEXEXTRACT(F16,""^[+-]?[0-9]*\.?[0-9]+""))*100,""0.00"")&amp;"" +/- ""&amp;TEXT(VALUE(REGEXEXTRACT(F16,""[0-9]*\.?[0-9]+$""))*100,""0.00"")"),"22.13 +/- 0.64")</f>
        <v>22.13 +/- 0.64</v>
      </c>
      <c r="O16" s="9" t="str">
        <f>IFERROR(__xludf.DUMMYFUNCTION("TEXT(VALUE(REGEXEXTRACT(G16,""^[+-]?[0-9]*\.?[0-9]+""))*100,""0.00"")&amp;"" +/- ""&amp;TEXT(VALUE(REGEXEXTRACT(G16,""[0-9]*\.?[0-9]+$""))*100,""0.00"")"),"21.11 +/- 0.94")</f>
        <v>21.11 +/- 0.94</v>
      </c>
      <c r="P16" s="9" t="str">
        <f>IFERROR(__xludf.DUMMYFUNCTION("TEXT(VALUE(REGEXEXTRACT(H16,""^[+-]?[0-9]*\.?[0-9]+""))*100,""0.00"")&amp;"" +/- ""&amp;TEXT(VALUE(REGEXEXTRACT(H16,""[0-9]*\.?[0-9]+$""))*100,""0.00"")"),"20.08 +/- 1.05")</f>
        <v>20.08 +/- 1.05</v>
      </c>
    </row>
    <row r="17">
      <c r="A17" s="6" t="s">
        <v>169</v>
      </c>
      <c r="B17" s="16" t="s">
        <v>2597</v>
      </c>
      <c r="C17" s="16" t="s">
        <v>2598</v>
      </c>
      <c r="D17" s="16" t="s">
        <v>2599</v>
      </c>
      <c r="E17" s="16" t="s">
        <v>2601</v>
      </c>
      <c r="F17" s="16" t="s">
        <v>2603</v>
      </c>
      <c r="G17" s="16" t="s">
        <v>2605</v>
      </c>
      <c r="H17" s="16" t="s">
        <v>2606</v>
      </c>
      <c r="I17" s="20" t="str">
        <f t="shared" si="1"/>
        <v>PC3→PC1</v>
      </c>
      <c r="J17" s="10" t="str">
        <f>IFERROR(__xludf.DUMMYFUNCTION("TEXT(VALUE(REGEXEXTRACT(B17,""^[+-]?[0-9]*\.?[0-9]+""))*100,""0.00"")&amp;"" +/- ""&amp;TEXT(VALUE(REGEXEXTRACT(B17,""[0-9]*\.?[0-9]+$""))*100,""0.00"")"),"29.96 +/- 0.94")</f>
        <v>29.96 +/- 0.94</v>
      </c>
      <c r="K17" s="9" t="str">
        <f>IFERROR(__xludf.DUMMYFUNCTION("TEXT(VALUE(REGEXEXTRACT(C17,""^[+-]?[0-9]*\.?[0-9]+""))*100,""0.00"")&amp;"" +/- ""&amp;TEXT(VALUE(REGEXEXTRACT(C17,""[0-9]*\.?[0-9]+$""))*100,""0.00"")"),"21.18 +/- 0.00")</f>
        <v>21.18 +/- 0.00</v>
      </c>
      <c r="L17" s="9" t="str">
        <f>IFERROR(__xludf.DUMMYFUNCTION("TEXT(VALUE(REGEXEXTRACT(D17,""^[+-]?[0-9]*\.?[0-9]+""))*100,""0.00"")&amp;"" +/- ""&amp;TEXT(VALUE(REGEXEXTRACT(D17,""[0-9]*\.?[0-9]+$""))*100,""0.00"")"),"14.29 +/- 0.00")</f>
        <v>14.29 +/- 0.00</v>
      </c>
      <c r="M17" s="9" t="str">
        <f>IFERROR(__xludf.DUMMYFUNCTION("TEXT(VALUE(REGEXEXTRACT(E17,""^[+-]?[0-9]*\.?[0-9]+""))*100,""0.00"")&amp;"" +/- ""&amp;TEXT(VALUE(REGEXEXTRACT(E17,""[0-9]*\.?[0-9]+$""))*100,""0.00"")"),"27.03 +/- 1.08")</f>
        <v>27.03 +/- 1.08</v>
      </c>
      <c r="N17" s="9" t="str">
        <f>IFERROR(__xludf.DUMMYFUNCTION("TEXT(VALUE(REGEXEXTRACT(F17,""^[+-]?[0-9]*\.?[0-9]+""))*100,""0.00"")&amp;"" +/- ""&amp;TEXT(VALUE(REGEXEXTRACT(F17,""[0-9]*\.?[0-9]+$""))*100,""0.00"")"),"26.64 +/- 0.76")</f>
        <v>26.64 +/- 0.76</v>
      </c>
      <c r="O17" s="9" t="str">
        <f>IFERROR(__xludf.DUMMYFUNCTION("TEXT(VALUE(REGEXEXTRACT(G17,""^[+-]?[0-9]*\.?[0-9]+""))*100,""0.00"")&amp;"" +/- ""&amp;TEXT(VALUE(REGEXEXTRACT(G17,""[0-9]*\.?[0-9]+$""))*100,""0.00"")"),"26.26 +/- 0.77")</f>
        <v>26.26 +/- 0.77</v>
      </c>
      <c r="P17" s="9" t="str">
        <f>IFERROR(__xludf.DUMMYFUNCTION("TEXT(VALUE(REGEXEXTRACT(H17,""^[+-]?[0-9]*\.?[0-9]+""))*100,""0.00"")&amp;"" +/- ""&amp;TEXT(VALUE(REGEXEXTRACT(H17,""[0-9]*\.?[0-9]+$""))*100,""0.00"")"),"22.56 +/- 0.74")</f>
        <v>22.56 +/- 0.74</v>
      </c>
    </row>
    <row r="18">
      <c r="A18" s="6" t="s">
        <v>184</v>
      </c>
      <c r="B18" s="16" t="s">
        <v>2613</v>
      </c>
      <c r="C18" s="16" t="s">
        <v>2614</v>
      </c>
      <c r="D18" s="16" t="s">
        <v>2615</v>
      </c>
      <c r="E18" s="16" t="s">
        <v>2616</v>
      </c>
      <c r="F18" s="16" t="s">
        <v>2617</v>
      </c>
      <c r="G18" s="16" t="s">
        <v>2618</v>
      </c>
      <c r="H18" s="16" t="s">
        <v>2619</v>
      </c>
      <c r="I18" s="20" t="str">
        <f t="shared" si="1"/>
        <v>PC3→PC4</v>
      </c>
      <c r="J18" s="10" t="str">
        <f>IFERROR(__xludf.DUMMYFUNCTION("TEXT(VALUE(REGEXEXTRACT(B18,""^[+-]?[0-9]*\.?[0-9]+""))*100,""0.00"")&amp;"" +/- ""&amp;TEXT(VALUE(REGEXEXTRACT(B18,""[0-9]*\.?[0-9]+$""))*100,""0.00"")"),"37.87 +/- 0.35")</f>
        <v>37.87 +/- 0.35</v>
      </c>
      <c r="K18" s="9" t="str">
        <f>IFERROR(__xludf.DUMMYFUNCTION("TEXT(VALUE(REGEXEXTRACT(C18,""^[+-]?[0-9]*\.?[0-9]+""))*100,""0.00"")&amp;"" +/- ""&amp;TEXT(VALUE(REGEXEXTRACT(C18,""[0-9]*\.?[0-9]+$""))*100,""0.00"")"),"26.71 +/- 0.00")</f>
        <v>26.71 +/- 0.00</v>
      </c>
      <c r="L18" s="9" t="str">
        <f>IFERROR(__xludf.DUMMYFUNCTION("TEXT(VALUE(REGEXEXTRACT(D18,""^[+-]?[0-9]*\.?[0-9]+""))*100,""0.00"")&amp;"" +/- ""&amp;TEXT(VALUE(REGEXEXTRACT(D18,""[0-9]*\.?[0-9]+$""))*100,""0.00"")"),"22.75 +/- 0.00")</f>
        <v>22.75 +/- 0.00</v>
      </c>
      <c r="M18" s="9" t="str">
        <f>IFERROR(__xludf.DUMMYFUNCTION("TEXT(VALUE(REGEXEXTRACT(E18,""^[+-]?[0-9]*\.?[0-9]+""))*100,""0.00"")&amp;"" +/- ""&amp;TEXT(VALUE(REGEXEXTRACT(E18,""[0-9]*\.?[0-9]+$""))*100,""0.00"")"),"37.68 +/- 0.61")</f>
        <v>37.68 +/- 0.61</v>
      </c>
      <c r="N18" s="9" t="str">
        <f>IFERROR(__xludf.DUMMYFUNCTION("TEXT(VALUE(REGEXEXTRACT(F18,""^[+-]?[0-9]*\.?[0-9]+""))*100,""0.00"")&amp;"" +/- ""&amp;TEXT(VALUE(REGEXEXTRACT(F18,""[0-9]*\.?[0-9]+$""))*100,""0.00"")"),"36.60 +/- 0.32")</f>
        <v>36.60 +/- 0.32</v>
      </c>
      <c r="O18" s="9" t="str">
        <f>IFERROR(__xludf.DUMMYFUNCTION("TEXT(VALUE(REGEXEXTRACT(G18,""^[+-]?[0-9]*\.?[0-9]+""))*100,""0.00"")&amp;"" +/- ""&amp;TEXT(VALUE(REGEXEXTRACT(G18,""[0-9]*\.?[0-9]+$""))*100,""0.00"")"),"36.58 +/- 0.63")</f>
        <v>36.58 +/- 0.63</v>
      </c>
      <c r="P18" s="9" t="str">
        <f>IFERROR(__xludf.DUMMYFUNCTION("TEXT(VALUE(REGEXEXTRACT(H18,""^[+-]?[0-9]*\.?[0-9]+""))*100,""0.00"")&amp;"" +/- ""&amp;TEXT(VALUE(REGEXEXTRACT(H18,""[0-9]*\.?[0-9]+$""))*100,""0.00"")"),"34.61 +/- 0.70")</f>
        <v>34.61 +/- 0.70</v>
      </c>
    </row>
    <row r="19">
      <c r="A19" s="6" t="s">
        <v>194</v>
      </c>
      <c r="B19" s="16" t="s">
        <v>2625</v>
      </c>
      <c r="C19" s="16" t="s">
        <v>2626</v>
      </c>
      <c r="D19" s="16" t="s">
        <v>2627</v>
      </c>
      <c r="E19" s="16" t="s">
        <v>2628</v>
      </c>
      <c r="F19" s="16" t="s">
        <v>2629</v>
      </c>
      <c r="G19" s="16" t="s">
        <v>2630</v>
      </c>
      <c r="H19" s="16" t="s">
        <v>2631</v>
      </c>
      <c r="I19" s="20" t="str">
        <f t="shared" si="1"/>
        <v>PC4→CM1</v>
      </c>
      <c r="J19" s="9" t="str">
        <f>IFERROR(__xludf.DUMMYFUNCTION("TEXT(VALUE(REGEXEXTRACT(B19,""^[+-]?[0-9]*\.?[0-9]+""))*100,""0.00"")&amp;"" +/- ""&amp;TEXT(VALUE(REGEXEXTRACT(B19,""[0-9]*\.?[0-9]+$""))*100,""0.00"")"),"23.06 +/- 1.14")</f>
        <v>23.06 +/- 1.14</v>
      </c>
      <c r="K19" s="9" t="str">
        <f>IFERROR(__xludf.DUMMYFUNCTION("TEXT(VALUE(REGEXEXTRACT(C19,""^[+-]?[0-9]*\.?[0-9]+""))*100,""0.00"")&amp;"" +/- ""&amp;TEXT(VALUE(REGEXEXTRACT(C19,""[0-9]*\.?[0-9]+$""))*100,""0.00"")"),"10.00 +/- 0.00")</f>
        <v>10.00 +/- 0.00</v>
      </c>
      <c r="L19" s="9" t="str">
        <f>IFERROR(__xludf.DUMMYFUNCTION("TEXT(VALUE(REGEXEXTRACT(D19,""^[+-]?[0-9]*\.?[0-9]+""))*100,""0.00"")&amp;"" +/- ""&amp;TEXT(VALUE(REGEXEXTRACT(D19,""[0-9]*\.?[0-9]+$""))*100,""0.00"")"),"8.00 +/- 0.00")</f>
        <v>8.00 +/- 0.00</v>
      </c>
      <c r="M19" s="9" t="str">
        <f>IFERROR(__xludf.DUMMYFUNCTION("TEXT(VALUE(REGEXEXTRACT(E19,""^[+-]?[0-9]*\.?[0-9]+""))*100,""0.00"")&amp;"" +/- ""&amp;TEXT(VALUE(REGEXEXTRACT(E19,""[0-9]*\.?[0-9]+$""))*100,""0.00"")"),"17.92 +/- 1.52")</f>
        <v>17.92 +/- 1.52</v>
      </c>
      <c r="N19" s="9" t="str">
        <f>IFERROR(__xludf.DUMMYFUNCTION("TEXT(VALUE(REGEXEXTRACT(F19,""^[+-]?[0-9]*\.?[0-9]+""))*100,""0.00"")&amp;"" +/- ""&amp;TEXT(VALUE(REGEXEXTRACT(F19,""[0-9]*\.?[0-9]+$""))*100,""0.00"")"),"24.16 +/- 1.39")</f>
        <v>24.16 +/- 1.39</v>
      </c>
      <c r="O19" s="9" t="str">
        <f>IFERROR(__xludf.DUMMYFUNCTION("TEXT(VALUE(REGEXEXTRACT(G19,""^[+-]?[0-9]*\.?[0-9]+""))*100,""0.00"")&amp;"" +/- ""&amp;TEXT(VALUE(REGEXEXTRACT(G19,""[0-9]*\.?[0-9]+$""))*100,""0.00"")"),"21.23 +/- 1.47")</f>
        <v>21.23 +/- 1.47</v>
      </c>
      <c r="P19" s="10" t="str">
        <f>IFERROR(__xludf.DUMMYFUNCTION("TEXT(VALUE(REGEXEXTRACT(H19,""^[+-]?[0-9]*\.?[0-9]+""))*100,""0.00"")&amp;"" +/- ""&amp;TEXT(VALUE(REGEXEXTRACT(H19,""[0-9]*\.?[0-9]+$""))*100,""0.00"")"),"24.09 +/- 0.61")</f>
        <v>24.09 +/- 0.61</v>
      </c>
    </row>
    <row r="20">
      <c r="A20" s="6" t="s">
        <v>216</v>
      </c>
      <c r="B20" s="16" t="s">
        <v>2632</v>
      </c>
      <c r="C20" s="16" t="s">
        <v>2633</v>
      </c>
      <c r="D20" s="16" t="s">
        <v>2634</v>
      </c>
      <c r="E20" s="16" t="s">
        <v>2635</v>
      </c>
      <c r="F20" s="16" t="s">
        <v>2636</v>
      </c>
      <c r="G20" s="16" t="s">
        <v>2637</v>
      </c>
      <c r="H20" s="16" t="s">
        <v>2638</v>
      </c>
      <c r="I20" s="20" t="str">
        <f t="shared" si="1"/>
        <v>PC4→MW1</v>
      </c>
      <c r="J20" s="10" t="str">
        <f>IFERROR(__xludf.DUMMYFUNCTION("TEXT(VALUE(REGEXEXTRACT(B20,""^[+-]?[0-9]*\.?[0-9]+""))*100,""0.00"")&amp;"" +/- ""&amp;TEXT(VALUE(REGEXEXTRACT(B20,""[0-9]*\.?[0-9]+$""))*100,""0.00"")"),"15.62 +/- 1.73")</f>
        <v>15.62 +/- 1.73</v>
      </c>
      <c r="K20" s="9" t="str">
        <f>IFERROR(__xludf.DUMMYFUNCTION("TEXT(VALUE(REGEXEXTRACT(C20,""^[+-]?[0-9]*\.?[0-9]+""))*100,""0.00"")&amp;"" +/- ""&amp;TEXT(VALUE(REGEXEXTRACT(C20,""[0-9]*\.?[0-9]+$""))*100,""0.00"")"),"4.00 +/- 0.00")</f>
        <v>4.00 +/- 0.00</v>
      </c>
      <c r="L20" s="9" t="str">
        <f>IFERROR(__xludf.DUMMYFUNCTION("TEXT(VALUE(REGEXEXTRACT(D20,""^[+-]?[0-9]*\.?[0-9]+""))*100,""0.00"")&amp;"" +/- ""&amp;TEXT(VALUE(REGEXEXTRACT(D20,""[0-9]*\.?[0-9]+$""))*100,""0.00"")"),"6.67 +/- 0.00")</f>
        <v>6.67 +/- 0.00</v>
      </c>
      <c r="M20" s="9" t="str">
        <f>IFERROR(__xludf.DUMMYFUNCTION("TEXT(VALUE(REGEXEXTRACT(E20,""^[+-]?[0-9]*\.?[0-9]+""))*100,""0.00"")&amp;"" +/- ""&amp;TEXT(VALUE(REGEXEXTRACT(E20,""[0-9]*\.?[0-9]+$""))*100,""0.00"")"),"12.15 +/- 1.47")</f>
        <v>12.15 +/- 1.47</v>
      </c>
      <c r="N20" s="9" t="str">
        <f>IFERROR(__xludf.DUMMYFUNCTION("TEXT(VALUE(REGEXEXTRACT(F20,""^[+-]?[0-9]*\.?[0-9]+""))*100,""0.00"")&amp;"" +/- ""&amp;TEXT(VALUE(REGEXEXTRACT(F20,""[0-9]*\.?[0-9]+$""))*100,""0.00"")"),"12.05 +/- 0.20")</f>
        <v>12.05 +/- 0.20</v>
      </c>
      <c r="O20" s="9" t="str">
        <f>IFERROR(__xludf.DUMMYFUNCTION("TEXT(VALUE(REGEXEXTRACT(G20,""^[+-]?[0-9]*\.?[0-9]+""))*100,""0.00"")&amp;"" +/- ""&amp;TEXT(VALUE(REGEXEXTRACT(G20,""[0-9]*\.?[0-9]+$""))*100,""0.00"")"),"10.64 +/- 1.00")</f>
        <v>10.64 +/- 1.00</v>
      </c>
      <c r="P20" s="9" t="str">
        <f>IFERROR(__xludf.DUMMYFUNCTION("TEXT(VALUE(REGEXEXTRACT(H20,""^[+-]?[0-9]*\.?[0-9]+""))*100,""0.00"")&amp;"" +/- ""&amp;TEXT(VALUE(REGEXEXTRACT(H20,""[0-9]*\.?[0-9]+$""))*100,""0.00"")"),"8.37 +/- 0.73")</f>
        <v>8.37 +/- 0.73</v>
      </c>
    </row>
    <row r="21">
      <c r="A21" s="6" t="s">
        <v>245</v>
      </c>
      <c r="B21" s="16" t="s">
        <v>2639</v>
      </c>
      <c r="C21" s="16" t="s">
        <v>2640</v>
      </c>
      <c r="D21" s="16" t="s">
        <v>2641</v>
      </c>
      <c r="E21" s="16" t="s">
        <v>2642</v>
      </c>
      <c r="F21" s="16" t="s">
        <v>2643</v>
      </c>
      <c r="G21" s="16" t="s">
        <v>2644</v>
      </c>
      <c r="H21" s="16" t="s">
        <v>2645</v>
      </c>
      <c r="I21" s="20" t="str">
        <f t="shared" si="1"/>
        <v>PC4→PC1</v>
      </c>
      <c r="J21" s="10" t="str">
        <f>IFERROR(__xludf.DUMMYFUNCTION("TEXT(VALUE(REGEXEXTRACT(B21,""^[+-]?[0-9]*\.?[0-9]+""))*100,""0.00"")&amp;"" +/- ""&amp;TEXT(VALUE(REGEXEXTRACT(B21,""[0-9]*\.?[0-9]+$""))*100,""0.00"")"),"26.96 +/- 0.59")</f>
        <v>26.96 +/- 0.59</v>
      </c>
      <c r="K21" s="9" t="str">
        <f>IFERROR(__xludf.DUMMYFUNCTION("TEXT(VALUE(REGEXEXTRACT(C21,""^[+-]?[0-9]*\.?[0-9]+""))*100,""0.00"")&amp;"" +/- ""&amp;TEXT(VALUE(REGEXEXTRACT(C21,""[0-9]*\.?[0-9]+$""))*100,""0.00"")"),"23.44 +/- 0.00")</f>
        <v>23.44 +/- 0.00</v>
      </c>
      <c r="L21" s="9" t="str">
        <f>IFERROR(__xludf.DUMMYFUNCTION("TEXT(VALUE(REGEXEXTRACT(D21,""^[+-]?[0-9]*\.?[0-9]+""))*100,""0.00"")&amp;"" +/- ""&amp;TEXT(VALUE(REGEXEXTRACT(D21,""[0-9]*\.?[0-9]+$""))*100,""0.00"")"),"22.92 +/- 0.00")</f>
        <v>22.92 +/- 0.00</v>
      </c>
      <c r="M21" s="9" t="str">
        <f>IFERROR(__xludf.DUMMYFUNCTION("TEXT(VALUE(REGEXEXTRACT(E21,""^[+-]?[0-9]*\.?[0-9]+""))*100,""0.00"")&amp;"" +/- ""&amp;TEXT(VALUE(REGEXEXTRACT(E21,""[0-9]*\.?[0-9]+$""))*100,""0.00"")"),"24.10 +/- 0.55")</f>
        <v>24.10 +/- 0.55</v>
      </c>
      <c r="N21" s="9" t="str">
        <f>IFERROR(__xludf.DUMMYFUNCTION("TEXT(VALUE(REGEXEXTRACT(F21,""^[+-]?[0-9]*\.?[0-9]+""))*100,""0.00"")&amp;"" +/- ""&amp;TEXT(VALUE(REGEXEXTRACT(F21,""[0-9]*\.?[0-9]+$""))*100,""0.00"")"),"22.32 +/- 0.40")</f>
        <v>22.32 +/- 0.40</v>
      </c>
      <c r="O21" s="9" t="str">
        <f>IFERROR(__xludf.DUMMYFUNCTION("TEXT(VALUE(REGEXEXTRACT(G21,""^[+-]?[0-9]*\.?[0-9]+""))*100,""0.00"")&amp;"" +/- ""&amp;TEXT(VALUE(REGEXEXTRACT(G21,""[0-9]*\.?[0-9]+$""))*100,""0.00"")"),"23.89 +/- 0.43")</f>
        <v>23.89 +/- 0.43</v>
      </c>
      <c r="P21" s="9" t="str">
        <f>IFERROR(__xludf.DUMMYFUNCTION("TEXT(VALUE(REGEXEXTRACT(H21,""^[+-]?[0-9]*\.?[0-9]+""))*100,""0.00"")&amp;"" +/- ""&amp;TEXT(VALUE(REGEXEXTRACT(H21,""[0-9]*\.?[0-9]+$""))*100,""0.00"")"),"21.01 +/- 0.41")</f>
        <v>21.01 +/- 0.41</v>
      </c>
    </row>
    <row r="22">
      <c r="A22" s="6" t="s">
        <v>267</v>
      </c>
      <c r="B22" s="16" t="s">
        <v>2653</v>
      </c>
      <c r="C22" s="16" t="s">
        <v>2654</v>
      </c>
      <c r="D22" s="16" t="s">
        <v>2655</v>
      </c>
      <c r="E22" s="16" t="s">
        <v>2656</v>
      </c>
      <c r="F22" s="16" t="s">
        <v>2657</v>
      </c>
      <c r="G22" s="16" t="s">
        <v>2658</v>
      </c>
      <c r="H22" s="16" t="s">
        <v>2659</v>
      </c>
      <c r="I22" s="20" t="str">
        <f t="shared" si="1"/>
        <v>PC4→PC3</v>
      </c>
      <c r="J22" s="10" t="str">
        <f>IFERROR(__xludf.DUMMYFUNCTION("TEXT(VALUE(REGEXEXTRACT(B22,""^[+-]?[0-9]*\.?[0-9]+""))*100,""0.00"")&amp;"" +/- ""&amp;TEXT(VALUE(REGEXEXTRACT(B22,""[0-9]*\.?[0-9]+$""))*100,""0.00"")"),"29.47 +/- 0.29")</f>
        <v>29.47 +/- 0.29</v>
      </c>
      <c r="K22" s="9" t="str">
        <f>IFERROR(__xludf.DUMMYFUNCTION("TEXT(VALUE(REGEXEXTRACT(C22,""^[+-]?[0-9]*\.?[0-9]+""))*100,""0.00"")&amp;"" +/- ""&amp;TEXT(VALUE(REGEXEXTRACT(C22,""[0-9]*\.?[0-9]+$""))*100,""0.00"")"),"20.23 +/- 0.00")</f>
        <v>20.23 +/- 0.00</v>
      </c>
      <c r="L22" s="9" t="str">
        <f>IFERROR(__xludf.DUMMYFUNCTION("TEXT(VALUE(REGEXEXTRACT(D22,""^[+-]?[0-9]*\.?[0-9]+""))*100,""0.00"")&amp;"" +/- ""&amp;TEXT(VALUE(REGEXEXTRACT(D22,""[0-9]*\.?[0-9]+$""))*100,""0.00"")"),"16.51 +/- 0.00")</f>
        <v>16.51 +/- 0.00</v>
      </c>
      <c r="M22" s="9" t="str">
        <f>IFERROR(__xludf.DUMMYFUNCTION("TEXT(VALUE(REGEXEXTRACT(E22,""^[+-]?[0-9]*\.?[0-9]+""))*100,""0.00"")&amp;"" +/- ""&amp;TEXT(VALUE(REGEXEXTRACT(E22,""[0-9]*\.?[0-9]+$""))*100,""0.00"")"),"29.73 +/- 0.57")</f>
        <v>29.73 +/- 0.57</v>
      </c>
      <c r="N22" s="9" t="str">
        <f>IFERROR(__xludf.DUMMYFUNCTION("TEXT(VALUE(REGEXEXTRACT(F22,""^[+-]?[0-9]*\.?[0-9]+""))*100,""0.00"")&amp;"" +/- ""&amp;TEXT(VALUE(REGEXEXTRACT(F22,""[0-9]*\.?[0-9]+$""))*100,""0.00"")"),"27.58 +/- 0.46")</f>
        <v>27.58 +/- 0.46</v>
      </c>
      <c r="O22" s="9" t="str">
        <f>IFERROR(__xludf.DUMMYFUNCTION("TEXT(VALUE(REGEXEXTRACT(G22,""^[+-]?[0-9]*\.?[0-9]+""))*100,""0.00"")&amp;"" +/- ""&amp;TEXT(VALUE(REGEXEXTRACT(G22,""[0-9]*\.?[0-9]+$""))*100,""0.00"")"),"29.27 +/- 0.28")</f>
        <v>29.27 +/- 0.28</v>
      </c>
      <c r="P22" s="9" t="str">
        <f>IFERROR(__xludf.DUMMYFUNCTION("TEXT(VALUE(REGEXEXTRACT(H22,""^[+-]?[0-9]*\.?[0-9]+""))*100,""0.00"")&amp;"" +/- ""&amp;TEXT(VALUE(REGEXEXTRACT(H22,""[0-9]*\.?[0-9]+$""))*100,""0.00"")"),"28.77 +/- 0.66")</f>
        <v>28.77 +/- 0.66</v>
      </c>
    </row>
    <row r="23">
      <c r="A23" s="6" t="s">
        <v>371</v>
      </c>
      <c r="B23" s="14"/>
      <c r="C23" s="21" t="s">
        <v>400</v>
      </c>
      <c r="D23" s="21" t="s">
        <v>990</v>
      </c>
      <c r="E23" s="21" t="s">
        <v>1096</v>
      </c>
      <c r="F23" s="21" t="s">
        <v>388</v>
      </c>
      <c r="G23" s="21" t="s">
        <v>388</v>
      </c>
      <c r="H23" s="21" t="s">
        <v>392</v>
      </c>
      <c r="I23" s="20" t="str">
        <f t="shared" si="1"/>
        <v>W/T/L</v>
      </c>
      <c r="K23" s="20" t="str">
        <f>IFERROR(__xludf.DUMMYFUNCTION("SUM(ARRAYFORMULA(IFERROR(
  (VALUE(REGEXEXTRACT($J$3:$J$22,""^[+-]?[0-9]*\.?[0-9]+""))&gt;
   VALUE(REGEXEXTRACT(K$3:K$22,""^[+-]?[0-9]*\.?[0-9]+"")))*1,0)))
&amp;""/""&amp;
SUM(ARRAYFORMULA(IFERROR(
  (VALUE(REGEXEXTRACT($J$3:$J$22,""^[+-]?[0-9]*\.?[0-9]+""))=
   V"&amp;"ALUE(REGEXEXTRACT(K$3:K$22,""^[+-]?[0-9]*\.?[0-9]+"")))*1,0)))
&amp;""/""&amp;
SUM(ARRAYFORMULA(IFERROR(
  (VALUE(REGEXEXTRACT($J$3:$J$22,""^[+-]?[0-9]*\.?[0-9]+""))&lt;
   VALUE(REGEXEXTRACT(K$3:K$22,""^[+-]?[0-9]*\.?[0-9]+"")))*1,0)))"),"19/0/1")</f>
        <v>19/0/1</v>
      </c>
      <c r="L23" s="20" t="str">
        <f>IFERROR(__xludf.DUMMYFUNCTION("SUM(ARRAYFORMULA(IFERROR(
  (VALUE(REGEXEXTRACT($J$3:$J$22,""^[+-]?[0-9]*\.?[0-9]+""))&gt;
   VALUE(REGEXEXTRACT(L$3:L$22,""^[+-]?[0-9]*\.?[0-9]+"")))*1,0)))
&amp;""/""&amp;
SUM(ARRAYFORMULA(IFERROR(
  (VALUE(REGEXEXTRACT($J$3:$J$22,""^[+-]?[0-9]*\.?[0-9]+""))=
   V"&amp;"ALUE(REGEXEXTRACT(L$3:L$22,""^[+-]?[0-9]*\.?[0-9]+"")))*1,0)))
&amp;""/""&amp;
SUM(ARRAYFORMULA(IFERROR(
  (VALUE(REGEXEXTRACT($J$3:$J$22,""^[+-]?[0-9]*\.?[0-9]+""))&lt;
   VALUE(REGEXEXTRACT(L$3:L$22,""^[+-]?[0-9]*\.?[0-9]+"")))*1,0)))"),"17/0/3")</f>
        <v>17/0/3</v>
      </c>
      <c r="M23" s="20" t="str">
        <f>IFERROR(__xludf.DUMMYFUNCTION("SUM(ARRAYFORMULA(IFERROR(
  (VALUE(REGEXEXTRACT($J$3:$J$22,""^[+-]?[0-9]*\.?[0-9]+""))&gt;
   VALUE(REGEXEXTRACT(M$3:M$22,""^[+-]?[0-9]*\.?[0-9]+"")))*1,0)))
&amp;""/""&amp;
SUM(ARRAYFORMULA(IFERROR(
  (VALUE(REGEXEXTRACT($J$3:$J$22,""^[+-]?[0-9]*\.?[0-9]+""))=
   V"&amp;"ALUE(REGEXEXTRACT(M$3:M$22,""^[+-]?[0-9]*\.?[0-9]+"")))*1,0)))
&amp;""/""&amp;
SUM(ARRAYFORMULA(IFERROR(
  (VALUE(REGEXEXTRACT($J$3:$J$22,""^[+-]?[0-9]*\.?[0-9]+""))&lt;
   VALUE(REGEXEXTRACT(M$3:M$22,""^[+-]?[0-9]*\.?[0-9]+"")))*1,0)))"),"15/0/5")</f>
        <v>15/0/5</v>
      </c>
      <c r="N23" s="20" t="str">
        <f>IFERROR(__xludf.DUMMYFUNCTION("SUM(ARRAYFORMULA(IFERROR(
  (VALUE(REGEXEXTRACT($J$3:$J$22,""^[+-]?[0-9]*\.?[0-9]+""))&gt;
   VALUE(REGEXEXTRACT(N$3:N$22,""^[+-]?[0-9]*\.?[0-9]+"")))*1,0)))
&amp;""/""&amp;
SUM(ARRAYFORMULA(IFERROR(
  (VALUE(REGEXEXTRACT($J$3:$J$22,""^[+-]?[0-9]*\.?[0-9]+""))=
   V"&amp;"ALUE(REGEXEXTRACT(N$3:N$22,""^[+-]?[0-9]*\.?[0-9]+"")))*1,0)))
&amp;""/""&amp;
SUM(ARRAYFORMULA(IFERROR(
  (VALUE(REGEXEXTRACT($J$3:$J$22,""^[+-]?[0-9]*\.?[0-9]+""))&lt;
   VALUE(REGEXEXTRACT(N$3:N$22,""^[+-]?[0-9]*\.?[0-9]+"")))*1,0)))"),"16/0/4")</f>
        <v>16/0/4</v>
      </c>
      <c r="O23" s="20" t="str">
        <f>IFERROR(__xludf.DUMMYFUNCTION("SUM(ARRAYFORMULA(IFERROR(
  (VALUE(REGEXEXTRACT($J$3:$J$22,""^[+-]?[0-9]*\.?[0-9]+""))&gt;
   VALUE(REGEXEXTRACT(O$3:O$22,""^[+-]?[0-9]*\.?[0-9]+"")))*1,0)))
&amp;""/""&amp;
SUM(ARRAYFORMULA(IFERROR(
  (VALUE(REGEXEXTRACT($J$3:$J$22,""^[+-]?[0-9]*\.?[0-9]+""))=
   V"&amp;"ALUE(REGEXEXTRACT(O$3:O$22,""^[+-]?[0-9]*\.?[0-9]+"")))*1,0)))
&amp;""/""&amp;
SUM(ARRAYFORMULA(IFERROR(
  (VALUE(REGEXEXTRACT($J$3:$J$22,""^[+-]?[0-9]*\.?[0-9]+""))&lt;
   VALUE(REGEXEXTRACT(O$3:O$22,""^[+-]?[0-9]*\.?[0-9]+"")))*1,0)))"),"16/0/4")</f>
        <v>16/0/4</v>
      </c>
      <c r="P23" s="20" t="str">
        <f>IFERROR(__xludf.DUMMYFUNCTION("SUM(ARRAYFORMULA(IFERROR(
  (VALUE(REGEXEXTRACT($J$3:$J$22,""^[+-]?[0-9]*\.?[0-9]+""))&gt;
   VALUE(REGEXEXTRACT(P$3:P$22,""^[+-]?[0-9]*\.?[0-9]+"")))*1,0)))
&amp;""/""&amp;
SUM(ARRAYFORMULA(IFERROR(
  (VALUE(REGEXEXTRACT($J$3:$J$22,""^[+-]?[0-9]*\.?[0-9]+""))=
   V"&amp;"ALUE(REGEXEXTRACT(P$3:P$22,""^[+-]?[0-9]*\.?[0-9]+"")))*1,0)))
&amp;""/""&amp;
SUM(ARRAYFORMULA(IFERROR(
  (VALUE(REGEXEXTRACT($J$3:$J$22,""^[+-]?[0-9]*\.?[0-9]+""))&lt;
   VALUE(REGEXEXTRACT(P$3:P$22,""^[+-]?[0-9]*\.?[0-9]+"")))*1,0)))"),"14/0/6")</f>
        <v>14/0/6</v>
      </c>
    </row>
    <row r="24">
      <c r="A24" s="6" t="s">
        <v>489</v>
      </c>
      <c r="B24" s="14" t="s">
        <v>2702</v>
      </c>
      <c r="C24" s="14" t="s">
        <v>2703</v>
      </c>
      <c r="D24" s="14" t="s">
        <v>2704</v>
      </c>
      <c r="E24" s="14" t="s">
        <v>2705</v>
      </c>
      <c r="F24" s="14" t="s">
        <v>2706</v>
      </c>
      <c r="G24" s="14" t="s">
        <v>2707</v>
      </c>
      <c r="H24" s="14" t="s">
        <v>2708</v>
      </c>
      <c r="I24" s="20" t="str">
        <f t="shared" si="1"/>
        <v>Average (%)</v>
      </c>
      <c r="J24" s="14">
        <f>IFERROR(__xludf.DUMMYFUNCTION("ROUND(AVERAGE(ARRAYFORMULA(IFERROR(VALUE(REGEXEXTRACT(J$3:J$22,""^[+-]?[0-9]*\.?[0-9]+"")),""""))),2)"),27.36)</f>
        <v>27.36</v>
      </c>
      <c r="K24" s="14">
        <f>IFERROR(__xludf.DUMMYFUNCTION("ROUND(AVERAGE(ARRAYFORMULA(IFERROR(VALUE(REGEXEXTRACT(K$3:K$22,""^[+-]?[0-9]*\.?[0-9]+"")),""""))),2)"),16.91)</f>
        <v>16.91</v>
      </c>
      <c r="L24" s="14">
        <f>IFERROR(__xludf.DUMMYFUNCTION("ROUND(AVERAGE(ARRAYFORMULA(IFERROR(VALUE(REGEXEXTRACT(L$3:L$22,""^[+-]?[0-9]*\.?[0-9]+"")),""""))),2)"),16.18)</f>
        <v>16.18</v>
      </c>
      <c r="M24" s="14">
        <f>IFERROR(__xludf.DUMMYFUNCTION("ROUND(AVERAGE(ARRAYFORMULA(IFERROR(VALUE(REGEXEXTRACT(M$3:M$22,""^[+-]?[0-9]*\.?[0-9]+"")),""""))),2)"),25.51)</f>
        <v>25.51</v>
      </c>
      <c r="N24" s="14">
        <f>IFERROR(__xludf.DUMMYFUNCTION("ROUND(AVERAGE(ARRAYFORMULA(IFERROR(VALUE(REGEXEXTRACT(N$3:N$22,""^[+-]?[0-9]*\.?[0-9]+"")),""""))),2)"),25.16)</f>
        <v>25.16</v>
      </c>
      <c r="O24" s="14">
        <f>IFERROR(__xludf.DUMMYFUNCTION("ROUND(AVERAGE(ARRAYFORMULA(IFERROR(VALUE(REGEXEXTRACT(O$3:O$22,""^[+-]?[0-9]*\.?[0-9]+"")),""""))),2)"),25.3)</f>
        <v>25.3</v>
      </c>
      <c r="P24" s="14">
        <f>IFERROR(__xludf.DUMMYFUNCTION("ROUND(AVERAGE(ARRAYFORMULA(IFERROR(VALUE(REGEXEXTRACT(P$3:P$22,""^[+-]?[0-9]*\.?[0-9]+"")),""""))),2)"),24.54)</f>
        <v>24.54</v>
      </c>
    </row>
    <row r="25">
      <c r="A25" s="4" t="s">
        <v>504</v>
      </c>
      <c r="B25" s="2"/>
      <c r="C25" s="2"/>
      <c r="D25" s="2"/>
      <c r="E25" s="2"/>
      <c r="F25" s="2"/>
      <c r="G25" s="2"/>
      <c r="H25" s="2"/>
      <c r="I25" s="4" t="s">
        <v>504</v>
      </c>
    </row>
    <row r="26">
      <c r="A26" s="23" t="s">
        <v>505</v>
      </c>
      <c r="B26" s="16" t="s">
        <v>2723</v>
      </c>
      <c r="C26" s="16" t="s">
        <v>2723</v>
      </c>
      <c r="D26" s="16" t="s">
        <v>2724</v>
      </c>
      <c r="E26" s="16" t="s">
        <v>2723</v>
      </c>
      <c r="F26" s="16" t="s">
        <v>2723</v>
      </c>
      <c r="G26" s="16" t="s">
        <v>2723</v>
      </c>
      <c r="H26" s="16" t="s">
        <v>2723</v>
      </c>
      <c r="I26" s="20" t="str">
        <f t="shared" ref="I26:I33" si="2">A26</f>
        <v>A→S</v>
      </c>
      <c r="J26" s="9" t="str">
        <f>IFERROR(__xludf.DUMMYFUNCTION("TEXT(VALUE(REGEXEXTRACT(B26,""^[+-]?[0-9]*\.?[0-9]+""))*100,""0.00"")&amp;"" +/- ""&amp;TEXT(VALUE(REGEXEXTRACT(B26,""[0-9]*\.?[0-9]+$""))*100,""0.00"")"),"41.86 +/- 0.00")</f>
        <v>41.86 +/- 0.00</v>
      </c>
      <c r="K26" s="9" t="str">
        <f>IFERROR(__xludf.DUMMYFUNCTION("TEXT(VALUE(REGEXEXTRACT(C26,""^[+-]?[0-9]*\.?[0-9]+""))*100,""0.00"")&amp;"" +/- ""&amp;TEXT(VALUE(REGEXEXTRACT(C26,""[0-9]*\.?[0-9]+$""))*100,""0.00"")"),"41.86 +/- 0.00")</f>
        <v>41.86 +/- 0.00</v>
      </c>
      <c r="L26" s="10" t="str">
        <f>IFERROR(__xludf.DUMMYFUNCTION("TEXT(VALUE(REGEXEXTRACT(D26,""^[+-]?[0-9]*\.?[0-9]+""))*100,""0.00"")&amp;"" +/- ""&amp;TEXT(VALUE(REGEXEXTRACT(D26,""[0-9]*\.?[0-9]+$""))*100,""0.00"")"),"68.18 +/- 0.00")</f>
        <v>68.18 +/- 0.00</v>
      </c>
      <c r="M26" s="9" t="str">
        <f>IFERROR(__xludf.DUMMYFUNCTION("TEXT(VALUE(REGEXEXTRACT(E26,""^[+-]?[0-9]*\.?[0-9]+""))*100,""0.00"")&amp;"" +/- ""&amp;TEXT(VALUE(REGEXEXTRACT(E26,""[0-9]*\.?[0-9]+$""))*100,""0.00"")"),"41.86 +/- 0.00")</f>
        <v>41.86 +/- 0.00</v>
      </c>
      <c r="N26" s="9" t="str">
        <f>IFERROR(__xludf.DUMMYFUNCTION("TEXT(VALUE(REGEXEXTRACT(F26,""^[+-]?[0-9]*\.?[0-9]+""))*100,""0.00"")&amp;"" +/- ""&amp;TEXT(VALUE(REGEXEXTRACT(F26,""[0-9]*\.?[0-9]+$""))*100,""0.00"")"),"41.86 +/- 0.00")</f>
        <v>41.86 +/- 0.00</v>
      </c>
      <c r="O26" s="9" t="str">
        <f>IFERROR(__xludf.DUMMYFUNCTION("TEXT(VALUE(REGEXEXTRACT(G26,""^[+-]?[0-9]*\.?[0-9]+""))*100,""0.00"")&amp;"" +/- ""&amp;TEXT(VALUE(REGEXEXTRACT(G26,""[0-9]*\.?[0-9]+$""))*100,""0.00"")"),"41.86 +/- 0.00")</f>
        <v>41.86 +/- 0.00</v>
      </c>
      <c r="P26" s="9" t="str">
        <f>IFERROR(__xludf.DUMMYFUNCTION("TEXT(VALUE(REGEXEXTRACT(H26,""^[+-]?[0-9]*\.?[0-9]+""))*100,""0.00"")&amp;"" +/- ""&amp;TEXT(VALUE(REGEXEXTRACT(H26,""[0-9]*\.?[0-9]+$""))*100,""0.00"")"),"41.86 +/- 0.00")</f>
        <v>41.86 +/- 0.00</v>
      </c>
    </row>
    <row r="27">
      <c r="A27" s="6" t="s">
        <v>529</v>
      </c>
      <c r="B27" s="16" t="s">
        <v>2732</v>
      </c>
      <c r="C27" s="16" t="s">
        <v>2732</v>
      </c>
      <c r="D27" s="16" t="s">
        <v>2733</v>
      </c>
      <c r="E27" s="16" t="s">
        <v>2732</v>
      </c>
      <c r="F27" s="16" t="s">
        <v>2732</v>
      </c>
      <c r="G27" s="16" t="s">
        <v>2732</v>
      </c>
      <c r="H27" s="16" t="s">
        <v>2732</v>
      </c>
      <c r="I27" s="20" t="str">
        <f t="shared" si="2"/>
        <v>A→Z</v>
      </c>
      <c r="J27" s="10" t="str">
        <f>IFERROR(__xludf.DUMMYFUNCTION("TEXT(VALUE(REGEXEXTRACT(B27,""^[+-]?[0-9]*\.?[0-9]+""))*100,""0.00"")&amp;"" +/- ""&amp;TEXT(VALUE(REGEXEXTRACT(B27,""[0-9]*\.?[0-9]+$""))*100,""0.00"")"),"48.98 +/- 0.00")</f>
        <v>48.98 +/- 0.00</v>
      </c>
      <c r="K27" s="10" t="str">
        <f>IFERROR(__xludf.DUMMYFUNCTION("TEXT(VALUE(REGEXEXTRACT(C27,""^[+-]?[0-9]*\.?[0-9]+""))*100,""0.00"")&amp;"" +/- ""&amp;TEXT(VALUE(REGEXEXTRACT(C27,""[0-9]*\.?[0-9]+$""))*100,""0.00"")"),"48.98 +/- 0.00")</f>
        <v>48.98 +/- 0.00</v>
      </c>
      <c r="L27" s="9" t="str">
        <f>IFERROR(__xludf.DUMMYFUNCTION("TEXT(VALUE(REGEXEXTRACT(D27,""^[+-]?[0-9]*\.?[0-9]+""))*100,""0.00"")&amp;"" +/- ""&amp;TEXT(VALUE(REGEXEXTRACT(D27,""[0-9]*\.?[0-9]+$""))*100,""0.00"")"),"43.48 +/- 0.00")</f>
        <v>43.48 +/- 0.00</v>
      </c>
      <c r="M27" s="10" t="str">
        <f>IFERROR(__xludf.DUMMYFUNCTION("TEXT(VALUE(REGEXEXTRACT(E27,""^[+-]?[0-9]*\.?[0-9]+""))*100,""0.00"")&amp;"" +/- ""&amp;TEXT(VALUE(REGEXEXTRACT(E27,""[0-9]*\.?[0-9]+$""))*100,""0.00"")"),"48.98 +/- 0.00")</f>
        <v>48.98 +/- 0.00</v>
      </c>
      <c r="N27" s="10" t="str">
        <f>IFERROR(__xludf.DUMMYFUNCTION("TEXT(VALUE(REGEXEXTRACT(F27,""^[+-]?[0-9]*\.?[0-9]+""))*100,""0.00"")&amp;"" +/- ""&amp;TEXT(VALUE(REGEXEXTRACT(F27,""[0-9]*\.?[0-9]+$""))*100,""0.00"")"),"48.98 +/- 0.00")</f>
        <v>48.98 +/- 0.00</v>
      </c>
      <c r="O27" s="10" t="str">
        <f>IFERROR(__xludf.DUMMYFUNCTION("TEXT(VALUE(REGEXEXTRACT(G27,""^[+-]?[0-9]*\.?[0-9]+""))*100,""0.00"")&amp;"" +/- ""&amp;TEXT(VALUE(REGEXEXTRACT(G27,""[0-9]*\.?[0-9]+$""))*100,""0.00"")"),"48.98 +/- 0.00")</f>
        <v>48.98 +/- 0.00</v>
      </c>
      <c r="P27" s="10" t="str">
        <f>IFERROR(__xludf.DUMMYFUNCTION("TEXT(VALUE(REGEXEXTRACT(H27,""^[+-]?[0-9]*\.?[0-9]+""))*100,""0.00"")&amp;"" +/- ""&amp;TEXT(VALUE(REGEXEXTRACT(H27,""[0-9]*\.?[0-9]+$""))*100,""0.00"")"),"48.98 +/- 0.00")</f>
        <v>48.98 +/- 0.00</v>
      </c>
    </row>
    <row r="28">
      <c r="A28" s="6" t="s">
        <v>539</v>
      </c>
      <c r="B28" s="16" t="s">
        <v>2741</v>
      </c>
      <c r="C28" s="16" t="s">
        <v>2742</v>
      </c>
      <c r="D28" s="16" t="s">
        <v>2743</v>
      </c>
      <c r="E28" s="16" t="s">
        <v>2744</v>
      </c>
      <c r="F28" s="16" t="s">
        <v>2745</v>
      </c>
      <c r="G28" s="16" t="s">
        <v>2746</v>
      </c>
      <c r="H28" s="16" t="s">
        <v>2747</v>
      </c>
      <c r="I28" s="20" t="str">
        <f t="shared" si="2"/>
        <v>S→A</v>
      </c>
      <c r="J28" s="9" t="str">
        <f>IFERROR(__xludf.DUMMYFUNCTION("TEXT(VALUE(REGEXEXTRACT(B28,""^[+-]?[0-9]*\.?[0-9]+""))*100,""0.00"")&amp;"" +/- ""&amp;TEXT(VALUE(REGEXEXTRACT(B28,""[0-9]*\.?[0-9]+$""))*100,""0.00"")"),"53.00 +/- 1.21")</f>
        <v>53.00 +/- 1.21</v>
      </c>
      <c r="K28" s="9" t="str">
        <f>IFERROR(__xludf.DUMMYFUNCTION("TEXT(VALUE(REGEXEXTRACT(C28,""^[+-]?[0-9]*\.?[0-9]+""))*100,""0.00"")&amp;"" +/- ""&amp;TEXT(VALUE(REGEXEXTRACT(C28,""[0-9]*\.?[0-9]+$""))*100,""0.00"")"),"50.00 +/- 0.00")</f>
        <v>50.00 +/- 0.00</v>
      </c>
      <c r="L28" s="10" t="str">
        <f>IFERROR(__xludf.DUMMYFUNCTION("TEXT(VALUE(REGEXEXTRACT(D28,""^[+-]?[0-9]*\.?[0-9]+""))*100,""0.00"")&amp;"" +/- ""&amp;TEXT(VALUE(REGEXEXTRACT(D28,""[0-9]*\.?[0-9]+$""))*100,""0.00"")"),"61.62 +/- 0.00")</f>
        <v>61.62 +/- 0.00</v>
      </c>
      <c r="M28" s="9" t="str">
        <f>IFERROR(__xludf.DUMMYFUNCTION("TEXT(VALUE(REGEXEXTRACT(E28,""^[+-]?[0-9]*\.?[0-9]+""))*100,""0.00"")&amp;"" +/- ""&amp;TEXT(VALUE(REGEXEXTRACT(E28,""[0-9]*\.?[0-9]+$""))*100,""0.00"")"),"52.23 +/- 1.95")</f>
        <v>52.23 +/- 1.95</v>
      </c>
      <c r="N28" s="9" t="str">
        <f>IFERROR(__xludf.DUMMYFUNCTION("TEXT(VALUE(REGEXEXTRACT(F28,""^[+-]?[0-9]*\.?[0-9]+""))*100,""0.00"")&amp;"" +/- ""&amp;TEXT(VALUE(REGEXEXTRACT(F28,""[0-9]*\.?[0-9]+$""))*100,""0.00"")"),"52.33 +/- 1.04")</f>
        <v>52.33 +/- 1.04</v>
      </c>
      <c r="O28" s="9" t="str">
        <f>IFERROR(__xludf.DUMMYFUNCTION("TEXT(VALUE(REGEXEXTRACT(G28,""^[+-]?[0-9]*\.?[0-9]+""))*100,""0.00"")&amp;"" +/- ""&amp;TEXT(VALUE(REGEXEXTRACT(G28,""[0-9]*\.?[0-9]+$""))*100,""0.00"")"),"52.53 +/- 1.31")</f>
        <v>52.53 +/- 1.31</v>
      </c>
      <c r="P28" s="9" t="str">
        <f>IFERROR(__xludf.DUMMYFUNCTION("TEXT(VALUE(REGEXEXTRACT(H28,""^[+-]?[0-9]*\.?[0-9]+""))*100,""0.00"")&amp;"" +/- ""&amp;TEXT(VALUE(REGEXEXTRACT(H28,""[0-9]*\.?[0-9]+$""))*100,""0.00"")"),"49.72 +/- 1.54")</f>
        <v>49.72 +/- 1.54</v>
      </c>
    </row>
    <row r="29">
      <c r="A29" s="6" t="s">
        <v>556</v>
      </c>
      <c r="B29" s="16" t="s">
        <v>2762</v>
      </c>
      <c r="C29" s="16" t="s">
        <v>2763</v>
      </c>
      <c r="D29" s="16" t="s">
        <v>2764</v>
      </c>
      <c r="E29" s="16" t="s">
        <v>2765</v>
      </c>
      <c r="F29" s="16" t="s">
        <v>2766</v>
      </c>
      <c r="G29" s="16" t="s">
        <v>2767</v>
      </c>
      <c r="H29" s="16" t="s">
        <v>2768</v>
      </c>
      <c r="I29" s="20" t="str">
        <f t="shared" si="2"/>
        <v>S→Z</v>
      </c>
      <c r="J29" s="10" t="str">
        <f>IFERROR(__xludf.DUMMYFUNCTION("TEXT(VALUE(REGEXEXTRACT(B29,""^[+-]?[0-9]*\.?[0-9]+""))*100,""0.00"")&amp;"" +/- ""&amp;TEXT(VALUE(REGEXEXTRACT(B29,""[0-9]*\.?[0-9]+$""))*100,""0.00"")"),"42.65 +/- 0.72")</f>
        <v>42.65 +/- 0.72</v>
      </c>
      <c r="K29" s="9" t="str">
        <f>IFERROR(__xludf.DUMMYFUNCTION("TEXT(VALUE(REGEXEXTRACT(C29,""^[+-]?[0-9]*\.?[0-9]+""))*100,""0.00"")&amp;"" +/- ""&amp;TEXT(VALUE(REGEXEXTRACT(C29,""[0-9]*\.?[0-9]+$""))*100,""0.00"")"),"42.34 +/- 0.00")</f>
        <v>42.34 +/- 0.00</v>
      </c>
      <c r="L29" s="9" t="str">
        <f>IFERROR(__xludf.DUMMYFUNCTION("TEXT(VALUE(REGEXEXTRACT(D29,""^[+-]?[0-9]*\.?[0-9]+""))*100,""0.00"")&amp;"" +/- ""&amp;TEXT(VALUE(REGEXEXTRACT(D29,""[0-9]*\.?[0-9]+$""))*100,""0.00"")"),"45.18 +/- 0.00")</f>
        <v>45.18 +/- 0.00</v>
      </c>
      <c r="M29" s="9" t="str">
        <f>IFERROR(__xludf.DUMMYFUNCTION("TEXT(VALUE(REGEXEXTRACT(E29,""^[+-]?[0-9]*\.?[0-9]+""))*100,""0.00"")&amp;"" +/- ""&amp;TEXT(VALUE(REGEXEXTRACT(E29,""[0-9]*\.?[0-9]+$""))*100,""0.00"")"),"42.28 +/- 1.28")</f>
        <v>42.28 +/- 1.28</v>
      </c>
      <c r="N29" s="9" t="str">
        <f>IFERROR(__xludf.DUMMYFUNCTION("TEXT(VALUE(REGEXEXTRACT(F29,""^[+-]?[0-9]*\.?[0-9]+""))*100,""0.00"")&amp;"" +/- ""&amp;TEXT(VALUE(REGEXEXTRACT(F29,""[0-9]*\.?[0-9]+$""))*100,""0.00"")"),"42.48 +/- 0.54")</f>
        <v>42.48 +/- 0.54</v>
      </c>
      <c r="O29" s="9" t="str">
        <f>IFERROR(__xludf.DUMMYFUNCTION("TEXT(VALUE(REGEXEXTRACT(G29,""^[+-]?[0-9]*\.?[0-9]+""))*100,""0.00"")&amp;"" +/- ""&amp;TEXT(VALUE(REGEXEXTRACT(G29,""[0-9]*\.?[0-9]+$""))*100,""0.00"")"),"42.58 +/- 0.88")</f>
        <v>42.58 +/- 0.88</v>
      </c>
      <c r="P29" s="9" t="str">
        <f>IFERROR(__xludf.DUMMYFUNCTION("TEXT(VALUE(REGEXEXTRACT(H29,""^[+-]?[0-9]*\.?[0-9]+""))*100,""0.00"")&amp;"" +/- ""&amp;TEXT(VALUE(REGEXEXTRACT(H29,""[0-9]*\.?[0-9]+$""))*100,""0.00"")"),"40.69 +/- 1.02")</f>
        <v>40.69 +/- 1.02</v>
      </c>
    </row>
    <row r="30">
      <c r="A30" s="6" t="s">
        <v>572</v>
      </c>
      <c r="B30" s="16" t="s">
        <v>2804</v>
      </c>
      <c r="C30" s="16" t="s">
        <v>2805</v>
      </c>
      <c r="D30" s="16" t="s">
        <v>2806</v>
      </c>
      <c r="E30" s="16" t="s">
        <v>2808</v>
      </c>
      <c r="F30" s="16" t="s">
        <v>2809</v>
      </c>
      <c r="G30" s="16" t="s">
        <v>2811</v>
      </c>
      <c r="H30" s="16" t="s">
        <v>2812</v>
      </c>
      <c r="I30" s="20" t="str">
        <f t="shared" si="2"/>
        <v>Z→A</v>
      </c>
      <c r="J30" s="9" t="str">
        <f>IFERROR(__xludf.DUMMYFUNCTION("TEXT(VALUE(REGEXEXTRACT(B30,""^[+-]?[0-9]*\.?[0-9]+""))*100,""0.00"")&amp;"" +/- ""&amp;TEXT(VALUE(REGEXEXTRACT(B30,""[0-9]*\.?[0-9]+$""))*100,""0.00"")"),"48.55 +/- 1.36")</f>
        <v>48.55 +/- 1.36</v>
      </c>
      <c r="K30" s="9" t="str">
        <f>IFERROR(__xludf.DUMMYFUNCTION("TEXT(VALUE(REGEXEXTRACT(C30,""^[+-]?[0-9]*\.?[0-9]+""))*100,""0.00"")&amp;"" +/- ""&amp;TEXT(VALUE(REGEXEXTRACT(C30,""[0-9]*\.?[0-9]+$""))*100,""0.00"")"),"27.42 +/- 0.00")</f>
        <v>27.42 +/- 0.00</v>
      </c>
      <c r="L30" s="10" t="str">
        <f>IFERROR(__xludf.DUMMYFUNCTION("TEXT(VALUE(REGEXEXTRACT(D30,""^[+-]?[0-9]*\.?[0-9]+""))*100,""0.00"")&amp;"" +/- ""&amp;TEXT(VALUE(REGEXEXTRACT(D30,""[0-9]*\.?[0-9]+$""))*100,""0.00"")"),"59.87 +/- 0.00")</f>
        <v>59.87 +/- 0.00</v>
      </c>
      <c r="M30" s="9" t="str">
        <f>IFERROR(__xludf.DUMMYFUNCTION("TEXT(VALUE(REGEXEXTRACT(E30,""^[+-]?[0-9]*\.?[0-9]+""))*100,""0.00"")&amp;"" +/- ""&amp;TEXT(VALUE(REGEXEXTRACT(E30,""[0-9]*\.?[0-9]+$""))*100,""0.00"")"),"52.93 +/- 1.78")</f>
        <v>52.93 +/- 1.78</v>
      </c>
      <c r="N30" s="9" t="str">
        <f>IFERROR(__xludf.DUMMYFUNCTION("TEXT(VALUE(REGEXEXTRACT(F30,""^[+-]?[0-9]*\.?[0-9]+""))*100,""0.00"")&amp;"" +/- ""&amp;TEXT(VALUE(REGEXEXTRACT(F30,""[0-9]*\.?[0-9]+$""))*100,""0.00"")"),"51.12 +/- 1.63")</f>
        <v>51.12 +/- 1.63</v>
      </c>
      <c r="O30" s="9" t="str">
        <f>IFERROR(__xludf.DUMMYFUNCTION("TEXT(VALUE(REGEXEXTRACT(G30,""^[+-]?[0-9]*\.?[0-9]+""))*100,""0.00"")&amp;"" +/- ""&amp;TEXT(VALUE(REGEXEXTRACT(G30,""[0-9]*\.?[0-9]+$""))*100,""0.00"")"),"52.73 +/- 1.97")</f>
        <v>52.73 +/- 1.97</v>
      </c>
      <c r="P30" s="9" t="str">
        <f>IFERROR(__xludf.DUMMYFUNCTION("TEXT(VALUE(REGEXEXTRACT(H30,""^[+-]?[0-9]*\.?[0-9]+""))*100,""0.00"")&amp;"" +/- ""&amp;TEXT(VALUE(REGEXEXTRACT(H30,""[0-9]*\.?[0-9]+$""))*100,""0.00"")"),"48.10 +/- 1.32")</f>
        <v>48.10 +/- 1.32</v>
      </c>
    </row>
    <row r="31">
      <c r="A31" s="6" t="s">
        <v>583</v>
      </c>
      <c r="B31" s="16" t="s">
        <v>2820</v>
      </c>
      <c r="C31" s="16" t="s">
        <v>2821</v>
      </c>
      <c r="D31" s="16" t="s">
        <v>2822</v>
      </c>
      <c r="E31" s="16" t="s">
        <v>2823</v>
      </c>
      <c r="F31" s="16" t="s">
        <v>2824</v>
      </c>
      <c r="G31" s="16" t="s">
        <v>2825</v>
      </c>
      <c r="H31" s="16" t="s">
        <v>2826</v>
      </c>
      <c r="I31" s="20" t="str">
        <f t="shared" si="2"/>
        <v>Z→S</v>
      </c>
      <c r="J31" s="10" t="str">
        <f>IFERROR(__xludf.DUMMYFUNCTION("TEXT(VALUE(REGEXEXTRACT(B31,""^[+-]?[0-9]*\.?[0-9]+""))*100,""0.00"")&amp;"" +/- ""&amp;TEXT(VALUE(REGEXEXTRACT(B31,""[0-9]*\.?[0-9]+$""))*100,""0.00"")"),"65.63 +/- 2.65")</f>
        <v>65.63 +/- 2.65</v>
      </c>
      <c r="K31" s="9" t="str">
        <f>IFERROR(__xludf.DUMMYFUNCTION("TEXT(VALUE(REGEXEXTRACT(C31,""^[+-]?[0-9]*\.?[0-9]+""))*100,""0.00"")&amp;"" +/- ""&amp;TEXT(VALUE(REGEXEXTRACT(C31,""[0-9]*\.?[0-9]+$""))*100,""0.00"")"),"34.48 +/- 0.00")</f>
        <v>34.48 +/- 0.00</v>
      </c>
      <c r="L31" s="9" t="str">
        <f>IFERROR(__xludf.DUMMYFUNCTION("TEXT(VALUE(REGEXEXTRACT(D31,""^[+-]?[0-9]*\.?[0-9]+""))*100,""0.00"")&amp;"" +/- ""&amp;TEXT(VALUE(REGEXEXTRACT(D31,""[0-9]*\.?[0-9]+$""))*100,""0.00"")"),"46.67 +/- 0.00")</f>
        <v>46.67 +/- 0.00</v>
      </c>
      <c r="M31" s="9" t="str">
        <f>IFERROR(__xludf.DUMMYFUNCTION("TEXT(VALUE(REGEXEXTRACT(E31,""^[+-]?[0-9]*\.?[0-9]+""))*100,""0.00"")&amp;"" +/- ""&amp;TEXT(VALUE(REGEXEXTRACT(E31,""[0-9]*\.?[0-9]+$""))*100,""0.00"")"),"56.16 +/- 2.91")</f>
        <v>56.16 +/- 2.91</v>
      </c>
      <c r="N31" s="9" t="str">
        <f>IFERROR(__xludf.DUMMYFUNCTION("TEXT(VALUE(REGEXEXTRACT(F31,""^[+-]?[0-9]*\.?[0-9]+""))*100,""0.00"")&amp;"" +/- ""&amp;TEXT(VALUE(REGEXEXTRACT(F31,""[0-9]*\.?[0-9]+$""))*100,""0.00"")"),"53.85 +/- 2.07")</f>
        <v>53.85 +/- 2.07</v>
      </c>
      <c r="O31" s="9" t="str">
        <f>IFERROR(__xludf.DUMMYFUNCTION("TEXT(VALUE(REGEXEXTRACT(G31,""^[+-]?[0-9]*\.?[0-9]+""))*100,""0.00"")&amp;"" +/- ""&amp;TEXT(VALUE(REGEXEXTRACT(G31,""[0-9]*\.?[0-9]+$""))*100,""0.00"")"),"53.23 +/- 2.26")</f>
        <v>53.23 +/- 2.26</v>
      </c>
      <c r="P31" s="9" t="str">
        <f>IFERROR(__xludf.DUMMYFUNCTION("TEXT(VALUE(REGEXEXTRACT(H31,""^[+-]?[0-9]*\.?[0-9]+""))*100,""0.00"")&amp;"" +/- ""&amp;TEXT(VALUE(REGEXEXTRACT(H31,""[0-9]*\.?[0-9]+$""))*100,""0.00"")"),"48.13 +/- 3.91")</f>
        <v>48.13 +/- 3.91</v>
      </c>
    </row>
    <row r="32">
      <c r="A32" s="6" t="s">
        <v>371</v>
      </c>
      <c r="B32" s="14"/>
      <c r="C32" s="21" t="s">
        <v>671</v>
      </c>
      <c r="D32" s="21" t="s">
        <v>2045</v>
      </c>
      <c r="E32" s="21" t="s">
        <v>605</v>
      </c>
      <c r="F32" s="21" t="s">
        <v>605</v>
      </c>
      <c r="G32" s="21" t="s">
        <v>605</v>
      </c>
      <c r="H32" s="21" t="s">
        <v>671</v>
      </c>
      <c r="I32" s="20" t="str">
        <f t="shared" si="2"/>
        <v>W/T/L</v>
      </c>
      <c r="K32" s="20" t="str">
        <f>IFERROR(__xludf.DUMMYFUNCTION("SUM(ARRAYFORMULA(IFERROR(
  (VALUE(REGEXEXTRACT($J$26:$J$31,""^[+-]?[0-9]*\.?[0-9]+""))&gt;
   VALUE(REGEXEXTRACT(K$26:K$31,""^[+-]?[0-9]*\.?[0-9]+"")))*1,0)))
&amp;""/""&amp;
SUM(ARRAYFORMULA(IFERROR(
  (VALUE(REGEXEXTRACT($J$26:$J$31,""^[+-]?[0-9]*\.?[0-9]+""))=
 "&amp;"  VALUE(REGEXEXTRACT(K$26:K$31,""^[+-]?[0-9]*\.?[0-9]+"")))*1,0)))
&amp;""/""&amp;
SUM(ARRAYFORMULA(IFERROR(
  (VALUE(REGEXEXTRACT($J$26:$J$31,""^[+-]?[0-9]*\.?[0-9]+""))&lt;
   VALUE(REGEXEXTRACT(K$26:K$31,""^[+-]?[0-9]*\.?[0-9]+"")))*1,0)))"),"4/2/0")</f>
        <v>4/2/0</v>
      </c>
      <c r="L32" s="20" t="str">
        <f>IFERROR(__xludf.DUMMYFUNCTION("SUM(ARRAYFORMULA(IFERROR(
  (VALUE(REGEXEXTRACT($J$26:$J$31,""^[+-]?[0-9]*\.?[0-9]+""))&gt;
   VALUE(REGEXEXTRACT(L$26:L$31,""^[+-]?[0-9]*\.?[0-9]+"")))*1,0)))
&amp;""/""&amp;
SUM(ARRAYFORMULA(IFERROR(
  (VALUE(REGEXEXTRACT($J$26:$J$31,""^[+-]?[0-9]*\.?[0-9]+""))=
 "&amp;"  VALUE(REGEXEXTRACT(L$26:L$31,""^[+-]?[0-9]*\.?[0-9]+"")))*1,0)))
&amp;""/""&amp;
SUM(ARRAYFORMULA(IFERROR(
  (VALUE(REGEXEXTRACT($J$26:$J$31,""^[+-]?[0-9]*\.?[0-9]+""))&lt;
   VALUE(REGEXEXTRACT(L$26:L$31,""^[+-]?[0-9]*\.?[0-9]+"")))*1,0)))"),"2/0/4")</f>
        <v>2/0/4</v>
      </c>
      <c r="M32" s="20" t="str">
        <f>IFERROR(__xludf.DUMMYFUNCTION("SUM(ARRAYFORMULA(IFERROR(
  (VALUE(REGEXEXTRACT($J$26:$J$31,""^[+-]?[0-9]*\.?[0-9]+""))&gt;
   VALUE(REGEXEXTRACT(M$26:M$31,""^[+-]?[0-9]*\.?[0-9]+"")))*1,0)))
&amp;""/""&amp;
SUM(ARRAYFORMULA(IFERROR(
  (VALUE(REGEXEXTRACT($J$26:$J$31,""^[+-]?[0-9]*\.?[0-9]+""))=
 "&amp;"  VALUE(REGEXEXTRACT(M$26:M$31,""^[+-]?[0-9]*\.?[0-9]+"")))*1,0)))
&amp;""/""&amp;
SUM(ARRAYFORMULA(IFERROR(
  (VALUE(REGEXEXTRACT($J$26:$J$31,""^[+-]?[0-9]*\.?[0-9]+""))&lt;
   VALUE(REGEXEXTRACT(M$26:M$31,""^[+-]?[0-9]*\.?[0-9]+"")))*1,0)))"),"3/2/1")</f>
        <v>3/2/1</v>
      </c>
      <c r="N32" s="20" t="str">
        <f>IFERROR(__xludf.DUMMYFUNCTION("SUM(ARRAYFORMULA(IFERROR(
  (VALUE(REGEXEXTRACT($J$26:$J$31,""^[+-]?[0-9]*\.?[0-9]+""))&gt;
   VALUE(REGEXEXTRACT(N$26:N$31,""^[+-]?[0-9]*\.?[0-9]+"")))*1,0)))
&amp;""/""&amp;
SUM(ARRAYFORMULA(IFERROR(
  (VALUE(REGEXEXTRACT($J$26:$J$31,""^[+-]?[0-9]*\.?[0-9]+""))=
 "&amp;"  VALUE(REGEXEXTRACT(N$26:N$31,""^[+-]?[0-9]*\.?[0-9]+"")))*1,0)))
&amp;""/""&amp;
SUM(ARRAYFORMULA(IFERROR(
  (VALUE(REGEXEXTRACT($J$26:$J$31,""^[+-]?[0-9]*\.?[0-9]+""))&lt;
   VALUE(REGEXEXTRACT(N$26:N$31,""^[+-]?[0-9]*\.?[0-9]+"")))*1,0)))"),"3/2/1")</f>
        <v>3/2/1</v>
      </c>
      <c r="O32" s="20" t="str">
        <f>IFERROR(__xludf.DUMMYFUNCTION("SUM(ARRAYFORMULA(IFERROR(
  (VALUE(REGEXEXTRACT($J$26:$J$31,""^[+-]?[0-9]*\.?[0-9]+""))&gt;
   VALUE(REGEXEXTRACT(O$26:O$31,""^[+-]?[0-9]*\.?[0-9]+"")))*1,0)))
&amp;""/""&amp;
SUM(ARRAYFORMULA(IFERROR(
  (VALUE(REGEXEXTRACT($J$26:$J$31,""^[+-]?[0-9]*\.?[0-9]+""))=
 "&amp;"  VALUE(REGEXEXTRACT(O$26:O$31,""^[+-]?[0-9]*\.?[0-9]+"")))*1,0)))
&amp;""/""&amp;
SUM(ARRAYFORMULA(IFERROR(
  (VALUE(REGEXEXTRACT($J$26:$J$31,""^[+-]?[0-9]*\.?[0-9]+""))&lt;
   VALUE(REGEXEXTRACT(O$26:O$31,""^[+-]?[0-9]*\.?[0-9]+"")))*1,0)))"),"3/2/1")</f>
        <v>3/2/1</v>
      </c>
      <c r="P32" s="20" t="str">
        <f>IFERROR(__xludf.DUMMYFUNCTION("SUM(ARRAYFORMULA(IFERROR(
  (VALUE(REGEXEXTRACT($J$26:$J$31,""^[+-]?[0-9]*\.?[0-9]+""))&gt;
   VALUE(REGEXEXTRACT(P$26:P$31,""^[+-]?[0-9]*\.?[0-9]+"")))*1,0)))
&amp;""/""&amp;
SUM(ARRAYFORMULA(IFERROR(
  (VALUE(REGEXEXTRACT($J$26:$J$31,""^[+-]?[0-9]*\.?[0-9]+""))=
 "&amp;"  VALUE(REGEXEXTRACT(P$26:P$31,""^[+-]?[0-9]*\.?[0-9]+"")))*1,0)))
&amp;""/""&amp;
SUM(ARRAYFORMULA(IFERROR(
  (VALUE(REGEXEXTRACT($J$26:$J$31,""^[+-]?[0-9]*\.?[0-9]+""))&lt;
   VALUE(REGEXEXTRACT(P$26:P$31,""^[+-]?[0-9]*\.?[0-9]+"")))*1,0)))"),"4/2/0")</f>
        <v>4/2/0</v>
      </c>
    </row>
    <row r="33">
      <c r="A33" s="6" t="s">
        <v>489</v>
      </c>
      <c r="B33" s="14" t="s">
        <v>2848</v>
      </c>
      <c r="C33" s="14" t="s">
        <v>2849</v>
      </c>
      <c r="D33" s="14" t="s">
        <v>2850</v>
      </c>
      <c r="E33" s="14" t="s">
        <v>2852</v>
      </c>
      <c r="F33" s="14" t="s">
        <v>2853</v>
      </c>
      <c r="G33" s="14" t="s">
        <v>2854</v>
      </c>
      <c r="H33" s="14" t="s">
        <v>2855</v>
      </c>
      <c r="I33" s="20" t="str">
        <f t="shared" si="2"/>
        <v>Average (%)</v>
      </c>
      <c r="J33" s="9">
        <f>IFERROR(__xludf.DUMMYFUNCTION("ROUND(AVERAGE(ARRAYFORMULA(IFERROR(VALUE(REGEXEXTRACT(J$26:J$31,""^[+-]?[0-9]*\.?[0-9]+"")),""""))),2)"),50.11)</f>
        <v>50.11</v>
      </c>
      <c r="K33" s="9">
        <f>IFERROR(__xludf.DUMMYFUNCTION("ROUND(AVERAGE(ARRAYFORMULA(IFERROR(VALUE(REGEXEXTRACT(K$26:K$31,""^[+-]?[0-9]*\.?[0-9]+"")),""""))),2)"),40.85)</f>
        <v>40.85</v>
      </c>
      <c r="L33" s="9">
        <f>IFERROR(__xludf.DUMMYFUNCTION("ROUND(AVERAGE(ARRAYFORMULA(IFERROR(VALUE(REGEXEXTRACT(L$26:L$31,""^[+-]?[0-9]*\.?[0-9]+"")),""""))),2)"),54.17)</f>
        <v>54.17</v>
      </c>
      <c r="M33" s="9">
        <f>IFERROR(__xludf.DUMMYFUNCTION("ROUND(AVERAGE(ARRAYFORMULA(IFERROR(VALUE(REGEXEXTRACT(M$26:M$31,""^[+-]?[0-9]*\.?[0-9]+"")),""""))),2)"),49.07)</f>
        <v>49.07</v>
      </c>
      <c r="N33" s="9">
        <f>IFERROR(__xludf.DUMMYFUNCTION("ROUND(AVERAGE(ARRAYFORMULA(IFERROR(VALUE(REGEXEXTRACT(N$26:N$31,""^[+-]?[0-9]*\.?[0-9]+"")),""""))),2)"),48.44)</f>
        <v>48.44</v>
      </c>
      <c r="O33" s="9">
        <f>IFERROR(__xludf.DUMMYFUNCTION("ROUND(AVERAGE(ARRAYFORMULA(IFERROR(VALUE(REGEXEXTRACT(O$26:O$31,""^[+-]?[0-9]*\.?[0-9]+"")),""""))),2)"),48.65)</f>
        <v>48.65</v>
      </c>
      <c r="P33" s="9">
        <f>IFERROR(__xludf.DUMMYFUNCTION("ROUND(AVERAGE(ARRAYFORMULA(IFERROR(VALUE(REGEXEXTRACT(P$26:P$31,""^[+-]?[0-9]*\.?[0-9]+"")),""""))),2)"),46.25)</f>
        <v>46.25</v>
      </c>
    </row>
    <row r="34">
      <c r="A34" s="4" t="s">
        <v>659</v>
      </c>
      <c r="B34" s="2"/>
      <c r="C34" s="2"/>
      <c r="D34" s="2"/>
      <c r="E34" s="2"/>
      <c r="F34" s="2"/>
      <c r="G34" s="2"/>
      <c r="H34" s="2"/>
      <c r="I34" s="4" t="s">
        <v>659</v>
      </c>
    </row>
    <row r="35">
      <c r="A35" s="6" t="s">
        <v>660</v>
      </c>
      <c r="B35" s="16" t="s">
        <v>2862</v>
      </c>
      <c r="C35" s="16" t="s">
        <v>2863</v>
      </c>
      <c r="D35" s="16" t="s">
        <v>686</v>
      </c>
      <c r="E35" s="16" t="s">
        <v>2864</v>
      </c>
      <c r="F35" s="16" t="s">
        <v>2865</v>
      </c>
      <c r="G35" s="16" t="s">
        <v>2866</v>
      </c>
      <c r="H35" s="16" t="s">
        <v>2867</v>
      </c>
      <c r="I35" s="20" t="str">
        <f t="shared" ref="I35:I56" si="3">A35</f>
        <v>AR1→AR3</v>
      </c>
      <c r="J35" s="9" t="str">
        <f>IFERROR(__xludf.DUMMYFUNCTION("TEXT(VALUE(REGEXEXTRACT(B35,""^[+-]?[0-9]*\.?[0-9]+""))*100,""0.00"")&amp;"" +/- ""&amp;TEXT(VALUE(REGEXEXTRACT(B35,""[0-9]*\.?[0-9]+$""))*100,""0.00"")"),"9.40 +/- 0.32")</f>
        <v>9.40 +/- 0.32</v>
      </c>
      <c r="K35" s="10" t="str">
        <f>IFERROR(__xludf.DUMMYFUNCTION("TEXT(VALUE(REGEXEXTRACT(C35,""^[+-]?[0-9]*\.?[0-9]+""))*100,""0.00"")&amp;"" +/- ""&amp;TEXT(VALUE(REGEXEXTRACT(C35,""[0-9]*\.?[0-9]+$""))*100,""0.00"")"),"18.18 +/- 0.00")</f>
        <v>18.18 +/- 0.00</v>
      </c>
      <c r="L35" s="9" t="str">
        <f>IFERROR(__xludf.DUMMYFUNCTION("TEXT(VALUE(REGEXEXTRACT(D35,""^[+-]?[0-9]*\.?[0-9]+""))*100,""0.00"")&amp;"" +/- ""&amp;TEXT(VALUE(REGEXEXTRACT(D35,""[0-9]*\.?[0-9]+$""))*100,""0.00"")"),"0.00 +/- 0.00")</f>
        <v>0.00 +/- 0.00</v>
      </c>
      <c r="M35" s="9" t="str">
        <f>IFERROR(__xludf.DUMMYFUNCTION("TEXT(VALUE(REGEXEXTRACT(E35,""^[+-]?[0-9]*\.?[0-9]+""))*100,""0.00"")&amp;"" +/- ""&amp;TEXT(VALUE(REGEXEXTRACT(E35,""[0-9]*\.?[0-9]+$""))*100,""0.00"")"),"9.72 +/- 1.48")</f>
        <v>9.72 +/- 1.48</v>
      </c>
      <c r="N35" s="9" t="str">
        <f>IFERROR(__xludf.DUMMYFUNCTION("TEXT(VALUE(REGEXEXTRACT(F35,""^[+-]?[0-9]*\.?[0-9]+""))*100,""0.00"")&amp;"" +/- ""&amp;TEXT(VALUE(REGEXEXTRACT(F35,""[0-9]*\.?[0-9]+$""))*100,""0.00"")"),"9.38 +/- 0.27")</f>
        <v>9.38 +/- 0.27</v>
      </c>
      <c r="O35" s="9" t="str">
        <f>IFERROR(__xludf.DUMMYFUNCTION("TEXT(VALUE(REGEXEXTRACT(G35,""^[+-]?[0-9]*\.?[0-9]+""))*100,""0.00"")&amp;"" +/- ""&amp;TEXT(VALUE(REGEXEXTRACT(G35,""[0-9]*\.?[0-9]+$""))*100,""0.00"")"),"9.81 +/- 1.61")</f>
        <v>9.81 +/- 1.61</v>
      </c>
      <c r="P35" s="9" t="str">
        <f>IFERROR(__xludf.DUMMYFUNCTION("TEXT(VALUE(REGEXEXTRACT(H35,""^[+-]?[0-9]*\.?[0-9]+""))*100,""0.00"")&amp;"" +/- ""&amp;TEXT(VALUE(REGEXEXTRACT(H35,""[0-9]*\.?[0-9]+$""))*100,""0.00"")"),"13.21 +/- 4.25")</f>
        <v>13.21 +/- 4.25</v>
      </c>
    </row>
    <row r="36">
      <c r="A36" s="6" t="s">
        <v>676</v>
      </c>
      <c r="B36" s="16" t="s">
        <v>2874</v>
      </c>
      <c r="C36" s="16" t="s">
        <v>686</v>
      </c>
      <c r="D36" s="16" t="s">
        <v>2875</v>
      </c>
      <c r="E36" s="16" t="s">
        <v>2876</v>
      </c>
      <c r="F36" s="16" t="s">
        <v>2877</v>
      </c>
      <c r="G36" s="16" t="s">
        <v>2878</v>
      </c>
      <c r="H36" s="16" t="s">
        <v>2879</v>
      </c>
      <c r="I36" s="20" t="str">
        <f t="shared" si="3"/>
        <v>AR1→AR4</v>
      </c>
      <c r="J36" s="10" t="str">
        <f>IFERROR(__xludf.DUMMYFUNCTION("TEXT(VALUE(REGEXEXTRACT(B36,""^[+-]?[0-9]*\.?[0-9]+""))*100,""0.00"")&amp;"" +/- ""&amp;TEXT(VALUE(REGEXEXTRACT(B36,""[0-9]*\.?[0-9]+$""))*100,""0.00"")"),"41.17 +/- 2.97")</f>
        <v>41.17 +/- 2.97</v>
      </c>
      <c r="K36" s="9" t="str">
        <f>IFERROR(__xludf.DUMMYFUNCTION("TEXT(VALUE(REGEXEXTRACT(C36,""^[+-]?[0-9]*\.?[0-9]+""))*100,""0.00"")&amp;"" +/- ""&amp;TEXT(VALUE(REGEXEXTRACT(C36,""[0-9]*\.?[0-9]+$""))*100,""0.00"")"),"0.00 +/- 0.00")</f>
        <v>0.00 +/- 0.00</v>
      </c>
      <c r="L36" s="9" t="str">
        <f>IFERROR(__xludf.DUMMYFUNCTION("TEXT(VALUE(REGEXEXTRACT(D36,""^[+-]?[0-9]*\.?[0-9]+""))*100,""0.00"")&amp;"" +/- ""&amp;TEXT(VALUE(REGEXEXTRACT(D36,""[0-9]*\.?[0-9]+$""))*100,""0.00"")"),"29.63 +/- 0.00")</f>
        <v>29.63 +/- 0.00</v>
      </c>
      <c r="M36" s="9" t="str">
        <f>IFERROR(__xludf.DUMMYFUNCTION("TEXT(VALUE(REGEXEXTRACT(E36,""^[+-]?[0-9]*\.?[0-9]+""))*100,""0.00"")&amp;"" +/- ""&amp;TEXT(VALUE(REGEXEXTRACT(E36,""[0-9]*\.?[0-9]+$""))*100,""0.00"")"),"41.67 +/- 3.16")</f>
        <v>41.67 +/- 3.16</v>
      </c>
      <c r="N36" s="9" t="str">
        <f>IFERROR(__xludf.DUMMYFUNCTION("TEXT(VALUE(REGEXEXTRACT(F36,""^[+-]?[0-9]*\.?[0-9]+""))*100,""0.00"")&amp;"" +/- ""&amp;TEXT(VALUE(REGEXEXTRACT(F36,""[0-9]*\.?[0-9]+$""))*100,""0.00"")"),"41.41 +/- 2.13")</f>
        <v>41.41 +/- 2.13</v>
      </c>
      <c r="O36" s="9" t="str">
        <f>IFERROR(__xludf.DUMMYFUNCTION("TEXT(VALUE(REGEXEXTRACT(G36,""^[+-]?[0-9]*\.?[0-9]+""))*100,""0.00"")&amp;"" +/- ""&amp;TEXT(VALUE(REGEXEXTRACT(G36,""[0-9]*\.?[0-9]+$""))*100,""0.00"")"),"40.11 +/- 2.01")</f>
        <v>40.11 +/- 2.01</v>
      </c>
      <c r="P36" s="9" t="str">
        <f>IFERROR(__xludf.DUMMYFUNCTION("TEXT(VALUE(REGEXEXTRACT(H36,""^[+-]?[0-9]*\.?[0-9]+""))*100,""0.00"")&amp;"" +/- ""&amp;TEXT(VALUE(REGEXEXTRACT(H36,""[0-9]*\.?[0-9]+$""))*100,""0.00"")"),"35.79 +/- 1.56")</f>
        <v>35.79 +/- 1.56</v>
      </c>
    </row>
    <row r="37">
      <c r="A37" s="6" t="s">
        <v>684</v>
      </c>
      <c r="B37" s="16" t="s">
        <v>2886</v>
      </c>
      <c r="C37" s="16" t="s">
        <v>686</v>
      </c>
      <c r="D37" s="16" t="s">
        <v>686</v>
      </c>
      <c r="E37" s="16" t="s">
        <v>2887</v>
      </c>
      <c r="F37" s="16" t="s">
        <v>2888</v>
      </c>
      <c r="G37" s="16" t="s">
        <v>2890</v>
      </c>
      <c r="H37" s="16" t="s">
        <v>2891</v>
      </c>
      <c r="I37" s="20" t="str">
        <f t="shared" si="3"/>
        <v>AR1→AR5</v>
      </c>
      <c r="J37" s="9" t="str">
        <f>IFERROR(__xludf.DUMMYFUNCTION("TEXT(VALUE(REGEXEXTRACT(B37,""^[+-]?[0-9]*\.?[0-9]+""))*100,""0.00"")&amp;"" +/- ""&amp;TEXT(VALUE(REGEXEXTRACT(B37,""[0-9]*\.?[0-9]+$""))*100,""0.00"")"),"46.79 +/- 4.86")</f>
        <v>46.79 +/- 4.86</v>
      </c>
      <c r="K37" s="9" t="str">
        <f>IFERROR(__xludf.DUMMYFUNCTION("TEXT(VALUE(REGEXEXTRACT(C37,""^[+-]?[0-9]*\.?[0-9]+""))*100,""0.00"")&amp;"" +/- ""&amp;TEXT(VALUE(REGEXEXTRACT(C37,""[0-9]*\.?[0-9]+$""))*100,""0.00"")"),"0.00 +/- 0.00")</f>
        <v>0.00 +/- 0.00</v>
      </c>
      <c r="L37" s="9" t="str">
        <f>IFERROR(__xludf.DUMMYFUNCTION("TEXT(VALUE(REGEXEXTRACT(D37,""^[+-]?[0-9]*\.?[0-9]+""))*100,""0.00"")&amp;"" +/- ""&amp;TEXT(VALUE(REGEXEXTRACT(D37,""[0-9]*\.?[0-9]+$""))*100,""0.00"")"),"0.00 +/- 0.00")</f>
        <v>0.00 +/- 0.00</v>
      </c>
      <c r="M37" s="9" t="str">
        <f>IFERROR(__xludf.DUMMYFUNCTION("TEXT(VALUE(REGEXEXTRACT(E37,""^[+-]?[0-9]*\.?[0-9]+""))*100,""0.00"")&amp;"" +/- ""&amp;TEXT(VALUE(REGEXEXTRACT(E37,""[0-9]*\.?[0-9]+$""))*100,""0.00"")"),"47.19 +/- 4.37")</f>
        <v>47.19 +/- 4.37</v>
      </c>
      <c r="N37" s="9" t="str">
        <f>IFERROR(__xludf.DUMMYFUNCTION("TEXT(VALUE(REGEXEXTRACT(F37,""^[+-]?[0-9]*\.?[0-9]+""))*100,""0.00"")&amp;"" +/- ""&amp;TEXT(VALUE(REGEXEXTRACT(F37,""[0-9]*\.?[0-9]+$""))*100,""0.00"")"),"47.34 +/- 4.33")</f>
        <v>47.34 +/- 4.33</v>
      </c>
      <c r="O37" s="10" t="str">
        <f>IFERROR(__xludf.DUMMYFUNCTION("TEXT(VALUE(REGEXEXTRACT(G37,""^[+-]?[0-9]*\.?[0-9]+""))*100,""0.00"")&amp;"" +/- ""&amp;TEXT(VALUE(REGEXEXTRACT(G37,""[0-9]*\.?[0-9]+$""))*100,""0.00"")"),"49.47 +/- 1.94")</f>
        <v>49.47 +/- 1.94</v>
      </c>
      <c r="P37" s="9" t="str">
        <f>IFERROR(__xludf.DUMMYFUNCTION("TEXT(VALUE(REGEXEXTRACT(H37,""^[+-]?[0-9]*\.?[0-9]+""))*100,""0.00"")&amp;"" +/- ""&amp;TEXT(VALUE(REGEXEXTRACT(H37,""[0-9]*\.?[0-9]+$""))*100,""0.00"")"),"36.29 +/- 7.21")</f>
        <v>36.29 +/- 7.21</v>
      </c>
    </row>
    <row r="38">
      <c r="A38" s="6" t="s">
        <v>702</v>
      </c>
      <c r="B38" s="16" t="s">
        <v>2903</v>
      </c>
      <c r="C38" s="16" t="s">
        <v>2904</v>
      </c>
      <c r="D38" s="16" t="s">
        <v>2905</v>
      </c>
      <c r="E38" s="16" t="s">
        <v>2906</v>
      </c>
      <c r="F38" s="16" t="s">
        <v>2907</v>
      </c>
      <c r="G38" s="16" t="s">
        <v>2908</v>
      </c>
      <c r="H38" s="16" t="s">
        <v>2909</v>
      </c>
      <c r="I38" s="20" t="str">
        <f t="shared" si="3"/>
        <v>AR1→AR6</v>
      </c>
      <c r="J38" s="9" t="str">
        <f>IFERROR(__xludf.DUMMYFUNCTION("TEXT(VALUE(REGEXEXTRACT(B38,""^[+-]?[0-9]*\.?[0-9]+""))*100,""0.00"")&amp;"" +/- ""&amp;TEXT(VALUE(REGEXEXTRACT(B38,""[0-9]*\.?[0-9]+$""))*100,""0.00"")"),"24.26 +/- 2.53")</f>
        <v>24.26 +/- 2.53</v>
      </c>
      <c r="K38" s="9" t="str">
        <f>IFERROR(__xludf.DUMMYFUNCTION("TEXT(VALUE(REGEXEXTRACT(C38,""^[+-]?[0-9]*\.?[0-9]+""))*100,""0.00"")&amp;"" +/- ""&amp;TEXT(VALUE(REGEXEXTRACT(C38,""[0-9]*\.?[0-9]+$""))*100,""0.00"")"),"26.09 +/- 0.00")</f>
        <v>26.09 +/- 0.00</v>
      </c>
      <c r="L38" s="10" t="str">
        <f>IFERROR(__xludf.DUMMYFUNCTION("TEXT(VALUE(REGEXEXTRACT(D38,""^[+-]?[0-9]*\.?[0-9]+""))*100,""0.00"")&amp;"" +/- ""&amp;TEXT(VALUE(REGEXEXTRACT(D38,""[0-9]*\.?[0-9]+$""))*100,""0.00"")"),"29.79 +/- 0.00")</f>
        <v>29.79 +/- 0.00</v>
      </c>
      <c r="M38" s="9" t="str">
        <f>IFERROR(__xludf.DUMMYFUNCTION("TEXT(VALUE(REGEXEXTRACT(E38,""^[+-]?[0-9]*\.?[0-9]+""))*100,""0.00"")&amp;"" +/- ""&amp;TEXT(VALUE(REGEXEXTRACT(E38,""[0-9]*\.?[0-9]+$""))*100,""0.00"")"),"23.58 +/- 2.74")</f>
        <v>23.58 +/- 2.74</v>
      </c>
      <c r="N38" s="9" t="str">
        <f>IFERROR(__xludf.DUMMYFUNCTION("TEXT(VALUE(REGEXEXTRACT(F38,""^[+-]?[0-9]*\.?[0-9]+""))*100,""0.00"")&amp;"" +/- ""&amp;TEXT(VALUE(REGEXEXTRACT(F38,""[0-9]*\.?[0-9]+$""))*100,""0.00"")"),"24.40 +/- 3.31")</f>
        <v>24.40 +/- 3.31</v>
      </c>
      <c r="O38" s="9" t="str">
        <f>IFERROR(__xludf.DUMMYFUNCTION("TEXT(VALUE(REGEXEXTRACT(G38,""^[+-]?[0-9]*\.?[0-9]+""))*100,""0.00"")&amp;"" +/- ""&amp;TEXT(VALUE(REGEXEXTRACT(G38,""[0-9]*\.?[0-9]+$""))*100,""0.00"")"),"24.08 +/- 2.43")</f>
        <v>24.08 +/- 2.43</v>
      </c>
      <c r="P38" s="9" t="str">
        <f>IFERROR(__xludf.DUMMYFUNCTION("TEXT(VALUE(REGEXEXTRACT(H38,""^[+-]?[0-9]*\.?[0-9]+""))*100,""0.00"")&amp;"" +/- ""&amp;TEXT(VALUE(REGEXEXTRACT(H38,""[0-9]*\.?[0-9]+$""))*100,""0.00"")"),"29.49 +/- 1.46")</f>
        <v>29.49 +/- 1.46</v>
      </c>
    </row>
    <row r="39">
      <c r="A39" s="6" t="s">
        <v>738</v>
      </c>
      <c r="B39" s="16" t="s">
        <v>2917</v>
      </c>
      <c r="C39" s="16" t="s">
        <v>2532</v>
      </c>
      <c r="D39" s="16" t="s">
        <v>2634</v>
      </c>
      <c r="E39" s="16" t="s">
        <v>2918</v>
      </c>
      <c r="F39" s="16" t="s">
        <v>2919</v>
      </c>
      <c r="G39" s="16" t="s">
        <v>2920</v>
      </c>
      <c r="H39" s="16" t="s">
        <v>2921</v>
      </c>
      <c r="I39" s="20" t="str">
        <f t="shared" si="3"/>
        <v>AR3→AR1</v>
      </c>
      <c r="J39" s="9" t="str">
        <f>IFERROR(__xludf.DUMMYFUNCTION("TEXT(VALUE(REGEXEXTRACT(B39,""^[+-]?[0-9]*\.?[0-9]+""))*100,""0.00"")&amp;"" +/- ""&amp;TEXT(VALUE(REGEXEXTRACT(B39,""[0-9]*\.?[0-9]+$""))*100,""0.00"")"),"22.24 +/- 2.88")</f>
        <v>22.24 +/- 2.88</v>
      </c>
      <c r="K39" s="9" t="str">
        <f>IFERROR(__xludf.DUMMYFUNCTION("TEXT(VALUE(REGEXEXTRACT(C39,""^[+-]?[0-9]*\.?[0-9]+""))*100,""0.00"")&amp;"" +/- ""&amp;TEXT(VALUE(REGEXEXTRACT(C39,""[0-9]*\.?[0-9]+$""))*100,""0.00"")"),"13.79 +/- 0.00")</f>
        <v>13.79 +/- 0.00</v>
      </c>
      <c r="L39" s="9" t="str">
        <f>IFERROR(__xludf.DUMMYFUNCTION("TEXT(VALUE(REGEXEXTRACT(D39,""^[+-]?[0-9]*\.?[0-9]+""))*100,""0.00"")&amp;"" +/- ""&amp;TEXT(VALUE(REGEXEXTRACT(D39,""[0-9]*\.?[0-9]+$""))*100,""0.00"")"),"6.67 +/- 0.00")</f>
        <v>6.67 +/- 0.00</v>
      </c>
      <c r="M39" s="9" t="str">
        <f>IFERROR(__xludf.DUMMYFUNCTION("TEXT(VALUE(REGEXEXTRACT(E39,""^[+-]?[0-9]*\.?[0-9]+""))*100,""0.00"")&amp;"" +/- ""&amp;TEXT(VALUE(REGEXEXTRACT(E39,""[0-9]*\.?[0-9]+$""))*100,""0.00"")"),"21.96 +/- 2.77")</f>
        <v>21.96 +/- 2.77</v>
      </c>
      <c r="N39" s="9" t="str">
        <f>IFERROR(__xludf.DUMMYFUNCTION("TEXT(VALUE(REGEXEXTRACT(F39,""^[+-]?[0-9]*\.?[0-9]+""))*100,""0.00"")&amp;"" +/- ""&amp;TEXT(VALUE(REGEXEXTRACT(F39,""[0-9]*\.?[0-9]+$""))*100,""0.00"")"),"19.49 +/- 2.51")</f>
        <v>19.49 +/- 2.51</v>
      </c>
      <c r="O39" s="10" t="str">
        <f>IFERROR(__xludf.DUMMYFUNCTION("TEXT(VALUE(REGEXEXTRACT(G39,""^[+-]?[0-9]*\.?[0-9]+""))*100,""0.00"")&amp;"" +/- ""&amp;TEXT(VALUE(REGEXEXTRACT(G39,""[0-9]*\.?[0-9]+$""))*100,""0.00"")"),"22.29 +/- 2.85")</f>
        <v>22.29 +/- 2.85</v>
      </c>
      <c r="P39" s="9" t="str">
        <f>IFERROR(__xludf.DUMMYFUNCTION("TEXT(VALUE(REGEXEXTRACT(H39,""^[+-]?[0-9]*\.?[0-9]+""))*100,""0.00"")&amp;"" +/- ""&amp;TEXT(VALUE(REGEXEXTRACT(H39,""[0-9]*\.?[0-9]+$""))*100,""0.00"")"),"20.47 +/- 2.90")</f>
        <v>20.47 +/- 2.90</v>
      </c>
    </row>
    <row r="40">
      <c r="A40" s="6" t="s">
        <v>752</v>
      </c>
      <c r="B40" s="16" t="s">
        <v>2929</v>
      </c>
      <c r="C40" s="16" t="s">
        <v>2930</v>
      </c>
      <c r="D40" s="16" t="s">
        <v>2931</v>
      </c>
      <c r="E40" s="16" t="s">
        <v>2932</v>
      </c>
      <c r="F40" s="16" t="s">
        <v>2933</v>
      </c>
      <c r="G40" s="16" t="s">
        <v>2934</v>
      </c>
      <c r="H40" s="16" t="s">
        <v>2935</v>
      </c>
      <c r="I40" s="20" t="str">
        <f t="shared" si="3"/>
        <v>AR3→AR4</v>
      </c>
      <c r="J40" s="9" t="str">
        <f>IFERROR(__xludf.DUMMYFUNCTION("TEXT(VALUE(REGEXEXTRACT(B40,""^[+-]?[0-9]*\.?[0-9]+""))*100,""0.00"")&amp;"" +/- ""&amp;TEXT(VALUE(REGEXEXTRACT(B40,""[0-9]*\.?[0-9]+$""))*100,""0.00"")"),"44.27 +/- 1.60")</f>
        <v>44.27 +/- 1.60</v>
      </c>
      <c r="K40" s="10" t="str">
        <f>IFERROR(__xludf.DUMMYFUNCTION("TEXT(VALUE(REGEXEXTRACT(C40,""^[+-]?[0-9]*\.?[0-9]+""))*100,""0.00"")&amp;"" +/- ""&amp;TEXT(VALUE(REGEXEXTRACT(C40,""[0-9]*\.?[0-9]+$""))*100,""0.00"")"),"46.15 +/- 0.00")</f>
        <v>46.15 +/- 0.00</v>
      </c>
      <c r="L40" s="9" t="str">
        <f>IFERROR(__xludf.DUMMYFUNCTION("TEXT(VALUE(REGEXEXTRACT(D40,""^[+-]?[0-9]*\.?[0-9]+""))*100,""0.00"")&amp;"" +/- ""&amp;TEXT(VALUE(REGEXEXTRACT(D40,""[0-9]*\.?[0-9]+$""))*100,""0.00"")"),"20.51 +/- 0.00")</f>
        <v>20.51 +/- 0.00</v>
      </c>
      <c r="M40" s="9" t="str">
        <f>IFERROR(__xludf.DUMMYFUNCTION("TEXT(VALUE(REGEXEXTRACT(E40,""^[+-]?[0-9]*\.?[0-9]+""))*100,""0.00"")&amp;"" +/- ""&amp;TEXT(VALUE(REGEXEXTRACT(E40,""[0-9]*\.?[0-9]+$""))*100,""0.00"")"),"42.87 +/- 1.41")</f>
        <v>42.87 +/- 1.41</v>
      </c>
      <c r="N40" s="9" t="str">
        <f>IFERROR(__xludf.DUMMYFUNCTION("TEXT(VALUE(REGEXEXTRACT(F40,""^[+-]?[0-9]*\.?[0-9]+""))*100,""0.00"")&amp;"" +/- ""&amp;TEXT(VALUE(REGEXEXTRACT(F40,""[0-9]*\.?[0-9]+$""))*100,""0.00"")"),"44.31 +/- 1.40")</f>
        <v>44.31 +/- 1.40</v>
      </c>
      <c r="O40" s="9" t="str">
        <f>IFERROR(__xludf.DUMMYFUNCTION("TEXT(VALUE(REGEXEXTRACT(G40,""^[+-]?[0-9]*\.?[0-9]+""))*100,""0.00"")&amp;"" +/- ""&amp;TEXT(VALUE(REGEXEXTRACT(G40,""[0-9]*\.?[0-9]+$""))*100,""0.00"")"),"43.88 +/- 1.81")</f>
        <v>43.88 +/- 1.81</v>
      </c>
      <c r="P40" s="9" t="str">
        <f>IFERROR(__xludf.DUMMYFUNCTION("TEXT(VALUE(REGEXEXTRACT(H40,""^[+-]?[0-9]*\.?[0-9]+""))*100,""0.00"")&amp;"" +/- ""&amp;TEXT(VALUE(REGEXEXTRACT(H40,""[0-9]*\.?[0-9]+$""))*100,""0.00"")"),"36.30 +/- 4.66")</f>
        <v>36.30 +/- 4.66</v>
      </c>
    </row>
    <row r="41">
      <c r="A41" s="6" t="s">
        <v>771</v>
      </c>
      <c r="B41" s="16" t="s">
        <v>2949</v>
      </c>
      <c r="C41" s="16" t="s">
        <v>2950</v>
      </c>
      <c r="D41" s="16" t="s">
        <v>2951</v>
      </c>
      <c r="E41" s="16" t="s">
        <v>2952</v>
      </c>
      <c r="F41" s="16" t="s">
        <v>2953</v>
      </c>
      <c r="G41" s="16" t="s">
        <v>2953</v>
      </c>
      <c r="H41" s="16" t="s">
        <v>2954</v>
      </c>
      <c r="I41" s="20" t="str">
        <f t="shared" si="3"/>
        <v>AR3→AR5</v>
      </c>
      <c r="J41" s="9" t="str">
        <f>IFERROR(__xludf.DUMMYFUNCTION("TEXT(VALUE(REGEXEXTRACT(B41,""^[+-]?[0-9]*\.?[0-9]+""))*100,""0.00"")&amp;"" +/- ""&amp;TEXT(VALUE(REGEXEXTRACT(B41,""[0-9]*\.?[0-9]+$""))*100,""0.00"")"),"58.95 +/- 0.67")</f>
        <v>58.95 +/- 0.67</v>
      </c>
      <c r="K41" s="10" t="str">
        <f>IFERROR(__xludf.DUMMYFUNCTION("TEXT(VALUE(REGEXEXTRACT(C41,""^[+-]?[0-9]*\.?[0-9]+""))*100,""0.00"")&amp;"" +/- ""&amp;TEXT(VALUE(REGEXEXTRACT(C41,""[0-9]*\.?[0-9]+$""))*100,""0.00"")"),"62.50 +/- 0.00")</f>
        <v>62.50 +/- 0.00</v>
      </c>
      <c r="L41" s="9" t="str">
        <f>IFERROR(__xludf.DUMMYFUNCTION("TEXT(VALUE(REGEXEXTRACT(D41,""^[+-]?[0-9]*\.?[0-9]+""))*100,""0.00"")&amp;"" +/- ""&amp;TEXT(VALUE(REGEXEXTRACT(D41,""[0-9]*\.?[0-9]+$""))*100,""0.00"")"),"66.67 +/- 0.00")</f>
        <v>66.67 +/- 0.00</v>
      </c>
      <c r="M41" s="9" t="str">
        <f>IFERROR(__xludf.DUMMYFUNCTION("TEXT(VALUE(REGEXEXTRACT(E41,""^[+-]?[0-9]*\.?[0-9]+""))*100,""0.00"")&amp;"" +/- ""&amp;TEXT(VALUE(REGEXEXTRACT(E41,""[0-9]*\.?[0-9]+$""))*100,""0.00"")"),"59.99 +/- 2.75")</f>
        <v>59.99 +/- 2.75</v>
      </c>
      <c r="N41" s="9" t="str">
        <f>IFERROR(__xludf.DUMMYFUNCTION("TEXT(VALUE(REGEXEXTRACT(F41,""^[+-]?[0-9]*\.?[0-9]+""))*100,""0.00"")&amp;"" +/- ""&amp;TEXT(VALUE(REGEXEXTRACT(F41,""[0-9]*\.?[0-9]+$""))*100,""0.00"")"),"58.82 +/- 0.00")</f>
        <v>58.82 +/- 0.00</v>
      </c>
      <c r="O41" s="9" t="str">
        <f>IFERROR(__xludf.DUMMYFUNCTION("TEXT(VALUE(REGEXEXTRACT(G41,""^[+-]?[0-9]*\.?[0-9]+""))*100,""0.00"")&amp;"" +/- ""&amp;TEXT(VALUE(REGEXEXTRACT(G41,""[0-9]*\.?[0-9]+$""))*100,""0.00"")"),"58.82 +/- 0.00")</f>
        <v>58.82 +/- 0.00</v>
      </c>
      <c r="P41" s="9" t="str">
        <f>IFERROR(__xludf.DUMMYFUNCTION("TEXT(VALUE(REGEXEXTRACT(H41,""^[+-]?[0-9]*\.?[0-9]+""))*100,""0.00"")&amp;"" +/- ""&amp;TEXT(VALUE(REGEXEXTRACT(H41,""[0-9]*\.?[0-9]+$""))*100,""0.00"")"),"55.59 +/- 11.14")</f>
        <v>55.59 +/- 11.14</v>
      </c>
    </row>
    <row r="42">
      <c r="A42" s="6" t="s">
        <v>798</v>
      </c>
      <c r="B42" s="16" t="s">
        <v>2962</v>
      </c>
      <c r="C42" s="16" t="s">
        <v>2963</v>
      </c>
      <c r="D42" s="16" t="s">
        <v>2964</v>
      </c>
      <c r="E42" s="16" t="s">
        <v>2965</v>
      </c>
      <c r="F42" s="16" t="s">
        <v>2966</v>
      </c>
      <c r="G42" s="16" t="s">
        <v>2967</v>
      </c>
      <c r="H42" s="16" t="s">
        <v>2968</v>
      </c>
      <c r="I42" s="20" t="str">
        <f t="shared" si="3"/>
        <v>AR3→AR6</v>
      </c>
      <c r="J42" s="10" t="str">
        <f>IFERROR(__xludf.DUMMYFUNCTION("TEXT(VALUE(REGEXEXTRACT(B42,""^[+-]?[0-9]*\.?[0-9]+""))*100,""0.00"")&amp;"" +/- ""&amp;TEXT(VALUE(REGEXEXTRACT(B42,""[0-9]*\.?[0-9]+$""))*100,""0.00"")"),"39.71 +/- 2.05")</f>
        <v>39.71 +/- 2.05</v>
      </c>
      <c r="K42" s="9" t="str">
        <f>IFERROR(__xludf.DUMMYFUNCTION("TEXT(VALUE(REGEXEXTRACT(C42,""^[+-]?[0-9]*\.?[0-9]+""))*100,""0.00"")&amp;"" +/- ""&amp;TEXT(VALUE(REGEXEXTRACT(C42,""[0-9]*\.?[0-9]+$""))*100,""0.00"")"),"38.46 +/- 0.00")</f>
        <v>38.46 +/- 0.00</v>
      </c>
      <c r="L42" s="9" t="str">
        <f>IFERROR(__xludf.DUMMYFUNCTION("TEXT(VALUE(REGEXEXTRACT(D42,""^[+-]?[0-9]*\.?[0-9]+""))*100,""0.00"")&amp;"" +/- ""&amp;TEXT(VALUE(REGEXEXTRACT(D42,""[0-9]*\.?[0-9]+$""))*100,""0.00"")"),"19.23 +/- 0.00")</f>
        <v>19.23 +/- 0.00</v>
      </c>
      <c r="M42" s="9" t="str">
        <f>IFERROR(__xludf.DUMMYFUNCTION("TEXT(VALUE(REGEXEXTRACT(E42,""^[+-]?[0-9]*\.?[0-9]+""))*100,""0.00"")&amp;"" +/- ""&amp;TEXT(VALUE(REGEXEXTRACT(E42,""[0-9]*\.?[0-9]+$""))*100,""0.00"")"),"37.12 +/- 1.31")</f>
        <v>37.12 +/- 1.31</v>
      </c>
      <c r="N42" s="9" t="str">
        <f>IFERROR(__xludf.DUMMYFUNCTION("TEXT(VALUE(REGEXEXTRACT(F42,""^[+-]?[0-9]*\.?[0-9]+""))*100,""0.00"")&amp;"" +/- ""&amp;TEXT(VALUE(REGEXEXTRACT(F42,""[0-9]*\.?[0-9]+$""))*100,""0.00"")"),"39.49 +/- 1.28")</f>
        <v>39.49 +/- 1.28</v>
      </c>
      <c r="O42" s="9" t="str">
        <f>IFERROR(__xludf.DUMMYFUNCTION("TEXT(VALUE(REGEXEXTRACT(G42,""^[+-]?[0-9]*\.?[0-9]+""))*100,""0.00"")&amp;"" +/- ""&amp;TEXT(VALUE(REGEXEXTRACT(G42,""[0-9]*\.?[0-9]+$""))*100,""0.00"")"),"39.52 +/- 1.90")</f>
        <v>39.52 +/- 1.90</v>
      </c>
      <c r="P42" s="9" t="str">
        <f>IFERROR(__xludf.DUMMYFUNCTION("TEXT(VALUE(REGEXEXTRACT(H42,""^[+-]?[0-9]*\.?[0-9]+""))*100,""0.00"")&amp;"" +/- ""&amp;TEXT(VALUE(REGEXEXTRACT(H42,""[0-9]*\.?[0-9]+$""))*100,""0.00"")"),"29.36 +/- 4.31")</f>
        <v>29.36 +/- 4.31</v>
      </c>
    </row>
    <row r="43">
      <c r="A43" s="6" t="s">
        <v>806</v>
      </c>
      <c r="B43" s="16" t="s">
        <v>2976</v>
      </c>
      <c r="C43" s="16" t="s">
        <v>2977</v>
      </c>
      <c r="D43" s="16" t="s">
        <v>2978</v>
      </c>
      <c r="E43" s="16" t="s">
        <v>2979</v>
      </c>
      <c r="F43" s="16" t="s">
        <v>2981</v>
      </c>
      <c r="G43" s="16" t="s">
        <v>2984</v>
      </c>
      <c r="H43" s="16" t="s">
        <v>2986</v>
      </c>
      <c r="I43" s="20" t="str">
        <f t="shared" si="3"/>
        <v>AR4→AR1</v>
      </c>
      <c r="J43" s="9" t="str">
        <f>IFERROR(__xludf.DUMMYFUNCTION("TEXT(VALUE(REGEXEXTRACT(B43,""^[+-]?[0-9]*\.?[0-9]+""))*100,""0.00"")&amp;"" +/- ""&amp;TEXT(VALUE(REGEXEXTRACT(B43,""[0-9]*\.?[0-9]+$""))*100,""0.00"")"),"24.96 +/- 0.46")</f>
        <v>24.96 +/- 0.46</v>
      </c>
      <c r="K43" s="10" t="str">
        <f>IFERROR(__xludf.DUMMYFUNCTION("TEXT(VALUE(REGEXEXTRACT(C43,""^[+-]?[0-9]*\.?[0-9]+""))*100,""0.00"")&amp;"" +/- ""&amp;TEXT(VALUE(REGEXEXTRACT(C43,""[0-9]*\.?[0-9]+$""))*100,""0.00"")"),"37.50 +/- 0.00")</f>
        <v>37.50 +/- 0.00</v>
      </c>
      <c r="L43" s="9" t="str">
        <f>IFERROR(__xludf.DUMMYFUNCTION("TEXT(VALUE(REGEXEXTRACT(D43,""^[+-]?[0-9]*\.?[0-9]+""))*100,""0.00"")&amp;"" +/- ""&amp;TEXT(VALUE(REGEXEXTRACT(D43,""[0-9]*\.?[0-9]+$""))*100,""0.00"")"),"8.89 +/- 0.00")</f>
        <v>8.89 +/- 0.00</v>
      </c>
      <c r="M43" s="9" t="str">
        <f>IFERROR(__xludf.DUMMYFUNCTION("TEXT(VALUE(REGEXEXTRACT(E43,""^[+-]?[0-9]*\.?[0-9]+""))*100,""0.00"")&amp;"" +/- ""&amp;TEXT(VALUE(REGEXEXTRACT(E43,""[0-9]*\.?[0-9]+$""))*100,""0.00"")"),"26.97 +/- 1.74")</f>
        <v>26.97 +/- 1.74</v>
      </c>
      <c r="N43" s="9" t="str">
        <f>IFERROR(__xludf.DUMMYFUNCTION("TEXT(VALUE(REGEXEXTRACT(F43,""^[+-]?[0-9]*\.?[0-9]+""))*100,""0.00"")&amp;"" +/- ""&amp;TEXT(VALUE(REGEXEXTRACT(F43,""[0-9]*\.?[0-9]+$""))*100,""0.00"")"),"27.33 +/- 1.10")</f>
        <v>27.33 +/- 1.10</v>
      </c>
      <c r="O43" s="9" t="str">
        <f>IFERROR(__xludf.DUMMYFUNCTION("TEXT(VALUE(REGEXEXTRACT(G43,""^[+-]?[0-9]*\.?[0-9]+""))*100,""0.00"")&amp;"" +/- ""&amp;TEXT(VALUE(REGEXEXTRACT(G43,""[0-9]*\.?[0-9]+$""))*100,""0.00"")"),"27.60 +/- 1.46")</f>
        <v>27.60 +/- 1.46</v>
      </c>
      <c r="P43" s="9" t="str">
        <f>IFERROR(__xludf.DUMMYFUNCTION("TEXT(VALUE(REGEXEXTRACT(H43,""^[+-]?[0-9]*\.?[0-9]+""))*100,""0.00"")&amp;"" +/- ""&amp;TEXT(VALUE(REGEXEXTRACT(H43,""[0-9]*\.?[0-9]+$""))*100,""0.00"")"),"26.89 +/- 2.24")</f>
        <v>26.89 +/- 2.24</v>
      </c>
    </row>
    <row r="44">
      <c r="A44" s="6" t="s">
        <v>819</v>
      </c>
      <c r="B44" s="16" t="s">
        <v>2996</v>
      </c>
      <c r="C44" s="16" t="s">
        <v>2539</v>
      </c>
      <c r="D44" s="16" t="s">
        <v>2998</v>
      </c>
      <c r="E44" s="16" t="s">
        <v>2999</v>
      </c>
      <c r="F44" s="16" t="s">
        <v>3000</v>
      </c>
      <c r="G44" s="16" t="s">
        <v>3001</v>
      </c>
      <c r="H44" s="16" t="s">
        <v>3002</v>
      </c>
      <c r="I44" s="20" t="str">
        <f t="shared" si="3"/>
        <v>AR4→AR3</v>
      </c>
      <c r="J44" s="10" t="str">
        <f>IFERROR(__xludf.DUMMYFUNCTION("TEXT(VALUE(REGEXEXTRACT(B44,""^[+-]?[0-9]*\.?[0-9]+""))*100,""0.00"")&amp;"" +/- ""&amp;TEXT(VALUE(REGEXEXTRACT(B44,""[0-9]*\.?[0-9]+$""))*100,""0.00"")"),"46.82 +/- 3.64")</f>
        <v>46.82 +/- 3.64</v>
      </c>
      <c r="K44" s="9" t="str">
        <f>IFERROR(__xludf.DUMMYFUNCTION("TEXT(VALUE(REGEXEXTRACT(C44,""^[+-]?[0-9]*\.?[0-9]+""))*100,""0.00"")&amp;"" +/- ""&amp;TEXT(VALUE(REGEXEXTRACT(C44,""[0-9]*\.?[0-9]+$""))*100,""0.00"")"),"35.29 +/- 0.00")</f>
        <v>35.29 +/- 0.00</v>
      </c>
      <c r="L44" s="9" t="str">
        <f>IFERROR(__xludf.DUMMYFUNCTION("TEXT(VALUE(REGEXEXTRACT(D44,""^[+-]?[0-9]*\.?[0-9]+""))*100,""0.00"")&amp;"" +/- ""&amp;TEXT(VALUE(REGEXEXTRACT(D44,""[0-9]*\.?[0-9]+$""))*100,""0.00"")"),"40.00 +/- 0.00")</f>
        <v>40.00 +/- 0.00</v>
      </c>
      <c r="M44" s="9" t="str">
        <f>IFERROR(__xludf.DUMMYFUNCTION("TEXT(VALUE(REGEXEXTRACT(E44,""^[+-]?[0-9]*\.?[0-9]+""))*100,""0.00"")&amp;"" +/- ""&amp;TEXT(VALUE(REGEXEXTRACT(E44,""[0-9]*\.?[0-9]+$""))*100,""0.00"")"),"35.56 +/- 2.93")</f>
        <v>35.56 +/- 2.93</v>
      </c>
      <c r="N44" s="9" t="str">
        <f>IFERROR(__xludf.DUMMYFUNCTION("TEXT(VALUE(REGEXEXTRACT(F44,""^[+-]?[0-9]*\.?[0-9]+""))*100,""0.00"")&amp;"" +/- ""&amp;TEXT(VALUE(REGEXEXTRACT(F44,""[0-9]*\.?[0-9]+$""))*100,""0.00"")"),"24.02 +/- 1.87")</f>
        <v>24.02 +/- 1.87</v>
      </c>
      <c r="O44" s="9" t="str">
        <f>IFERROR(__xludf.DUMMYFUNCTION("TEXT(VALUE(REGEXEXTRACT(G44,""^[+-]?[0-9]*\.?[0-9]+""))*100,""0.00"")&amp;"" +/- ""&amp;TEXT(VALUE(REGEXEXTRACT(G44,""[0-9]*\.?[0-9]+$""))*100,""0.00"")"),"33.91 +/- 3.40")</f>
        <v>33.91 +/- 3.40</v>
      </c>
      <c r="P44" s="9" t="str">
        <f>IFERROR(__xludf.DUMMYFUNCTION("TEXT(VALUE(REGEXEXTRACT(H44,""^[+-]?[0-9]*\.?[0-9]+""))*100,""0.00"")&amp;"" +/- ""&amp;TEXT(VALUE(REGEXEXTRACT(H44,""[0-9]*\.?[0-9]+$""))*100,""0.00"")"),"18.96 +/- 0.80")</f>
        <v>18.96 +/- 0.80</v>
      </c>
    </row>
    <row r="45">
      <c r="A45" s="6" t="s">
        <v>833</v>
      </c>
      <c r="B45" s="16" t="s">
        <v>3009</v>
      </c>
      <c r="C45" s="16" t="s">
        <v>3010</v>
      </c>
      <c r="D45" s="16" t="s">
        <v>3012</v>
      </c>
      <c r="E45" s="16" t="s">
        <v>3013</v>
      </c>
      <c r="F45" s="16" t="s">
        <v>3014</v>
      </c>
      <c r="G45" s="16" t="s">
        <v>3015</v>
      </c>
      <c r="H45" s="16" t="s">
        <v>3016</v>
      </c>
      <c r="I45" s="20" t="str">
        <f t="shared" si="3"/>
        <v>AR4→AR5</v>
      </c>
      <c r="J45" s="9" t="str">
        <f>IFERROR(__xludf.DUMMYFUNCTION("TEXT(VALUE(REGEXEXTRACT(B45,""^[+-]?[0-9]*\.?[0-9]+""))*100,""0.00"")&amp;"" +/- ""&amp;TEXT(VALUE(REGEXEXTRACT(B45,""[0-9]*\.?[0-9]+$""))*100,""0.00"")"),"66.14 +/- 3.05")</f>
        <v>66.14 +/- 3.05</v>
      </c>
      <c r="K45" s="9" t="str">
        <f>IFERROR(__xludf.DUMMYFUNCTION("TEXT(VALUE(REGEXEXTRACT(C45,""^[+-]?[0-9]*\.?[0-9]+""))*100,""0.00"")&amp;"" +/- ""&amp;TEXT(VALUE(REGEXEXTRACT(C45,""[0-9]*\.?[0-9]+$""))*100,""0.00"")"),"57.14 +/- 0.00")</f>
        <v>57.14 +/- 0.00</v>
      </c>
      <c r="L45" s="10" t="str">
        <f>IFERROR(__xludf.DUMMYFUNCTION("TEXT(VALUE(REGEXEXTRACT(D45,""^[+-]?[0-9]*\.?[0-9]+""))*100,""0.00"")&amp;"" +/- ""&amp;TEXT(VALUE(REGEXEXTRACT(D45,""[0-9]*\.?[0-9]+$""))*100,""0.00"")"),"75.00 +/- 0.00")</f>
        <v>75.00 +/- 0.00</v>
      </c>
      <c r="M45" s="9" t="str">
        <f>IFERROR(__xludf.DUMMYFUNCTION("TEXT(VALUE(REGEXEXTRACT(E45,""^[+-]?[0-9]*\.?[0-9]+""))*100,""0.00"")&amp;"" +/- ""&amp;TEXT(VALUE(REGEXEXTRACT(E45,""[0-9]*\.?[0-9]+$""))*100,""0.00"")"),"63.17 +/- 4.69")</f>
        <v>63.17 +/- 4.69</v>
      </c>
      <c r="N45" s="9" t="str">
        <f>IFERROR(__xludf.DUMMYFUNCTION("TEXT(VALUE(REGEXEXTRACT(F45,""^[+-]?[0-9]*\.?[0-9]+""))*100,""0.00"")&amp;"" +/- ""&amp;TEXT(VALUE(REGEXEXTRACT(F45,""[0-9]*\.?[0-9]+$""))*100,""0.00"")"),"53.91 +/- 4.57")</f>
        <v>53.91 +/- 4.57</v>
      </c>
      <c r="O45" s="9" t="str">
        <f>IFERROR(__xludf.DUMMYFUNCTION("TEXT(VALUE(REGEXEXTRACT(G45,""^[+-]?[0-9]*\.?[0-9]+""))*100,""0.00"")&amp;"" +/- ""&amp;TEXT(VALUE(REGEXEXTRACT(G45,""[0-9]*\.?[0-9]+$""))*100,""0.00"")"),"60.88 +/- 4.67")</f>
        <v>60.88 +/- 4.67</v>
      </c>
      <c r="P45" s="9" t="str">
        <f>IFERROR(__xludf.DUMMYFUNCTION("TEXT(VALUE(REGEXEXTRACT(H45,""^[+-]?[0-9]*\.?[0-9]+""))*100,""0.00"")&amp;"" +/- ""&amp;TEXT(VALUE(REGEXEXTRACT(H45,""[0-9]*\.?[0-9]+$""))*100,""0.00"")"),"56.66 +/- 2.81")</f>
        <v>56.66 +/- 2.81</v>
      </c>
    </row>
    <row r="46">
      <c r="A46" s="6" t="s">
        <v>849</v>
      </c>
      <c r="B46" s="16" t="s">
        <v>3024</v>
      </c>
      <c r="C46" s="16" t="s">
        <v>3025</v>
      </c>
      <c r="D46" s="16" t="s">
        <v>3026</v>
      </c>
      <c r="E46" s="16" t="s">
        <v>3027</v>
      </c>
      <c r="F46" s="16" t="s">
        <v>3028</v>
      </c>
      <c r="G46" s="16" t="s">
        <v>3029</v>
      </c>
      <c r="H46" s="16" t="s">
        <v>3030</v>
      </c>
      <c r="I46" s="20" t="str">
        <f t="shared" si="3"/>
        <v>AR4→AR6</v>
      </c>
      <c r="J46" s="10" t="str">
        <f>IFERROR(__xludf.DUMMYFUNCTION("TEXT(VALUE(REGEXEXTRACT(B46,""^[+-]?[0-9]*\.?[0-9]+""))*100,""0.00"")&amp;"" +/- ""&amp;TEXT(VALUE(REGEXEXTRACT(B46,""[0-9]*\.?[0-9]+$""))*100,""0.00"")"),"22.38 +/- 1.86")</f>
        <v>22.38 +/- 1.86</v>
      </c>
      <c r="K46" s="9" t="str">
        <f>IFERROR(__xludf.DUMMYFUNCTION("TEXT(VALUE(REGEXEXTRACT(C46,""^[+-]?[0-9]*\.?[0-9]+""))*100,""0.00"")&amp;"" +/- ""&amp;TEXT(VALUE(REGEXEXTRACT(C46,""[0-9]*\.?[0-9]+$""))*100,""0.00"")"),"18.75 +/- 0.00")</f>
        <v>18.75 +/- 0.00</v>
      </c>
      <c r="L46" s="9" t="str">
        <f>IFERROR(__xludf.DUMMYFUNCTION("TEXT(VALUE(REGEXEXTRACT(D46,""^[+-]?[0-9]*\.?[0-9]+""))*100,""0.00"")&amp;"" +/- ""&amp;TEXT(VALUE(REGEXEXTRACT(D46,""[0-9]*\.?[0-9]+$""))*100,""0.00"")"),"14.71 +/- 0.00")</f>
        <v>14.71 +/- 0.00</v>
      </c>
      <c r="M46" s="9" t="str">
        <f>IFERROR(__xludf.DUMMYFUNCTION("TEXT(VALUE(REGEXEXTRACT(E46,""^[+-]?[0-9]*\.?[0-9]+""))*100,""0.00"")&amp;"" +/- ""&amp;TEXT(VALUE(REGEXEXTRACT(E46,""[0-9]*\.?[0-9]+$""))*100,""0.00"")"),"21.04 +/- 2.00")</f>
        <v>21.04 +/- 2.00</v>
      </c>
      <c r="N46" s="9" t="str">
        <f>IFERROR(__xludf.DUMMYFUNCTION("TEXT(VALUE(REGEXEXTRACT(F46,""^[+-]?[0-9]*\.?[0-9]+""))*100,""0.00"")&amp;"" +/- ""&amp;TEXT(VALUE(REGEXEXTRACT(F46,""[0-9]*\.?[0-9]+$""))*100,""0.00"")"),"21.39 +/- 1.68")</f>
        <v>21.39 +/- 1.68</v>
      </c>
      <c r="O46" s="9" t="str">
        <f>IFERROR(__xludf.DUMMYFUNCTION("TEXT(VALUE(REGEXEXTRACT(G46,""^[+-]?[0-9]*\.?[0-9]+""))*100,""0.00"")&amp;"" +/- ""&amp;TEXT(VALUE(REGEXEXTRACT(G46,""[0-9]*\.?[0-9]+$""))*100,""0.00"")"),"20.78 +/- 2.00")</f>
        <v>20.78 +/- 2.00</v>
      </c>
      <c r="P46" s="9" t="str">
        <f>IFERROR(__xludf.DUMMYFUNCTION("TEXT(VALUE(REGEXEXTRACT(H46,""^[+-]?[0-9]*\.?[0-9]+""))*100,""0.00"")&amp;"" +/- ""&amp;TEXT(VALUE(REGEXEXTRACT(H46,""[0-9]*\.?[0-9]+$""))*100,""0.00"")"),"20.40 +/- 2.30")</f>
        <v>20.40 +/- 2.30</v>
      </c>
    </row>
    <row r="47">
      <c r="A47" s="6" t="s">
        <v>864</v>
      </c>
      <c r="B47" s="16" t="s">
        <v>3038</v>
      </c>
      <c r="C47" s="16" t="s">
        <v>3039</v>
      </c>
      <c r="D47" s="16" t="s">
        <v>3040</v>
      </c>
      <c r="E47" s="16" t="s">
        <v>3041</v>
      </c>
      <c r="F47" s="16" t="s">
        <v>3042</v>
      </c>
      <c r="G47" s="16" t="s">
        <v>3043</v>
      </c>
      <c r="H47" s="46" t="s">
        <v>3044</v>
      </c>
      <c r="I47" s="20" t="str">
        <f t="shared" si="3"/>
        <v>AR5→AR1</v>
      </c>
      <c r="J47" s="9" t="str">
        <f>IFERROR(__xludf.DUMMYFUNCTION("TEXT(VALUE(REGEXEXTRACT(B47,""^[+-]?[0-9]*\.?[0-9]+""))*100,""0.00"")&amp;"" +/- ""&amp;TEXT(VALUE(REGEXEXTRACT(B47,""[0-9]*\.?[0-9]+$""))*100,""0.00"")"),"21.64 +/- 0.94")</f>
        <v>21.64 +/- 0.94</v>
      </c>
      <c r="K47" s="9" t="str">
        <f>IFERROR(__xludf.DUMMYFUNCTION("TEXT(VALUE(REGEXEXTRACT(C47,""^[+-]?[0-9]*\.?[0-9]+""))*100,""0.00"")&amp;"" +/- ""&amp;TEXT(VALUE(REGEXEXTRACT(C47,""[0-9]*\.?[0-9]+$""))*100,""0.00"")"),"22.73 +/- 0.00")</f>
        <v>22.73 +/- 0.00</v>
      </c>
      <c r="L47" s="10" t="str">
        <f>IFERROR(__xludf.DUMMYFUNCTION("TEXT(VALUE(REGEXEXTRACT(D47,""^[+-]?[0-9]*\.?[0-9]+""))*100,""0.00"")&amp;"" +/- ""&amp;TEXT(VALUE(REGEXEXTRACT(D47,""[0-9]*\.?[0-9]+$""))*100,""0.00"")"),"25.81 +/- 0.00")</f>
        <v>25.81 +/- 0.00</v>
      </c>
      <c r="M47" s="9" t="str">
        <f>IFERROR(__xludf.DUMMYFUNCTION("TEXT(VALUE(REGEXEXTRACT(E47,""^[+-]?[0-9]*\.?[0-9]+""))*100,""0.00"")&amp;"" +/- ""&amp;TEXT(VALUE(REGEXEXTRACT(E47,""[0-9]*\.?[0-9]+$""))*100,""0.00"")"),"23.80 +/- 1.81")</f>
        <v>23.80 +/- 1.81</v>
      </c>
      <c r="N47" s="9" t="str">
        <f>IFERROR(__xludf.DUMMYFUNCTION("TEXT(VALUE(REGEXEXTRACT(F47,""^[+-]?[0-9]*\.?[0-9]+""))*100,""0.00"")&amp;"" +/- ""&amp;TEXT(VALUE(REGEXEXTRACT(F47,""[0-9]*\.?[0-9]+$""))*100,""0.00"")"),"23.17 +/- 1.97")</f>
        <v>23.17 +/- 1.97</v>
      </c>
      <c r="O47" s="9" t="str">
        <f>IFERROR(__xludf.DUMMYFUNCTION("TEXT(VALUE(REGEXEXTRACT(G47,""^[+-]?[0-9]*\.?[0-9]+""))*100,""0.00"")&amp;"" +/- ""&amp;TEXT(VALUE(REGEXEXTRACT(G47,""[0-9]*\.?[0-9]+$""))*100,""0.00"")"),"22.32 +/- 1.44")</f>
        <v>22.32 +/- 1.44</v>
      </c>
      <c r="P47" s="9" t="str">
        <f>IFERROR(__xludf.DUMMYFUNCTION("TEXT(VALUE(REGEXEXTRACT(H47,""^[+-]?[0-9]*\.?[0-9]+""))*100,""0.00"")&amp;"" +/- ""&amp;TEXT(VALUE(REGEXEXTRACT(H47,""[0-9]*\.?[0-9]+$""))*100,""0.00"")"),"19.95 +/- 1.99")</f>
        <v>19.95 +/- 1.99</v>
      </c>
    </row>
    <row r="48">
      <c r="A48" s="6" t="s">
        <v>878</v>
      </c>
      <c r="B48" s="16" t="s">
        <v>3052</v>
      </c>
      <c r="C48" s="16" t="s">
        <v>3053</v>
      </c>
      <c r="D48" s="16" t="s">
        <v>3054</v>
      </c>
      <c r="E48" s="16" t="s">
        <v>3055</v>
      </c>
      <c r="F48" s="16" t="s">
        <v>3056</v>
      </c>
      <c r="G48" s="16" t="s">
        <v>3057</v>
      </c>
      <c r="H48" s="16" t="s">
        <v>3058</v>
      </c>
      <c r="I48" s="20" t="str">
        <f t="shared" si="3"/>
        <v>AR5→AR3</v>
      </c>
      <c r="J48" s="9" t="str">
        <f>IFERROR(__xludf.DUMMYFUNCTION("TEXT(VALUE(REGEXEXTRACT(B48,""^[+-]?[0-9]*\.?[0-9]+""))*100,""0.00"")&amp;"" +/- ""&amp;TEXT(VALUE(REGEXEXTRACT(B48,""[0-9]*\.?[0-9]+$""))*100,""0.00"")"),"46.77 +/- 1.99")</f>
        <v>46.77 +/- 1.99</v>
      </c>
      <c r="K48" s="9" t="str">
        <f>IFERROR(__xludf.DUMMYFUNCTION("TEXT(VALUE(REGEXEXTRACT(C48,""^[+-]?[0-9]*\.?[0-9]+""))*100,""0.00"")&amp;"" +/- ""&amp;TEXT(VALUE(REGEXEXTRACT(C48,""[0-9]*\.?[0-9]+$""))*100,""0.00"")"),"52.17 +/- 0.00")</f>
        <v>52.17 +/- 0.00</v>
      </c>
      <c r="L48" s="9" t="str">
        <f>IFERROR(__xludf.DUMMYFUNCTION("TEXT(VALUE(REGEXEXTRACT(D48,""^[+-]?[0-9]*\.?[0-9]+""))*100,""0.00"")&amp;"" +/- ""&amp;TEXT(VALUE(REGEXEXTRACT(D48,""[0-9]*\.?[0-9]+$""))*100,""0.00"")"),"31.58 +/- 0.00")</f>
        <v>31.58 +/- 0.00</v>
      </c>
      <c r="M48" s="9" t="str">
        <f>IFERROR(__xludf.DUMMYFUNCTION("TEXT(VALUE(REGEXEXTRACT(E48,""^[+-]?[0-9]*\.?[0-9]+""))*100,""0.00"")&amp;"" +/- ""&amp;TEXT(VALUE(REGEXEXTRACT(E48,""[0-9]*\.?[0-9]+$""))*100,""0.00"")"),"45.48 +/- 1.08")</f>
        <v>45.48 +/- 1.08</v>
      </c>
      <c r="N48" s="10" t="str">
        <f>IFERROR(__xludf.DUMMYFUNCTION("TEXT(VALUE(REGEXEXTRACT(F48,""^[+-]?[0-9]*\.?[0-9]+""))*100,""0.00"")&amp;"" +/- ""&amp;TEXT(VALUE(REGEXEXTRACT(F48,""[0-9]*\.?[0-9]+$""))*100,""0.00"")"),"46.86 +/- 1.57")</f>
        <v>46.86 +/- 1.57</v>
      </c>
      <c r="O48" s="9" t="str">
        <f>IFERROR(__xludf.DUMMYFUNCTION("TEXT(VALUE(REGEXEXTRACT(G48,""^[+-]?[0-9]*\.?[0-9]+""))*100,""0.00"")&amp;"" +/- ""&amp;TEXT(VALUE(REGEXEXTRACT(G48,""[0-9]*\.?[0-9]+$""))*100,""0.00"")"),"46.58 +/- 1.79")</f>
        <v>46.58 +/- 1.79</v>
      </c>
      <c r="P48" s="9" t="str">
        <f>IFERROR(__xludf.DUMMYFUNCTION("TEXT(VALUE(REGEXEXTRACT(H48,""^[+-]?[0-9]*\.?[0-9]+""))*100,""0.00"")&amp;"" +/- ""&amp;TEXT(VALUE(REGEXEXTRACT(H48,""[0-9]*\.?[0-9]+$""))*100,""0.00"")"),"36.14 +/- 6.79")</f>
        <v>36.14 +/- 6.79</v>
      </c>
    </row>
    <row r="49">
      <c r="A49" s="6" t="s">
        <v>892</v>
      </c>
      <c r="B49" s="16" t="s">
        <v>3066</v>
      </c>
      <c r="C49" s="16" t="s">
        <v>2723</v>
      </c>
      <c r="D49" s="16" t="s">
        <v>3067</v>
      </c>
      <c r="E49" s="16" t="s">
        <v>3068</v>
      </c>
      <c r="F49" s="16" t="s">
        <v>3069</v>
      </c>
      <c r="G49" s="16" t="s">
        <v>3070</v>
      </c>
      <c r="H49" s="16" t="s">
        <v>3071</v>
      </c>
      <c r="I49" s="20" t="str">
        <f t="shared" si="3"/>
        <v>AR5→AR4</v>
      </c>
      <c r="J49" s="9" t="str">
        <f>IFERROR(__xludf.DUMMYFUNCTION("TEXT(VALUE(REGEXEXTRACT(B49,""^[+-]?[0-9]*\.?[0-9]+""))*100,""0.00"")&amp;"" +/- ""&amp;TEXT(VALUE(REGEXEXTRACT(B49,""[0-9]*\.?[0-9]+$""))*100,""0.00"")"),"50.32 +/- 3.52")</f>
        <v>50.32 +/- 3.52</v>
      </c>
      <c r="K49" s="9" t="str">
        <f>IFERROR(__xludf.DUMMYFUNCTION("TEXT(VALUE(REGEXEXTRACT(C49,""^[+-]?[0-9]*\.?[0-9]+""))*100,""0.00"")&amp;"" +/- ""&amp;TEXT(VALUE(REGEXEXTRACT(C49,""[0-9]*\.?[0-9]+$""))*100,""0.00"")"),"41.86 +/- 0.00")</f>
        <v>41.86 +/- 0.00</v>
      </c>
      <c r="L49" s="9" t="str">
        <f>IFERROR(__xludf.DUMMYFUNCTION("TEXT(VALUE(REGEXEXTRACT(D49,""^[+-]?[0-9]*\.?[0-9]+""))*100,""0.00"")&amp;"" +/- ""&amp;TEXT(VALUE(REGEXEXTRACT(D49,""[0-9]*\.?[0-9]+$""))*100,""0.00"")"),"34.62 +/- 0.00")</f>
        <v>34.62 +/- 0.00</v>
      </c>
      <c r="M49" s="9" t="str">
        <f>IFERROR(__xludf.DUMMYFUNCTION("TEXT(VALUE(REGEXEXTRACT(E49,""^[+-]?[0-9]*\.?[0-9]+""))*100,""0.00"")&amp;"" +/- ""&amp;TEXT(VALUE(REGEXEXTRACT(E49,""[0-9]*\.?[0-9]+$""))*100,""0.00"")"),"52.24 +/- 3.50")</f>
        <v>52.24 +/- 3.50</v>
      </c>
      <c r="N49" s="10" t="str">
        <f>IFERROR(__xludf.DUMMYFUNCTION("TEXT(VALUE(REGEXEXTRACT(F49,""^[+-]?[0-9]*\.?[0-9]+""))*100,""0.00"")&amp;"" +/- ""&amp;TEXT(VALUE(REGEXEXTRACT(F49,""[0-9]*\.?[0-9]+$""))*100,""0.00"")"),"53.47 +/- 2.38")</f>
        <v>53.47 +/- 2.38</v>
      </c>
      <c r="O49" s="9" t="str">
        <f>IFERROR(__xludf.DUMMYFUNCTION("TEXT(VALUE(REGEXEXTRACT(G49,""^[+-]?[0-9]*\.?[0-9]+""))*100,""0.00"")&amp;"" +/- ""&amp;TEXT(VALUE(REGEXEXTRACT(G49,""[0-9]*\.?[0-9]+$""))*100,""0.00"")"),"51.60 +/- 2.97")</f>
        <v>51.60 +/- 2.97</v>
      </c>
      <c r="P49" s="9" t="str">
        <f>IFERROR(__xludf.DUMMYFUNCTION("TEXT(VALUE(REGEXEXTRACT(H49,""^[+-]?[0-9]*\.?[0-9]+""))*100,""0.00"")&amp;"" +/- ""&amp;TEXT(VALUE(REGEXEXTRACT(H49,""[0-9]*\.?[0-9]+$""))*100,""0.00"")"),"45.19 +/- 3.05")</f>
        <v>45.19 +/- 3.05</v>
      </c>
    </row>
    <row r="50">
      <c r="A50" s="6" t="s">
        <v>907</v>
      </c>
      <c r="B50" s="16" t="s">
        <v>3077</v>
      </c>
      <c r="C50" s="16" t="s">
        <v>3079</v>
      </c>
      <c r="D50" s="16" t="s">
        <v>3080</v>
      </c>
      <c r="E50" s="16" t="s">
        <v>3081</v>
      </c>
      <c r="F50" s="16" t="s">
        <v>3082</v>
      </c>
      <c r="G50" s="16" t="s">
        <v>3083</v>
      </c>
      <c r="H50" s="16" t="s">
        <v>3084</v>
      </c>
      <c r="I50" s="20" t="str">
        <f t="shared" si="3"/>
        <v>AR5→AR6</v>
      </c>
      <c r="J50" s="9" t="str">
        <f>IFERROR(__xludf.DUMMYFUNCTION("TEXT(VALUE(REGEXEXTRACT(B50,""^[+-]?[0-9]*\.?[0-9]+""))*100,""0.00"")&amp;"" +/- ""&amp;TEXT(VALUE(REGEXEXTRACT(B50,""[0-9]*\.?[0-9]+$""))*100,""0.00"")"),"40.28 +/- 1.97")</f>
        <v>40.28 +/- 1.97</v>
      </c>
      <c r="K50" s="9" t="str">
        <f>IFERROR(__xludf.DUMMYFUNCTION("TEXT(VALUE(REGEXEXTRACT(C50,""^[+-]?[0-9]*\.?[0-9]+""))*100,""0.00"")&amp;"" +/- ""&amp;TEXT(VALUE(REGEXEXTRACT(C50,""[0-9]*\.?[0-9]+$""))*100,""0.00"")"),"36.84 +/- 0.00")</f>
        <v>36.84 +/- 0.00</v>
      </c>
      <c r="L50" s="9" t="str">
        <f>IFERROR(__xludf.DUMMYFUNCTION("TEXT(VALUE(REGEXEXTRACT(D50,""^[+-]?[0-9]*\.?[0-9]+""))*100,""0.00"")&amp;"" +/- ""&amp;TEXT(VALUE(REGEXEXTRACT(D50,""[0-9]*\.?[0-9]+$""))*100,""0.00"")"),"17.39 +/- 0.00")</f>
        <v>17.39 +/- 0.00</v>
      </c>
      <c r="M50" s="9" t="str">
        <f>IFERROR(__xludf.DUMMYFUNCTION("TEXT(VALUE(REGEXEXTRACT(E50,""^[+-]?[0-9]*\.?[0-9]+""))*100,""0.00"")&amp;"" +/- ""&amp;TEXT(VALUE(REGEXEXTRACT(E50,""[0-9]*\.?[0-9]+$""))*100,""0.00"")"),"38.78 +/- 1.47")</f>
        <v>38.78 +/- 1.47</v>
      </c>
      <c r="N50" s="9" t="str">
        <f>IFERROR(__xludf.DUMMYFUNCTION("TEXT(VALUE(REGEXEXTRACT(F50,""^[+-]?[0-9]*\.?[0-9]+""))*100,""0.00"")&amp;"" +/- ""&amp;TEXT(VALUE(REGEXEXTRACT(F50,""[0-9]*\.?[0-9]+$""))*100,""0.00"")"),"40.30 +/- 1.50")</f>
        <v>40.30 +/- 1.50</v>
      </c>
      <c r="O50" s="9" t="str">
        <f>IFERROR(__xludf.DUMMYFUNCTION("TEXT(VALUE(REGEXEXTRACT(G50,""^[+-]?[0-9]*\.?[0-9]+""))*100,""0.00"")&amp;"" +/- ""&amp;TEXT(VALUE(REGEXEXTRACT(G50,""[0-9]*\.?[0-9]+$""))*100,""0.00"")"),"39.27 +/- 2.17")</f>
        <v>39.27 +/- 2.17</v>
      </c>
      <c r="P50" s="10" t="str">
        <f>IFERROR(__xludf.DUMMYFUNCTION("TEXT(VALUE(REGEXEXTRACT(H50,""^[+-]?[0-9]*\.?[0-9]+""))*100,""0.00"")&amp;"" +/- ""&amp;TEXT(VALUE(REGEXEXTRACT(H50,""[0-9]*\.?[0-9]+$""))*100,""0.00"")"),"41.21 +/- 4.44")</f>
        <v>41.21 +/- 4.44</v>
      </c>
    </row>
    <row r="51">
      <c r="A51" s="6" t="s">
        <v>922</v>
      </c>
      <c r="B51" s="16" t="s">
        <v>3093</v>
      </c>
      <c r="C51" s="16" t="s">
        <v>2904</v>
      </c>
      <c r="D51" s="16" t="s">
        <v>3096</v>
      </c>
      <c r="E51" s="16" t="s">
        <v>3098</v>
      </c>
      <c r="F51" s="16" t="s">
        <v>3100</v>
      </c>
      <c r="G51" s="16" t="s">
        <v>3102</v>
      </c>
      <c r="H51" s="16" t="s">
        <v>3104</v>
      </c>
      <c r="I51" s="20" t="str">
        <f t="shared" si="3"/>
        <v>AR6→AR1</v>
      </c>
      <c r="J51" s="10" t="str">
        <f>IFERROR(__xludf.DUMMYFUNCTION("TEXT(VALUE(REGEXEXTRACT(B51,""^[+-]?[0-9]*\.?[0-9]+""))*100,""0.00"")&amp;"" +/- ""&amp;TEXT(VALUE(REGEXEXTRACT(B51,""[0-9]*\.?[0-9]+$""))*100,""0.00"")"),"22.94 +/- 2.20")</f>
        <v>22.94 +/- 2.20</v>
      </c>
      <c r="K51" s="9" t="str">
        <f>IFERROR(__xludf.DUMMYFUNCTION("TEXT(VALUE(REGEXEXTRACT(C51,""^[+-]?[0-9]*\.?[0-9]+""))*100,""0.00"")&amp;"" +/- ""&amp;TEXT(VALUE(REGEXEXTRACT(C51,""[0-9]*\.?[0-9]+$""))*100,""0.00"")"),"26.09 +/- 0.00")</f>
        <v>26.09 +/- 0.00</v>
      </c>
      <c r="L51" s="9" t="str">
        <f>IFERROR(__xludf.DUMMYFUNCTION("TEXT(VALUE(REGEXEXTRACT(D51,""^[+-]?[0-9]*\.?[0-9]+""))*100,""0.00"")&amp;"" +/- ""&amp;TEXT(VALUE(REGEXEXTRACT(D51,""[0-9]*\.?[0-9]+$""))*100,""0.00"")"),"26.67 +/- 0.00")</f>
        <v>26.67 +/- 0.00</v>
      </c>
      <c r="M51" s="9" t="str">
        <f>IFERROR(__xludf.DUMMYFUNCTION("TEXT(VALUE(REGEXEXTRACT(E51,""^[+-]?[0-9]*\.?[0-9]+""))*100,""0.00"")&amp;"" +/- ""&amp;TEXT(VALUE(REGEXEXTRACT(E51,""[0-9]*\.?[0-9]+$""))*100,""0.00"")"),"20.06 +/- 2.53")</f>
        <v>20.06 +/- 2.53</v>
      </c>
      <c r="N51" s="9" t="str">
        <f>IFERROR(__xludf.DUMMYFUNCTION("TEXT(VALUE(REGEXEXTRACT(F51,""^[+-]?[0-9]*\.?[0-9]+""))*100,""0.00"")&amp;"" +/- ""&amp;TEXT(VALUE(REGEXEXTRACT(F51,""[0-9]*\.?[0-9]+$""))*100,""0.00"")"),"18.65 +/- 2.16")</f>
        <v>18.65 +/- 2.16</v>
      </c>
      <c r="O51" s="9" t="str">
        <f>IFERROR(__xludf.DUMMYFUNCTION("TEXT(VALUE(REGEXEXTRACT(G51,""^[+-]?[0-9]*\.?[0-9]+""))*100,""0.00"")&amp;"" +/- ""&amp;TEXT(VALUE(REGEXEXTRACT(G51,""[0-9]*\.?[0-9]+$""))*100,""0.00"")"),"19.17 +/- 2.22")</f>
        <v>19.17 +/- 2.22</v>
      </c>
      <c r="P51" s="9" t="str">
        <f>IFERROR(__xludf.DUMMYFUNCTION("TEXT(VALUE(REGEXEXTRACT(H51,""^[+-]?[0-9]*\.?[0-9]+""))*100,""0.00"")&amp;"" +/- ""&amp;TEXT(VALUE(REGEXEXTRACT(H51,""[0-9]*\.?[0-9]+$""))*100,""0.00"")"),"17.29 +/- 1.61")</f>
        <v>17.29 +/- 1.61</v>
      </c>
    </row>
    <row r="52">
      <c r="A52" s="6" t="s">
        <v>944</v>
      </c>
      <c r="B52" s="16" t="s">
        <v>3112</v>
      </c>
      <c r="C52" s="16" t="s">
        <v>3054</v>
      </c>
      <c r="D52" s="16" t="s">
        <v>2443</v>
      </c>
      <c r="E52" s="16" t="s">
        <v>3113</v>
      </c>
      <c r="F52" s="16" t="s">
        <v>3114</v>
      </c>
      <c r="G52" s="16" t="s">
        <v>3115</v>
      </c>
      <c r="H52" s="16" t="s">
        <v>3116</v>
      </c>
      <c r="I52" s="20" t="str">
        <f t="shared" si="3"/>
        <v>AR6→AR3</v>
      </c>
      <c r="J52" s="9" t="str">
        <f>IFERROR(__xludf.DUMMYFUNCTION("TEXT(VALUE(REGEXEXTRACT(B52,""^[+-]?[0-9]*\.?[0-9]+""))*100,""0.00"")&amp;"" +/- ""&amp;TEXT(VALUE(REGEXEXTRACT(B52,""[0-9]*\.?[0-9]+$""))*100,""0.00"")"),"44.00 +/- 1.43")</f>
        <v>44.00 +/- 1.43</v>
      </c>
      <c r="K52" s="9" t="str">
        <f>IFERROR(__xludf.DUMMYFUNCTION("TEXT(VALUE(REGEXEXTRACT(C52,""^[+-]?[0-9]*\.?[0-9]+""))*100,""0.00"")&amp;"" +/- ""&amp;TEXT(VALUE(REGEXEXTRACT(C52,""[0-9]*\.?[0-9]+$""))*100,""0.00"")"),"31.58 +/- 0.00")</f>
        <v>31.58 +/- 0.00</v>
      </c>
      <c r="L52" s="9" t="str">
        <f>IFERROR(__xludf.DUMMYFUNCTION("TEXT(VALUE(REGEXEXTRACT(D52,""^[+-]?[0-9]*\.?[0-9]+""))*100,""0.00"")&amp;"" +/- ""&amp;TEXT(VALUE(REGEXEXTRACT(D52,""[0-9]*\.?[0-9]+$""))*100,""0.00"")"),"22.22 +/- 0.00")</f>
        <v>22.22 +/- 0.00</v>
      </c>
      <c r="M52" s="10" t="str">
        <f>IFERROR(__xludf.DUMMYFUNCTION("TEXT(VALUE(REGEXEXTRACT(E52,""^[+-]?[0-9]*\.?[0-9]+""))*100,""0.00"")&amp;"" +/- ""&amp;TEXT(VALUE(REGEXEXTRACT(E52,""[0-9]*\.?[0-9]+$""))*100,""0.00"")"),"45.89 +/- 2.66")</f>
        <v>45.89 +/- 2.66</v>
      </c>
      <c r="N52" s="9" t="str">
        <f>IFERROR(__xludf.DUMMYFUNCTION("TEXT(VALUE(REGEXEXTRACT(F52,""^[+-]?[0-9]*\.?[0-9]+""))*100,""0.00"")&amp;"" +/- ""&amp;TEXT(VALUE(REGEXEXTRACT(F52,""[0-9]*\.?[0-9]+$""))*100,""0.00"")"),"42.59 +/- 3.26")</f>
        <v>42.59 +/- 3.26</v>
      </c>
      <c r="O52" s="9" t="str">
        <f>IFERROR(__xludf.DUMMYFUNCTION("TEXT(VALUE(REGEXEXTRACT(G52,""^[+-]?[0-9]*\.?[0-9]+""))*100,""0.00"")&amp;"" +/- ""&amp;TEXT(VALUE(REGEXEXTRACT(G52,""[0-9]*\.?[0-9]+$""))*100,""0.00"")"),"43.98 +/- 3.21")</f>
        <v>43.98 +/- 3.21</v>
      </c>
      <c r="P52" s="9" t="str">
        <f>IFERROR(__xludf.DUMMYFUNCTION("TEXT(VALUE(REGEXEXTRACT(H52,""^[+-]?[0-9]*\.?[0-9]+""))*100,""0.00"")&amp;"" +/- ""&amp;TEXT(VALUE(REGEXEXTRACT(H52,""[0-9]*\.?[0-9]+$""))*100,""0.00"")"),"36.73 +/- 4.06")</f>
        <v>36.73 +/- 4.06</v>
      </c>
    </row>
    <row r="53">
      <c r="A53" s="6" t="s">
        <v>959</v>
      </c>
      <c r="B53" s="16" t="s">
        <v>3124</v>
      </c>
      <c r="C53" s="16" t="s">
        <v>3125</v>
      </c>
      <c r="D53" s="16" t="s">
        <v>2977</v>
      </c>
      <c r="E53" s="16" t="s">
        <v>3126</v>
      </c>
      <c r="F53" s="16" t="s">
        <v>3127</v>
      </c>
      <c r="G53" s="16" t="s">
        <v>3128</v>
      </c>
      <c r="H53" s="16" t="s">
        <v>3129</v>
      </c>
      <c r="I53" s="20" t="str">
        <f t="shared" si="3"/>
        <v>AR6→AR4</v>
      </c>
      <c r="J53" s="10" t="str">
        <f>IFERROR(__xludf.DUMMYFUNCTION("TEXT(VALUE(REGEXEXTRACT(B53,""^[+-]?[0-9]*\.?[0-9]+""))*100,""0.00"")&amp;"" +/- ""&amp;TEXT(VALUE(REGEXEXTRACT(B53,""[0-9]*\.?[0-9]+$""))*100,""0.00"")"),"40.00 +/- 1.92")</f>
        <v>40.00 +/- 1.92</v>
      </c>
      <c r="K53" s="9" t="str">
        <f>IFERROR(__xludf.DUMMYFUNCTION("TEXT(VALUE(REGEXEXTRACT(C53,""^[+-]?[0-9]*\.?[0-9]+""))*100,""0.00"")&amp;"" +/- ""&amp;TEXT(VALUE(REGEXEXTRACT(C53,""[0-9]*\.?[0-9]+$""))*100,""0.00"")"),"17.14 +/- 0.00")</f>
        <v>17.14 +/- 0.00</v>
      </c>
      <c r="L53" s="9" t="str">
        <f>IFERROR(__xludf.DUMMYFUNCTION("TEXT(VALUE(REGEXEXTRACT(D53,""^[+-]?[0-9]*\.?[0-9]+""))*100,""0.00"")&amp;"" +/- ""&amp;TEXT(VALUE(REGEXEXTRACT(D53,""[0-9]*\.?[0-9]+$""))*100,""0.00"")"),"37.50 +/- 0.00")</f>
        <v>37.50 +/- 0.00</v>
      </c>
      <c r="M53" s="9" t="str">
        <f>IFERROR(__xludf.DUMMYFUNCTION("TEXT(VALUE(REGEXEXTRACT(E53,""^[+-]?[0-9]*\.?[0-9]+""))*100,""0.00"")&amp;"" +/- ""&amp;TEXT(VALUE(REGEXEXTRACT(E53,""[0-9]*\.?[0-9]+$""))*100,""0.00"")"),"34.96 +/- 2.94")</f>
        <v>34.96 +/- 2.94</v>
      </c>
      <c r="N53" s="9" t="str">
        <f>IFERROR(__xludf.DUMMYFUNCTION("TEXT(VALUE(REGEXEXTRACT(F53,""^[+-]?[0-9]*\.?[0-9]+""))*100,""0.00"")&amp;"" +/- ""&amp;TEXT(VALUE(REGEXEXTRACT(F53,""[0-9]*\.?[0-9]+$""))*100,""0.00"")"),"29.42 +/- 2.70")</f>
        <v>29.42 +/- 2.70</v>
      </c>
      <c r="O53" s="9" t="str">
        <f>IFERROR(__xludf.DUMMYFUNCTION("TEXT(VALUE(REGEXEXTRACT(G53,""^[+-]?[0-9]*\.?[0-9]+""))*100,""0.00"")&amp;"" +/- ""&amp;TEXT(VALUE(REGEXEXTRACT(G53,""[0-9]*\.?[0-9]+$""))*100,""0.00"")"),"31.08 +/- 3.10")</f>
        <v>31.08 +/- 3.10</v>
      </c>
      <c r="P53" s="9" t="str">
        <f>IFERROR(__xludf.DUMMYFUNCTION("TEXT(VALUE(REGEXEXTRACT(H53,""^[+-]?[0-9]*\.?[0-9]+""))*100,""0.00"")&amp;"" +/- ""&amp;TEXT(VALUE(REGEXEXTRACT(H53,""[0-9]*\.?[0-9]+$""))*100,""0.00"")"),"19.90 +/- 2.16")</f>
        <v>19.90 +/- 2.16</v>
      </c>
    </row>
    <row r="54">
      <c r="A54" s="6" t="s">
        <v>974</v>
      </c>
      <c r="B54" s="16" t="s">
        <v>3130</v>
      </c>
      <c r="C54" s="16" t="s">
        <v>2930</v>
      </c>
      <c r="D54" s="16" t="s">
        <v>3133</v>
      </c>
      <c r="E54" s="16" t="s">
        <v>3136</v>
      </c>
      <c r="F54" s="16" t="s">
        <v>3138</v>
      </c>
      <c r="G54" s="16" t="s">
        <v>3140</v>
      </c>
      <c r="H54" s="16" t="s">
        <v>3142</v>
      </c>
      <c r="I54" s="20" t="str">
        <f t="shared" si="3"/>
        <v>AR6→AR5</v>
      </c>
      <c r="J54" s="10" t="str">
        <f>IFERROR(__xludf.DUMMYFUNCTION("TEXT(VALUE(REGEXEXTRACT(B54,""^[+-]?[0-9]*\.?[0-9]+""))*100,""0.00"")&amp;"" +/- ""&amp;TEXT(VALUE(REGEXEXTRACT(B54,""[0-9]*\.?[0-9]+$""))*100,""0.00"")"),"60.99 +/- 3.00")</f>
        <v>60.99 +/- 3.00</v>
      </c>
      <c r="K54" s="9" t="str">
        <f>IFERROR(__xludf.DUMMYFUNCTION("TEXT(VALUE(REGEXEXTRACT(C54,""^[+-]?[0-9]*\.?[0-9]+""))*100,""0.00"")&amp;"" +/- ""&amp;TEXT(VALUE(REGEXEXTRACT(C54,""[0-9]*\.?[0-9]+$""))*100,""0.00"")"),"46.15 +/- 0.00")</f>
        <v>46.15 +/- 0.00</v>
      </c>
      <c r="L54" s="9" t="str">
        <f>IFERROR(__xludf.DUMMYFUNCTION("TEXT(VALUE(REGEXEXTRACT(D54,""^[+-]?[0-9]*\.?[0-9]+""))*100,""0.00"")&amp;"" +/- ""&amp;TEXT(VALUE(REGEXEXTRACT(D54,""[0-9]*\.?[0-9]+$""))*100,""0.00"")"),"42.86 +/- 0.00")</f>
        <v>42.86 +/- 0.00</v>
      </c>
      <c r="M54" s="9" t="str">
        <f>IFERROR(__xludf.DUMMYFUNCTION("TEXT(VALUE(REGEXEXTRACT(E54,""^[+-]?[0-9]*\.?[0-9]+""))*100,""0.00"")&amp;"" +/- ""&amp;TEXT(VALUE(REGEXEXTRACT(E54,""[0-9]*\.?[0-9]+$""))*100,""0.00"")"),"62.57 +/- 5.49")</f>
        <v>62.57 +/- 5.49</v>
      </c>
      <c r="N54" s="9" t="str">
        <f>IFERROR(__xludf.DUMMYFUNCTION("TEXT(VALUE(REGEXEXTRACT(F54,""^[+-]?[0-9]*\.?[0-9]+""))*100,""0.00"")&amp;"" +/- ""&amp;TEXT(VALUE(REGEXEXTRACT(F54,""[0-9]*\.?[0-9]+$""))*100,""0.00"")"),"57.67 +/- 2.35")</f>
        <v>57.67 +/- 2.35</v>
      </c>
      <c r="O54" s="9" t="str">
        <f>IFERROR(__xludf.DUMMYFUNCTION("TEXT(VALUE(REGEXEXTRACT(G54,""^[+-]?[0-9]*\.?[0-9]+""))*100,""0.00"")&amp;"" +/- ""&amp;TEXT(VALUE(REGEXEXTRACT(G54,""[0-9]*\.?[0-9]+$""))*100,""0.00"")"),"60.55 +/- 4.51")</f>
        <v>60.55 +/- 4.51</v>
      </c>
      <c r="P54" s="9" t="str">
        <f>IFERROR(__xludf.DUMMYFUNCTION("TEXT(VALUE(REGEXEXTRACT(H54,""^[+-]?[0-9]*\.?[0-9]+""))*100,""0.00"")&amp;"" +/- ""&amp;TEXT(VALUE(REGEXEXTRACT(H54,""[0-9]*\.?[0-9]+$""))*100,""0.00"")"),"45.89 +/- 3.12")</f>
        <v>45.89 +/- 3.12</v>
      </c>
    </row>
    <row r="55">
      <c r="A55" s="6" t="s">
        <v>371</v>
      </c>
      <c r="B55" s="14"/>
      <c r="C55" s="21" t="s">
        <v>992</v>
      </c>
      <c r="D55" s="21" t="s">
        <v>1096</v>
      </c>
      <c r="E55" s="21" t="s">
        <v>474</v>
      </c>
      <c r="F55" s="21" t="s">
        <v>474</v>
      </c>
      <c r="G55" s="21" t="s">
        <v>392</v>
      </c>
      <c r="H55" s="21" t="s">
        <v>388</v>
      </c>
      <c r="I55" s="20" t="str">
        <f t="shared" si="3"/>
        <v>W/T/L</v>
      </c>
      <c r="K55" s="20" t="str">
        <f>IFERROR(__xludf.DUMMYFUNCTION("SUM(ARRAYFORMULA(IFERROR(
  (VALUE(REGEXEXTRACT($J$35:$J$54,""^[+-]?[0-9]*\.?[0-9]+""))&gt;
   VALUE(REGEXEXTRACT(K$35:K$54,""^[+-]?[0-9]*\.?[0-9]+"")))*1,0)))
&amp;""/""&amp;
SUM(ARRAYFORMULA(IFERROR(
  (VALUE(REGEXEXTRACT($J$35:$J$54,""^[+-]?[0-9]*\.?[0-9]+""))=
 "&amp;"  VALUE(REGEXEXTRACT(K$35:K$54,""^[+-]?[0-9]*\.?[0-9]+"")))*1,0)))
&amp;""/""&amp;
SUM(ARRAYFORMULA(IFERROR(
  (VALUE(REGEXEXTRACT($J$35:$J$54,""^[+-]?[0-9]*\.?[0-9]+""))&lt;
   VALUE(REGEXEXTRACT(K$35:K$54,""^[+-]?[0-9]*\.?[0-9]+"")))*1,0)))"),"12/0/8")</f>
        <v>12/0/8</v>
      </c>
      <c r="L55" s="20" t="str">
        <f>IFERROR(__xludf.DUMMYFUNCTION("SUM(ARRAYFORMULA(IFERROR(
  (VALUE(REGEXEXTRACT($J$35:$J$54,""^[+-]?[0-9]*\.?[0-9]+""))&gt;
   VALUE(REGEXEXTRACT(L$35:L$54,""^[+-]?[0-9]*\.?[0-9]+"")))*1,0)))
&amp;""/""&amp;
SUM(ARRAYFORMULA(IFERROR(
  (VALUE(REGEXEXTRACT($J$35:$J$54,""^[+-]?[0-9]*\.?[0-9]+""))=
 "&amp;"  VALUE(REGEXEXTRACT(L$35:L$54,""^[+-]?[0-9]*\.?[0-9]+"")))*1,0)))
&amp;""/""&amp;
SUM(ARRAYFORMULA(IFERROR(
  (VALUE(REGEXEXTRACT($J$35:$J$54,""^[+-]?[0-9]*\.?[0-9]+""))&lt;
   VALUE(REGEXEXTRACT(L$35:L$54,""^[+-]?[0-9]*\.?[0-9]+"")))*1,0)))"),"15/0/5")</f>
        <v>15/0/5</v>
      </c>
      <c r="M55" s="20" t="str">
        <f>IFERROR(__xludf.DUMMYFUNCTION("SUM(ARRAYFORMULA(IFERROR(
  (VALUE(REGEXEXTRACT($J$35:$J$54,""^[+-]?[0-9]*\.?[0-9]+""))&gt;
   VALUE(REGEXEXTRACT(M$35:M$54,""^[+-]?[0-9]*\.?[0-9]+"")))*1,0)))
&amp;""/""&amp;
SUM(ARRAYFORMULA(IFERROR(
  (VALUE(REGEXEXTRACT($J$35:$J$54,""^[+-]?[0-9]*\.?[0-9]+""))=
 "&amp;"  VALUE(REGEXEXTRACT(M$35:M$54,""^[+-]?[0-9]*\.?[0-9]+"")))*1,0)))
&amp;""/""&amp;
SUM(ARRAYFORMULA(IFERROR(
  (VALUE(REGEXEXTRACT($J$35:$J$54,""^[+-]?[0-9]*\.?[0-9]+""))&lt;
   VALUE(REGEXEXTRACT(M$35:M$54,""^[+-]?[0-9]*\.?[0-9]+"")))*1,0)))"),"11/0/9")</f>
        <v>11/0/9</v>
      </c>
      <c r="N55" s="20" t="str">
        <f>IFERROR(__xludf.DUMMYFUNCTION("SUM(ARRAYFORMULA(IFERROR(
  (VALUE(REGEXEXTRACT($J$35:$J$54,""^[+-]?[0-9]*\.?[0-9]+""))&gt;
   VALUE(REGEXEXTRACT(N$35:N$54,""^[+-]?[0-9]*\.?[0-9]+"")))*1,0)))
&amp;""/""&amp;
SUM(ARRAYFORMULA(IFERROR(
  (VALUE(REGEXEXTRACT($J$35:$J$54,""^[+-]?[0-9]*\.?[0-9]+""))=
 "&amp;"  VALUE(REGEXEXTRACT(N$35:N$54,""^[+-]?[0-9]*\.?[0-9]+"")))*1,0)))
&amp;""/""&amp;
SUM(ARRAYFORMULA(IFERROR(
  (VALUE(REGEXEXTRACT($J$35:$J$54,""^[+-]?[0-9]*\.?[0-9]+""))&lt;
   VALUE(REGEXEXTRACT(N$35:N$54,""^[+-]?[0-9]*\.?[0-9]+"")))*1,0)))"),"11/0/9")</f>
        <v>11/0/9</v>
      </c>
      <c r="O55" s="20" t="str">
        <f>IFERROR(__xludf.DUMMYFUNCTION("SUM(ARRAYFORMULA(IFERROR(
  (VALUE(REGEXEXTRACT($J$35:$J$54,""^[+-]?[0-9]*\.?[0-9]+""))&gt;
   VALUE(REGEXEXTRACT(O$35:O$54,""^[+-]?[0-9]*\.?[0-9]+"")))*1,0)))
&amp;""/""&amp;
SUM(ARRAYFORMULA(IFERROR(
  (VALUE(REGEXEXTRACT($J$35:$J$54,""^[+-]?[0-9]*\.?[0-9]+""))=
 "&amp;"  VALUE(REGEXEXTRACT(O$35:O$54,""^[+-]?[0-9]*\.?[0-9]+"")))*1,0)))
&amp;""/""&amp;
SUM(ARRAYFORMULA(IFERROR(
  (VALUE(REGEXEXTRACT($J$35:$J$54,""^[+-]?[0-9]*\.?[0-9]+""))&lt;
   VALUE(REGEXEXTRACT(O$35:O$54,""^[+-]?[0-9]*\.?[0-9]+"")))*1,0)))"),"14/0/6")</f>
        <v>14/0/6</v>
      </c>
      <c r="P55" s="20" t="str">
        <f>IFERROR(__xludf.DUMMYFUNCTION("SUM(ARRAYFORMULA(IFERROR(
  (VALUE(REGEXEXTRACT($J$35:$J$54,""^[+-]?[0-9]*\.?[0-9]+""))&gt;
   VALUE(REGEXEXTRACT(P$35:P$54,""^[+-]?[0-9]*\.?[0-9]+"")))*1,0)))
&amp;""/""&amp;
SUM(ARRAYFORMULA(IFERROR(
  (VALUE(REGEXEXTRACT($J$35:$J$54,""^[+-]?[0-9]*\.?[0-9]+""))=
 "&amp;"  VALUE(REGEXEXTRACT(P$35:P$54,""^[+-]?[0-9]*\.?[0-9]+"")))*1,0)))
&amp;""/""&amp;
SUM(ARRAYFORMULA(IFERROR(
  (VALUE(REGEXEXTRACT($J$35:$J$54,""^[+-]?[0-9]*\.?[0-9]+""))&lt;
   VALUE(REGEXEXTRACT(P$35:P$54,""^[+-]?[0-9]*\.?[0-9]+"")))*1,0)))"),"16/0/4")</f>
        <v>16/0/4</v>
      </c>
    </row>
    <row r="56">
      <c r="A56" s="6" t="s">
        <v>489</v>
      </c>
      <c r="B56" s="14" t="s">
        <v>3157</v>
      </c>
      <c r="C56" s="14" t="s">
        <v>3158</v>
      </c>
      <c r="D56" s="14" t="s">
        <v>3159</v>
      </c>
      <c r="E56" s="14" t="s">
        <v>3160</v>
      </c>
      <c r="F56" s="14" t="s">
        <v>3161</v>
      </c>
      <c r="G56" s="14" t="s">
        <v>3162</v>
      </c>
      <c r="H56" s="14" t="s">
        <v>3163</v>
      </c>
      <c r="I56" s="20" t="str">
        <f t="shared" si="3"/>
        <v>Average (%)</v>
      </c>
      <c r="J56" s="9">
        <f>IFERROR(__xludf.DUMMYFUNCTION("ROUND(AVERAGE(ARRAYFORMULA(IFERROR(VALUE(REGEXEXTRACT(J$35:J$54,""^[+-]?[0-9]*\.?[0-9]+"")),""""))),2)"),38.7)</f>
        <v>38.7</v>
      </c>
      <c r="K56" s="9">
        <f>IFERROR(__xludf.DUMMYFUNCTION("ROUND(AVERAGE(ARRAYFORMULA(IFERROR(VALUE(REGEXEXTRACT(K$35:K$54,""^[+-]?[0-9]*\.?[0-9]+"")),""""))),2)"),31.42)</f>
        <v>31.42</v>
      </c>
      <c r="L56" s="9">
        <f>IFERROR(__xludf.DUMMYFUNCTION("ROUND(AVERAGE(ARRAYFORMULA(IFERROR(VALUE(REGEXEXTRACT(L$35:L$54,""^[+-]?[0-9]*\.?[0-9]+"")),""""))),2)"),27.49)</f>
        <v>27.49</v>
      </c>
      <c r="M56" s="9">
        <f>IFERROR(__xludf.DUMMYFUNCTION("ROUND(AVERAGE(ARRAYFORMULA(IFERROR(VALUE(REGEXEXTRACT(M$35:M$54,""^[+-]?[0-9]*\.?[0-9]+"")),""""))),2)"),37.73)</f>
        <v>37.73</v>
      </c>
      <c r="N56" s="9">
        <f>IFERROR(__xludf.DUMMYFUNCTION("ROUND(AVERAGE(ARRAYFORMULA(IFERROR(VALUE(REGEXEXTRACT(N$35:N$54,""^[+-]?[0-9]*\.?[0-9]+"")),""""))),2)"),36.17)</f>
        <v>36.17</v>
      </c>
      <c r="O56" s="9">
        <f>IFERROR(__xludf.DUMMYFUNCTION("ROUND(AVERAGE(ARRAYFORMULA(IFERROR(VALUE(REGEXEXTRACT(O$35:O$54,""^[+-]?[0-9]*\.?[0-9]+"")),""""))),2)"),37.29)</f>
        <v>37.29</v>
      </c>
      <c r="P56" s="9">
        <f>IFERROR(__xludf.DUMMYFUNCTION("ROUND(AVERAGE(ARRAYFORMULA(IFERROR(VALUE(REGEXEXTRACT(P$35:P$54,""^[+-]?[0-9]*\.?[0-9]+"")),""""))),2)"),32.09)</f>
        <v>32.09</v>
      </c>
    </row>
    <row r="57">
      <c r="A57" s="4" t="s">
        <v>1013</v>
      </c>
      <c r="B57" s="2"/>
      <c r="C57" s="2"/>
      <c r="D57" s="2"/>
      <c r="E57" s="2"/>
      <c r="F57" s="2"/>
      <c r="G57" s="2"/>
      <c r="H57" s="2"/>
      <c r="I57" s="4" t="s">
        <v>1013</v>
      </c>
    </row>
    <row r="58">
      <c r="A58" s="6" t="s">
        <v>1014</v>
      </c>
      <c r="B58" s="16" t="s">
        <v>3178</v>
      </c>
      <c r="C58" s="16" t="s">
        <v>3179</v>
      </c>
      <c r="D58" s="16" t="s">
        <v>3180</v>
      </c>
      <c r="E58" s="16" t="s">
        <v>3181</v>
      </c>
      <c r="F58" s="16" t="s">
        <v>3182</v>
      </c>
      <c r="G58" s="16" t="s">
        <v>3183</v>
      </c>
      <c r="H58" s="16" t="s">
        <v>3184</v>
      </c>
      <c r="I58" s="20" t="str">
        <f t="shared" ref="I58:I81" si="4">A58</f>
        <v>EQ→JDT</v>
      </c>
      <c r="J58" s="10" t="str">
        <f>IFERROR(__xludf.DUMMYFUNCTION("TEXT(VALUE(REGEXEXTRACT(B58,""^[+-]?[0-9]*\.?[0-9]+""))*100,""0.00"")&amp;"" +/- ""&amp;TEXT(VALUE(REGEXEXTRACT(B58,""[0-9]*\.?[0-9]+$""))*100,""0.00"")"),"46.08 +/- 0.83")</f>
        <v>46.08 +/- 0.83</v>
      </c>
      <c r="K58" s="9" t="str">
        <f>IFERROR(__xludf.DUMMYFUNCTION("TEXT(VALUE(REGEXEXTRACT(C58,""^[+-]?[0-9]*\.?[0-9]+""))*100,""0.00"")&amp;"" +/- ""&amp;TEXT(VALUE(REGEXEXTRACT(C58,""[0-9]*\.?[0-9]+$""))*100,""0.00"")"),"43.00 +/- 0.00")</f>
        <v>43.00 +/- 0.00</v>
      </c>
      <c r="L58" s="9" t="str">
        <f>IFERROR(__xludf.DUMMYFUNCTION("TEXT(VALUE(REGEXEXTRACT(D58,""^[+-]?[0-9]*\.?[0-9]+""))*100,""0.00"")&amp;"" +/- ""&amp;TEXT(VALUE(REGEXEXTRACT(D58,""[0-9]*\.?[0-9]+$""))*100,""0.00"")"),"29.57 +/- 0.00")</f>
        <v>29.57 +/- 0.00</v>
      </c>
      <c r="M58" s="9" t="str">
        <f>IFERROR(__xludf.DUMMYFUNCTION("TEXT(VALUE(REGEXEXTRACT(E58,""^[+-]?[0-9]*\.?[0-9]+""))*100,""0.00"")&amp;"" +/- ""&amp;TEXT(VALUE(REGEXEXTRACT(E58,""[0-9]*\.?[0-9]+$""))*100,""0.00"")"),"41.44 +/- 1.07")</f>
        <v>41.44 +/- 1.07</v>
      </c>
      <c r="N58" s="9" t="str">
        <f>IFERROR(__xludf.DUMMYFUNCTION("TEXT(VALUE(REGEXEXTRACT(F58,""^[+-]?[0-9]*\.?[0-9]+""))*100,""0.00"")&amp;"" +/- ""&amp;TEXT(VALUE(REGEXEXTRACT(F58,""[0-9]*\.?[0-9]+$""))*100,""0.00"")"),"41.68 +/- 0.75")</f>
        <v>41.68 +/- 0.75</v>
      </c>
      <c r="O58" s="9" t="str">
        <f>IFERROR(__xludf.DUMMYFUNCTION("TEXT(VALUE(REGEXEXTRACT(G58,""^[+-]?[0-9]*\.?[0-9]+""))*100,""0.00"")&amp;"" +/- ""&amp;TEXT(VALUE(REGEXEXTRACT(G58,""[0-9]*\.?[0-9]+$""))*100,""0.00"")"),"41.84 +/- 1.20")</f>
        <v>41.84 +/- 1.20</v>
      </c>
      <c r="P58" s="9" t="str">
        <f>IFERROR(__xludf.DUMMYFUNCTION("TEXT(VALUE(REGEXEXTRACT(H58,""^[+-]?[0-9]*\.?[0-9]+""))*100,""0.00"")&amp;"" +/- ""&amp;TEXT(VALUE(REGEXEXTRACT(H58,""[0-9]*\.?[0-9]+$""))*100,""0.00"")"),"40.93 +/- 0.97")</f>
        <v>40.93 +/- 0.97</v>
      </c>
    </row>
    <row r="59">
      <c r="A59" s="6" t="s">
        <v>1026</v>
      </c>
      <c r="B59" s="16" t="s">
        <v>3199</v>
      </c>
      <c r="C59" s="16" t="s">
        <v>3200</v>
      </c>
      <c r="D59" s="16" t="s">
        <v>3201</v>
      </c>
      <c r="E59" s="16" t="s">
        <v>3202</v>
      </c>
      <c r="F59" s="16" t="s">
        <v>3203</v>
      </c>
      <c r="G59" s="16" t="s">
        <v>3204</v>
      </c>
      <c r="H59" s="16" t="s">
        <v>3205</v>
      </c>
      <c r="I59" s="20" t="str">
        <f t="shared" si="4"/>
        <v>EQ→LC</v>
      </c>
      <c r="J59" s="9" t="str">
        <f>IFERROR(__xludf.DUMMYFUNCTION("TEXT(VALUE(REGEXEXTRACT(B59,""^[+-]?[0-9]*\.?[0-9]+""))*100,""0.00"")&amp;"" +/- ""&amp;TEXT(VALUE(REGEXEXTRACT(B59,""[0-9]*\.?[0-9]+$""))*100,""0.00"")"),"26.20 +/- 0.60")</f>
        <v>26.20 +/- 0.60</v>
      </c>
      <c r="K59" s="10" t="str">
        <f>IFERROR(__xludf.DUMMYFUNCTION("TEXT(VALUE(REGEXEXTRACT(C59,""^[+-]?[0-9]*\.?[0-9]+""))*100,""0.00"")&amp;"" +/- ""&amp;TEXT(VALUE(REGEXEXTRACT(C59,""[0-9]*\.?[0-9]+$""))*100,""0.00"")"),"26.62 +/- 0.00")</f>
        <v>26.62 +/- 0.00</v>
      </c>
      <c r="L59" s="9" t="str">
        <f>IFERROR(__xludf.DUMMYFUNCTION("TEXT(VALUE(REGEXEXTRACT(D59,""^[+-]?[0-9]*\.?[0-9]+""))*100,""0.00"")&amp;"" +/- ""&amp;TEXT(VALUE(REGEXEXTRACT(D59,""[0-9]*\.?[0-9]+$""))*100,""0.00"")"),"8.72 +/- 0.00")</f>
        <v>8.72 +/- 0.00</v>
      </c>
      <c r="M59" s="9" t="str">
        <f>IFERROR(__xludf.DUMMYFUNCTION("TEXT(VALUE(REGEXEXTRACT(E59,""^[+-]?[0-9]*\.?[0-9]+""))*100,""0.00"")&amp;"" +/- ""&amp;TEXT(VALUE(REGEXEXTRACT(E59,""[0-9]*\.?[0-9]+$""))*100,""0.00"")"),"24.35 +/- 1.05")</f>
        <v>24.35 +/- 1.05</v>
      </c>
      <c r="N59" s="9" t="str">
        <f>IFERROR(__xludf.DUMMYFUNCTION("TEXT(VALUE(REGEXEXTRACT(F59,""^[+-]?[0-9]*\.?[0-9]+""))*100,""0.00"")&amp;"" +/- ""&amp;TEXT(VALUE(REGEXEXTRACT(F59,""[0-9]*\.?[0-9]+$""))*100,""0.00"")"),"22.36 +/- 0.60")</f>
        <v>22.36 +/- 0.60</v>
      </c>
      <c r="O59" s="9" t="str">
        <f>IFERROR(__xludf.DUMMYFUNCTION("TEXT(VALUE(REGEXEXTRACT(G59,""^[+-]?[0-9]*\.?[0-9]+""))*100,""0.00"")&amp;"" +/- ""&amp;TEXT(VALUE(REGEXEXTRACT(G59,""[0-9]*\.?[0-9]+$""))*100,""0.00"")"),"23.84 +/- 0.77")</f>
        <v>23.84 +/- 0.77</v>
      </c>
      <c r="P59" s="9" t="str">
        <f>IFERROR(__xludf.DUMMYFUNCTION("TEXT(VALUE(REGEXEXTRACT(H59,""^[+-]?[0-9]*\.?[0-9]+""))*100,""0.00"")&amp;"" +/- ""&amp;TEXT(VALUE(REGEXEXTRACT(H59,""[0-9]*\.?[0-9]+$""))*100,""0.00"")"),"23.28 +/- 1.11")</f>
        <v>23.28 +/- 1.11</v>
      </c>
    </row>
    <row r="60">
      <c r="A60" s="6" t="s">
        <v>1036</v>
      </c>
      <c r="B60" s="16" t="s">
        <v>3217</v>
      </c>
      <c r="C60" s="16" t="s">
        <v>3218</v>
      </c>
      <c r="D60" s="16" t="s">
        <v>3219</v>
      </c>
      <c r="E60" s="16" t="s">
        <v>3220</v>
      </c>
      <c r="F60" s="16" t="s">
        <v>3221</v>
      </c>
      <c r="G60" s="16" t="s">
        <v>3222</v>
      </c>
      <c r="H60" s="16" t="s">
        <v>3223</v>
      </c>
      <c r="I60" s="20" t="str">
        <f t="shared" si="4"/>
        <v>EQ→ML</v>
      </c>
      <c r="J60" s="9" t="str">
        <f>IFERROR(__xludf.DUMMYFUNCTION("TEXT(VALUE(REGEXEXTRACT(B60,""^[+-]?[0-9]*\.?[0-9]+""))*100,""0.00"")&amp;"" +/- ""&amp;TEXT(VALUE(REGEXEXTRACT(B60,""[0-9]*\.?[0-9]+$""))*100,""0.00"")"),"23.55 +/- 0.52")</f>
        <v>23.55 +/- 0.52</v>
      </c>
      <c r="K60" s="10" t="str">
        <f>IFERROR(__xludf.DUMMYFUNCTION("TEXT(VALUE(REGEXEXTRACT(C60,""^[+-]?[0-9]*\.?[0-9]+""))*100,""0.00"")&amp;"" +/- ""&amp;TEXT(VALUE(REGEXEXTRACT(C60,""[0-9]*\.?[0-9]+$""))*100,""0.00"")"),"23.64 +/- 0.00")</f>
        <v>23.64 +/- 0.00</v>
      </c>
      <c r="L60" s="9" t="str">
        <f>IFERROR(__xludf.DUMMYFUNCTION("TEXT(VALUE(REGEXEXTRACT(D60,""^[+-]?[0-9]*\.?[0-9]+""))*100,""0.00"")&amp;"" +/- ""&amp;TEXT(VALUE(REGEXEXTRACT(D60,""[0-9]*\.?[0-9]+$""))*100,""0.00"")"),"15.37 +/- 0.00")</f>
        <v>15.37 +/- 0.00</v>
      </c>
      <c r="M60" s="9" t="str">
        <f>IFERROR(__xludf.DUMMYFUNCTION("TEXT(VALUE(REGEXEXTRACT(E60,""^[+-]?[0-9]*\.?[0-9]+""))*100,""0.00"")&amp;"" +/- ""&amp;TEXT(VALUE(REGEXEXTRACT(E60,""[0-9]*\.?[0-9]+$""))*100,""0.00"")"),"21.98 +/- 0.58")</f>
        <v>21.98 +/- 0.58</v>
      </c>
      <c r="N60" s="9" t="str">
        <f>IFERROR(__xludf.DUMMYFUNCTION("TEXT(VALUE(REGEXEXTRACT(F60,""^[+-]?[0-9]*\.?[0-9]+""))*100,""0.00"")&amp;"" +/- ""&amp;TEXT(VALUE(REGEXEXTRACT(F60,""[0-9]*\.?[0-9]+$""))*100,""0.00"")"),"20.10 +/- 0.42")</f>
        <v>20.10 +/- 0.42</v>
      </c>
      <c r="O60" s="9" t="str">
        <f>IFERROR(__xludf.DUMMYFUNCTION("TEXT(VALUE(REGEXEXTRACT(G60,""^[+-]?[0-9]*\.?[0-9]+""))*100,""0.00"")&amp;"" +/- ""&amp;TEXT(VALUE(REGEXEXTRACT(G60,""[0-9]*\.?[0-9]+$""))*100,""0.00"")"),"21.41 +/- 0.53")</f>
        <v>21.41 +/- 0.53</v>
      </c>
      <c r="P60" s="9" t="str">
        <f>IFERROR(__xludf.DUMMYFUNCTION("TEXT(VALUE(REGEXEXTRACT(H60,""^[+-]?[0-9]*\.?[0-9]+""))*100,""0.00"")&amp;"" +/- ""&amp;TEXT(VALUE(REGEXEXTRACT(H60,""[0-9]*\.?[0-9]+$""))*100,""0.00"")"),"22.27 +/- 0.69")</f>
        <v>22.27 +/- 0.69</v>
      </c>
    </row>
    <row r="61">
      <c r="A61" s="6" t="s">
        <v>1044</v>
      </c>
      <c r="B61" s="16" t="s">
        <v>3227</v>
      </c>
      <c r="C61" s="16" t="s">
        <v>3228</v>
      </c>
      <c r="D61" s="16" t="s">
        <v>3229</v>
      </c>
      <c r="E61" s="16" t="s">
        <v>3230</v>
      </c>
      <c r="F61" s="16" t="s">
        <v>3231</v>
      </c>
      <c r="G61" s="16" t="s">
        <v>3232</v>
      </c>
      <c r="H61" s="16" t="s">
        <v>3233</v>
      </c>
      <c r="I61" s="20" t="str">
        <f t="shared" si="4"/>
        <v>EQ→PDE</v>
      </c>
      <c r="J61" s="9" t="str">
        <f>IFERROR(__xludf.DUMMYFUNCTION("TEXT(VALUE(REGEXEXTRACT(B61,""^[+-]?[0-9]*\.?[0-9]+""))*100,""0.00"")&amp;"" +/- ""&amp;TEXT(VALUE(REGEXEXTRACT(B61,""[0-9]*\.?[0-9]+$""))*100,""0.00"")"),"34.64 +/- 0.64")</f>
        <v>34.64 +/- 0.64</v>
      </c>
      <c r="K61" s="10" t="str">
        <f>IFERROR(__xludf.DUMMYFUNCTION("TEXT(VALUE(REGEXEXTRACT(C61,""^[+-]?[0-9]*\.?[0-9]+""))*100,""0.00"")&amp;"" +/- ""&amp;TEXT(VALUE(REGEXEXTRACT(C61,""[0-9]*\.?[0-9]+$""))*100,""0.00"")"),"34.99 +/- 0.00")</f>
        <v>34.99 +/- 0.00</v>
      </c>
      <c r="L61" s="9" t="str">
        <f>IFERROR(__xludf.DUMMYFUNCTION("TEXT(VALUE(REGEXEXTRACT(D61,""^[+-]?[0-9]*\.?[0-9]+""))*100,""0.00"")&amp;"" +/- ""&amp;TEXT(VALUE(REGEXEXTRACT(D61,""[0-9]*\.?[0-9]+$""))*100,""0.00"")"),"14.91 +/- 0.00")</f>
        <v>14.91 +/- 0.00</v>
      </c>
      <c r="M61" s="9" t="str">
        <f>IFERROR(__xludf.DUMMYFUNCTION("TEXT(VALUE(REGEXEXTRACT(E61,""^[+-]?[0-9]*\.?[0-9]+""))*100,""0.00"")&amp;"" +/- ""&amp;TEXT(VALUE(REGEXEXTRACT(E61,""[0-9]*\.?[0-9]+$""))*100,""0.00"")"),"33.76 +/- 1.04")</f>
        <v>33.76 +/- 1.04</v>
      </c>
      <c r="N61" s="9" t="str">
        <f>IFERROR(__xludf.DUMMYFUNCTION("TEXT(VALUE(REGEXEXTRACT(F61,""^[+-]?[0-9]*\.?[0-9]+""))*100,""0.00"")&amp;"" +/- ""&amp;TEXT(VALUE(REGEXEXTRACT(F61,""[0-9]*\.?[0-9]+$""))*100,""0.00"")"),"31.90 +/- 0.55")</f>
        <v>31.90 +/- 0.55</v>
      </c>
      <c r="O61" s="9" t="str">
        <f>IFERROR(__xludf.DUMMYFUNCTION("TEXT(VALUE(REGEXEXTRACT(G61,""^[+-]?[0-9]*\.?[0-9]+""))*100,""0.00"")&amp;"" +/- ""&amp;TEXT(VALUE(REGEXEXTRACT(G61,""[0-9]*\.?[0-9]+$""))*100,""0.00"")"),"33.39 +/- 0.71")</f>
        <v>33.39 +/- 0.71</v>
      </c>
      <c r="P61" s="9" t="str">
        <f>IFERROR(__xludf.DUMMYFUNCTION("TEXT(VALUE(REGEXEXTRACT(H61,""^[+-]?[0-9]*\.?[0-9]+""))*100,""0.00"")&amp;"" +/- ""&amp;TEXT(VALUE(REGEXEXTRACT(H61,""[0-9]*\.?[0-9]+$""))*100,""0.00"")"),"29.74 +/- 0.82")</f>
        <v>29.74 +/- 0.82</v>
      </c>
    </row>
    <row r="62">
      <c r="A62" s="6" t="s">
        <v>1051</v>
      </c>
      <c r="B62" s="16" t="s">
        <v>3234</v>
      </c>
      <c r="C62" s="16" t="s">
        <v>3235</v>
      </c>
      <c r="D62" s="16" t="s">
        <v>3236</v>
      </c>
      <c r="E62" s="16" t="s">
        <v>3237</v>
      </c>
      <c r="F62" s="16" t="s">
        <v>3238</v>
      </c>
      <c r="G62" s="16" t="s">
        <v>3239</v>
      </c>
      <c r="H62" s="16" t="s">
        <v>3240</v>
      </c>
      <c r="I62" s="20" t="str">
        <f t="shared" si="4"/>
        <v>JDT→EQ</v>
      </c>
      <c r="J62" s="9" t="str">
        <f>IFERROR(__xludf.DUMMYFUNCTION("TEXT(VALUE(REGEXEXTRACT(B62,""^[+-]?[0-9]*\.?[0-9]+""))*100,""0.00"")&amp;"" +/- ""&amp;TEXT(VALUE(REGEXEXTRACT(B62,""[0-9]*\.?[0-9]+$""))*100,""0.00"")"),"44.28 +/- 1.36")</f>
        <v>44.28 +/- 1.36</v>
      </c>
      <c r="K62" s="9" t="str">
        <f>IFERROR(__xludf.DUMMYFUNCTION("TEXT(VALUE(REGEXEXTRACT(C62,""^[+-]?[0-9]*\.?[0-9]+""))*100,""0.00"")&amp;"" +/- ""&amp;TEXT(VALUE(REGEXEXTRACT(C62,""[0-9]*\.?[0-9]+$""))*100,""0.00"")"),"39.77 +/- 0.00")</f>
        <v>39.77 +/- 0.00</v>
      </c>
      <c r="L62" s="9" t="str">
        <f>IFERROR(__xludf.DUMMYFUNCTION("TEXT(VALUE(REGEXEXTRACT(D62,""^[+-]?[0-9]*\.?[0-9]+""))*100,""0.00"")&amp;"" +/- ""&amp;TEXT(VALUE(REGEXEXTRACT(D62,""[0-9]*\.?[0-9]+$""))*100,""0.00"")"),"48.04 +/- 0.00")</f>
        <v>48.04 +/- 0.00</v>
      </c>
      <c r="M62" s="9" t="str">
        <f>IFERROR(__xludf.DUMMYFUNCTION("TEXT(VALUE(REGEXEXTRACT(E62,""^[+-]?[0-9]*\.?[0-9]+""))*100,""0.00"")&amp;"" +/- ""&amp;TEXT(VALUE(REGEXEXTRACT(E62,""[0-9]*\.?[0-9]+$""))*100,""0.00"")"),"48.18 +/- 1.75")</f>
        <v>48.18 +/- 1.75</v>
      </c>
      <c r="N62" s="10" t="str">
        <f>IFERROR(__xludf.DUMMYFUNCTION("TEXT(VALUE(REGEXEXTRACT(F62,""^[+-]?[0-9]*\.?[0-9]+""))*100,""0.00"")&amp;"" +/- ""&amp;TEXT(VALUE(REGEXEXTRACT(F62,""[0-9]*\.?[0-9]+$""))*100,""0.00"")"),"52.74 +/- 1.15")</f>
        <v>52.74 +/- 1.15</v>
      </c>
      <c r="O62" s="9" t="str">
        <f>IFERROR(__xludf.DUMMYFUNCTION("TEXT(VALUE(REGEXEXTRACT(G62,""^[+-]?[0-9]*\.?[0-9]+""))*100,""0.00"")&amp;"" +/- ""&amp;TEXT(VALUE(REGEXEXTRACT(G62,""[0-9]*\.?[0-9]+$""))*100,""0.00"")"),"51.11 +/- 1.87")</f>
        <v>51.11 +/- 1.87</v>
      </c>
      <c r="P62" s="9" t="str">
        <f>IFERROR(__xludf.DUMMYFUNCTION("TEXT(VALUE(REGEXEXTRACT(H62,""^[+-]?[0-9]*\.?[0-9]+""))*100,""0.00"")&amp;"" +/- ""&amp;TEXT(VALUE(REGEXEXTRACT(H62,""[0-9]*\.?[0-9]+$""))*100,""0.00"")"),"51.88 +/- 1.03")</f>
        <v>51.88 +/- 1.03</v>
      </c>
    </row>
    <row r="63">
      <c r="A63" s="6" t="s">
        <v>1059</v>
      </c>
      <c r="B63" s="16" t="s">
        <v>3241</v>
      </c>
      <c r="C63" s="16" t="s">
        <v>3242</v>
      </c>
      <c r="D63" s="16" t="s">
        <v>3243</v>
      </c>
      <c r="E63" s="16" t="s">
        <v>3244</v>
      </c>
      <c r="F63" s="16" t="s">
        <v>3245</v>
      </c>
      <c r="G63" s="16" t="s">
        <v>3246</v>
      </c>
      <c r="H63" s="16" t="s">
        <v>3247</v>
      </c>
      <c r="I63" s="20" t="str">
        <f t="shared" si="4"/>
        <v>JDT→LC</v>
      </c>
      <c r="J63" s="9" t="str">
        <f>IFERROR(__xludf.DUMMYFUNCTION("TEXT(VALUE(REGEXEXTRACT(B63,""^[+-]?[0-9]*\.?[0-9]+""))*100,""0.00"")&amp;"" +/- ""&amp;TEXT(VALUE(REGEXEXTRACT(B63,""[0-9]*\.?[0-9]+$""))*100,""0.00"")"),"28.45 +/- 0.60")</f>
        <v>28.45 +/- 0.60</v>
      </c>
      <c r="K63" s="9" t="str">
        <f>IFERROR(__xludf.DUMMYFUNCTION("TEXT(VALUE(REGEXEXTRACT(C63,""^[+-]?[0-9]*\.?[0-9]+""))*100,""0.00"")&amp;"" +/- ""&amp;TEXT(VALUE(REGEXEXTRACT(C63,""[0-9]*\.?[0-9]+$""))*100,""0.00"")"),"31.21 +/- 0.00")</f>
        <v>31.21 +/- 0.00</v>
      </c>
      <c r="L63" s="10" t="str">
        <f>IFERROR(__xludf.DUMMYFUNCTION("TEXT(VALUE(REGEXEXTRACT(D63,""^[+-]?[0-9]*\.?[0-9]+""))*100,""0.00"")&amp;"" +/- ""&amp;TEXT(VALUE(REGEXEXTRACT(D63,""[0-9]*\.?[0-9]+$""))*100,""0.00"")"),"34.74 +/- 0.00")</f>
        <v>34.74 +/- 0.00</v>
      </c>
      <c r="M63" s="9" t="str">
        <f>IFERROR(__xludf.DUMMYFUNCTION("TEXT(VALUE(REGEXEXTRACT(E63,""^[+-]?[0-9]*\.?[0-9]+""))*100,""0.00"")&amp;"" +/- ""&amp;TEXT(VALUE(REGEXEXTRACT(E63,""[0-9]*\.?[0-9]+$""))*100,""0.00"")"),"25.62 +/- 1.22")</f>
        <v>25.62 +/- 1.22</v>
      </c>
      <c r="N63" s="9" t="str">
        <f>IFERROR(__xludf.DUMMYFUNCTION("TEXT(VALUE(REGEXEXTRACT(F63,""^[+-]?[0-9]*\.?[0-9]+""))*100,""0.00"")&amp;"" +/- ""&amp;TEXT(VALUE(REGEXEXTRACT(F63,""[0-9]*\.?[0-9]+$""))*100,""0.00"")"),"22.99 +/- 0.74")</f>
        <v>22.99 +/- 0.74</v>
      </c>
      <c r="O63" s="9" t="str">
        <f>IFERROR(__xludf.DUMMYFUNCTION("TEXT(VALUE(REGEXEXTRACT(G63,""^[+-]?[0-9]*\.?[0-9]+""))*100,""0.00"")&amp;"" +/- ""&amp;TEXT(VALUE(REGEXEXTRACT(G63,""[0-9]*\.?[0-9]+$""))*100,""0.00"")"),"25.76 +/- 0.96")</f>
        <v>25.76 +/- 0.96</v>
      </c>
      <c r="P63" s="9" t="str">
        <f>IFERROR(__xludf.DUMMYFUNCTION("TEXT(VALUE(REGEXEXTRACT(H63,""^[+-]?[0-9]*\.?[0-9]+""))*100,""0.00"")&amp;"" +/- ""&amp;TEXT(VALUE(REGEXEXTRACT(H63,""[0-9]*\.?[0-9]+$""))*100,""0.00"")"),"28.17 +/- 0.82")</f>
        <v>28.17 +/- 0.82</v>
      </c>
    </row>
    <row r="64">
      <c r="A64" s="6" t="s">
        <v>1088</v>
      </c>
      <c r="B64" s="16" t="s">
        <v>3248</v>
      </c>
      <c r="C64" s="16" t="s">
        <v>3249</v>
      </c>
      <c r="D64" s="16" t="s">
        <v>3250</v>
      </c>
      <c r="E64" s="16" t="s">
        <v>3251</v>
      </c>
      <c r="F64" s="16" t="s">
        <v>3252</v>
      </c>
      <c r="G64" s="16" t="s">
        <v>3253</v>
      </c>
      <c r="H64" s="16" t="s">
        <v>3254</v>
      </c>
      <c r="I64" s="20" t="str">
        <f t="shared" si="4"/>
        <v>JDT→ML</v>
      </c>
      <c r="J64" s="10" t="str">
        <f>IFERROR(__xludf.DUMMYFUNCTION("TEXT(VALUE(REGEXEXTRACT(B64,""^[+-]?[0-9]*\.?[0-9]+""))*100,""0.00"")&amp;"" +/- ""&amp;TEXT(VALUE(REGEXEXTRACT(B64,""[0-9]*\.?[0-9]+$""))*100,""0.00"")"),"34.25 +/- 0.48")</f>
        <v>34.25 +/- 0.48</v>
      </c>
      <c r="K64" s="9" t="str">
        <f>IFERROR(__xludf.DUMMYFUNCTION("TEXT(VALUE(REGEXEXTRACT(C64,""^[+-]?[0-9]*\.?[0-9]+""))*100,""0.00"")&amp;"" +/- ""&amp;TEXT(VALUE(REGEXEXTRACT(C64,""[0-9]*\.?[0-9]+$""))*100,""0.00"")"),"31.79 +/- 0.00")</f>
        <v>31.79 +/- 0.00</v>
      </c>
      <c r="L64" s="9" t="str">
        <f>IFERROR(__xludf.DUMMYFUNCTION("TEXT(VALUE(REGEXEXTRACT(D64,""^[+-]?[0-9]*\.?[0-9]+""))*100,""0.00"")&amp;"" +/- ""&amp;TEXT(VALUE(REGEXEXTRACT(D64,""[0-9]*\.?[0-9]+$""))*100,""0.00"")"),"34.78 +/- 0.00")</f>
        <v>34.78 +/- 0.00</v>
      </c>
      <c r="M64" s="9" t="str">
        <f>IFERROR(__xludf.DUMMYFUNCTION("TEXT(VALUE(REGEXEXTRACT(E64,""^[+-]?[0-9]*\.?[0-9]+""))*100,""0.00"")&amp;"" +/- ""&amp;TEXT(VALUE(REGEXEXTRACT(E64,""[0-9]*\.?[0-9]+$""))*100,""0.00"")"),"32.95 +/- 1.16")</f>
        <v>32.95 +/- 1.16</v>
      </c>
      <c r="N64" s="9" t="str">
        <f>IFERROR(__xludf.DUMMYFUNCTION("TEXT(VALUE(REGEXEXTRACT(F64,""^[+-]?[0-9]*\.?[0-9]+""))*100,""0.00"")&amp;"" +/- ""&amp;TEXT(VALUE(REGEXEXTRACT(F64,""[0-9]*\.?[0-9]+$""))*100,""0.00"")"),"31.45 +/- 0.62")</f>
        <v>31.45 +/- 0.62</v>
      </c>
      <c r="O64" s="9" t="str">
        <f>IFERROR(__xludf.DUMMYFUNCTION("TEXT(VALUE(REGEXEXTRACT(G64,""^[+-]?[0-9]*\.?[0-9]+""))*100,""0.00"")&amp;"" +/- ""&amp;TEXT(VALUE(REGEXEXTRACT(G64,""[0-9]*\.?[0-9]+$""))*100,""0.00"")"),"32.85 +/- 0.90")</f>
        <v>32.85 +/- 0.90</v>
      </c>
      <c r="P64" s="9" t="str">
        <f>IFERROR(__xludf.DUMMYFUNCTION("TEXT(VALUE(REGEXEXTRACT(H64,""^[+-]?[0-9]*\.?[0-9]+""))*100,""0.00"")&amp;"" +/- ""&amp;TEXT(VALUE(REGEXEXTRACT(H64,""[0-9]*\.?[0-9]+$""))*100,""0.00"")"),"26.38 +/- 0.61")</f>
        <v>26.38 +/- 0.61</v>
      </c>
    </row>
    <row r="65">
      <c r="A65" s="6" t="s">
        <v>1097</v>
      </c>
      <c r="B65" s="16" t="s">
        <v>3262</v>
      </c>
      <c r="C65" s="16" t="s">
        <v>3263</v>
      </c>
      <c r="D65" s="16" t="s">
        <v>3264</v>
      </c>
      <c r="E65" s="16" t="s">
        <v>3265</v>
      </c>
      <c r="F65" s="16" t="s">
        <v>3266</v>
      </c>
      <c r="G65" s="16" t="s">
        <v>3267</v>
      </c>
      <c r="H65" s="16" t="s">
        <v>3268</v>
      </c>
      <c r="I65" s="20" t="str">
        <f t="shared" si="4"/>
        <v>JDT→PDE</v>
      </c>
      <c r="J65" s="9" t="str">
        <f>IFERROR(__xludf.DUMMYFUNCTION("TEXT(VALUE(REGEXEXTRACT(B65,""^[+-]?[0-9]*\.?[0-9]+""))*100,""0.00"")&amp;"" +/- ""&amp;TEXT(VALUE(REGEXEXTRACT(B65,""[0-9]*\.?[0-9]+$""))*100,""0.00"")"),"39.00 +/- 0.44")</f>
        <v>39.00 +/- 0.44</v>
      </c>
      <c r="K65" s="9" t="str">
        <f>IFERROR(__xludf.DUMMYFUNCTION("TEXT(VALUE(REGEXEXTRACT(C65,""^[+-]?[0-9]*\.?[0-9]+""))*100,""0.00"")&amp;"" +/- ""&amp;TEXT(VALUE(REGEXEXTRACT(C65,""[0-9]*\.?[0-9]+$""))*100,""0.00"")"),"34.97 +/- 0.00")</f>
        <v>34.97 +/- 0.00</v>
      </c>
      <c r="L65" s="10" t="str">
        <f>IFERROR(__xludf.DUMMYFUNCTION("TEXT(VALUE(REGEXEXTRACT(D65,""^[+-]?[0-9]*\.?[0-9]+""))*100,""0.00"")&amp;"" +/- ""&amp;TEXT(VALUE(REGEXEXTRACT(D65,""[0-9]*\.?[0-9]+$""))*100,""0.00"")"),"37.98 +/- 0.00")</f>
        <v>37.98 +/- 0.00</v>
      </c>
      <c r="M65" s="9" t="str">
        <f>IFERROR(__xludf.DUMMYFUNCTION("TEXT(VALUE(REGEXEXTRACT(E65,""^[+-]?[0-9]*\.?[0-9]+""))*100,""0.00"")&amp;"" +/- ""&amp;TEXT(VALUE(REGEXEXTRACT(E65,""[0-9]*\.?[0-9]+$""))*100,""0.00"")"),"35.77 +/- 0.96")</f>
        <v>35.77 +/- 0.96</v>
      </c>
      <c r="N65" s="9" t="str">
        <f>IFERROR(__xludf.DUMMYFUNCTION("TEXT(VALUE(REGEXEXTRACT(F65,""^[+-]?[0-9]*\.?[0-9]+""))*100,""0.00"")&amp;"" +/- ""&amp;TEXT(VALUE(REGEXEXTRACT(F65,""[0-9]*\.?[0-9]+$""))*100,""0.00"")"),"35.84 +/- 0.44")</f>
        <v>35.84 +/- 0.44</v>
      </c>
      <c r="O65" s="9" t="str">
        <f>IFERROR(__xludf.DUMMYFUNCTION("TEXT(VALUE(REGEXEXTRACT(G65,""^[+-]?[0-9]*\.?[0-9]+""))*100,""0.00"")&amp;"" +/- ""&amp;TEXT(VALUE(REGEXEXTRACT(G65,""[0-9]*\.?[0-9]+$""))*100,""0.00"")"),"36.80 +/- 0.60")</f>
        <v>36.80 +/- 0.60</v>
      </c>
      <c r="P65" s="9" t="str">
        <f>IFERROR(__xludf.DUMMYFUNCTION("TEXT(VALUE(REGEXEXTRACT(H65,""^[+-]?[0-9]*\.?[0-9]+""))*100,""0.00"")&amp;"" +/- ""&amp;TEXT(VALUE(REGEXEXTRACT(H65,""[0-9]*\.?[0-9]+$""))*100,""0.00"")"),"31.26 +/- 0.49")</f>
        <v>31.26 +/- 0.49</v>
      </c>
    </row>
    <row r="66">
      <c r="A66" s="6" t="s">
        <v>1105</v>
      </c>
      <c r="B66" s="16" t="s">
        <v>3271</v>
      </c>
      <c r="C66" s="16" t="s">
        <v>3273</v>
      </c>
      <c r="D66" s="16" t="s">
        <v>3275</v>
      </c>
      <c r="E66" s="16" t="s">
        <v>3277</v>
      </c>
      <c r="F66" s="16" t="s">
        <v>3279</v>
      </c>
      <c r="G66" s="16" t="s">
        <v>3280</v>
      </c>
      <c r="H66" s="16" t="s">
        <v>3282</v>
      </c>
      <c r="I66" s="20" t="str">
        <f t="shared" si="4"/>
        <v>LC→EQ</v>
      </c>
      <c r="J66" s="9" t="str">
        <f>IFERROR(__xludf.DUMMYFUNCTION("TEXT(VALUE(REGEXEXTRACT(B66,""^[+-]?[0-9]*\.?[0-9]+""))*100,""0.00"")&amp;"" +/- ""&amp;TEXT(VALUE(REGEXEXTRACT(B66,""[0-9]*\.?[0-9]+$""))*100,""0.00"")"),"48.47 +/- 1.07")</f>
        <v>48.47 +/- 1.07</v>
      </c>
      <c r="K66" s="9" t="str">
        <f>IFERROR(__xludf.DUMMYFUNCTION("TEXT(VALUE(REGEXEXTRACT(C66,""^[+-]?[0-9]*\.?[0-9]+""))*100,""0.00"")&amp;"" +/- ""&amp;TEXT(VALUE(REGEXEXTRACT(C66,""[0-9]*\.?[0-9]+$""))*100,""0.00"")"),"25.00 +/- 0.00")</f>
        <v>25.00 +/- 0.00</v>
      </c>
      <c r="L66" s="9" t="str">
        <f>IFERROR(__xludf.DUMMYFUNCTION("TEXT(VALUE(REGEXEXTRACT(D66,""^[+-]?[0-9]*\.?[0-9]+""))*100,""0.00"")&amp;"" +/- ""&amp;TEXT(VALUE(REGEXEXTRACT(D66,""[0-9]*\.?[0-9]+$""))*100,""0.00"")"),"38.10 +/- 0.00")</f>
        <v>38.10 +/- 0.00</v>
      </c>
      <c r="M66" s="10" t="str">
        <f>IFERROR(__xludf.DUMMYFUNCTION("TEXT(VALUE(REGEXEXTRACT(E66,""^[+-]?[0-9]*\.?[0-9]+""))*100,""0.00"")&amp;"" +/- ""&amp;TEXT(VALUE(REGEXEXTRACT(E66,""[0-9]*\.?[0-9]+$""))*100,""0.00"")"),"51.55 +/- 1.25")</f>
        <v>51.55 +/- 1.25</v>
      </c>
      <c r="N66" s="9" t="str">
        <f>IFERROR(__xludf.DUMMYFUNCTION("TEXT(VALUE(REGEXEXTRACT(F66,""^[+-]?[0-9]*\.?[0-9]+""))*100,""0.00"")&amp;"" +/- ""&amp;TEXT(VALUE(REGEXEXTRACT(F66,""[0-9]*\.?[0-9]+$""))*100,""0.00"")"),"49.56 +/- 1.03")</f>
        <v>49.56 +/- 1.03</v>
      </c>
      <c r="O66" s="9" t="str">
        <f>IFERROR(__xludf.DUMMYFUNCTION("TEXT(VALUE(REGEXEXTRACT(G66,""^[+-]?[0-9]*\.?[0-9]+""))*100,""0.00"")&amp;"" +/- ""&amp;TEXT(VALUE(REGEXEXTRACT(G66,""[0-9]*\.?[0-9]+$""))*100,""0.00"")"),"50.44 +/- 1.47")</f>
        <v>50.44 +/- 1.47</v>
      </c>
      <c r="P66" s="9" t="str">
        <f>IFERROR(__xludf.DUMMYFUNCTION("TEXT(VALUE(REGEXEXTRACT(H66,""^[+-]?[0-9]*\.?[0-9]+""))*100,""0.00"")&amp;"" +/- ""&amp;TEXT(VALUE(REGEXEXTRACT(H66,""[0-9]*\.?[0-9]+$""))*100,""0.00"")"),"47.10 +/- 0.67")</f>
        <v>47.10 +/- 0.67</v>
      </c>
    </row>
    <row r="67">
      <c r="A67" s="6" t="s">
        <v>1115</v>
      </c>
      <c r="B67" s="16" t="s">
        <v>3288</v>
      </c>
      <c r="C67" s="16" t="s">
        <v>3289</v>
      </c>
      <c r="D67" s="16" t="s">
        <v>2599</v>
      </c>
      <c r="E67" s="16" t="s">
        <v>3290</v>
      </c>
      <c r="F67" s="16" t="s">
        <v>3291</v>
      </c>
      <c r="G67" s="16" t="s">
        <v>3292</v>
      </c>
      <c r="H67" s="16" t="s">
        <v>3293</v>
      </c>
      <c r="I67" s="20" t="str">
        <f t="shared" si="4"/>
        <v>LC→JDT</v>
      </c>
      <c r="J67" s="10" t="str">
        <f>IFERROR(__xludf.DUMMYFUNCTION("TEXT(VALUE(REGEXEXTRACT(B67,""^[+-]?[0-9]*\.?[0-9]+""))*100,""0.00"")&amp;"" +/- ""&amp;TEXT(VALUE(REGEXEXTRACT(B67,""[0-9]*\.?[0-9]+$""))*100,""0.00"")"),"57.36 +/- 0.73")</f>
        <v>57.36 +/- 0.73</v>
      </c>
      <c r="K67" s="9" t="str">
        <f>IFERROR(__xludf.DUMMYFUNCTION("TEXT(VALUE(REGEXEXTRACT(C67,""^[+-]?[0-9]*\.?[0-9]+""))*100,""0.00"")&amp;"" +/- ""&amp;TEXT(VALUE(REGEXEXTRACT(C67,""[0-9]*\.?[0-9]+$""))*100,""0.00"")"),"44.21 +/- 0.00")</f>
        <v>44.21 +/- 0.00</v>
      </c>
      <c r="L67" s="9" t="str">
        <f>IFERROR(__xludf.DUMMYFUNCTION("TEXT(VALUE(REGEXEXTRACT(D67,""^[+-]?[0-9]*\.?[0-9]+""))*100,""0.00"")&amp;"" +/- ""&amp;TEXT(VALUE(REGEXEXTRACT(D67,""[0-9]*\.?[0-9]+$""))*100,""0.00"")"),"14.29 +/- 0.00")</f>
        <v>14.29 +/- 0.00</v>
      </c>
      <c r="M67" s="9" t="str">
        <f>IFERROR(__xludf.DUMMYFUNCTION("TEXT(VALUE(REGEXEXTRACT(E67,""^[+-]?[0-9]*\.?[0-9]+""))*100,""0.00"")&amp;"" +/- ""&amp;TEXT(VALUE(REGEXEXTRACT(E67,""[0-9]*\.?[0-9]+$""))*100,""0.00"")"),"54.07 +/- 0.74")</f>
        <v>54.07 +/- 0.74</v>
      </c>
      <c r="N67" s="9" t="str">
        <f>IFERROR(__xludf.DUMMYFUNCTION("TEXT(VALUE(REGEXEXTRACT(F67,""^[+-]?[0-9]*\.?[0-9]+""))*100,""0.00"")&amp;"" +/- ""&amp;TEXT(VALUE(REGEXEXTRACT(F67,""[0-9]*\.?[0-9]+$""))*100,""0.00"")"),"51.81 +/- 0.79")</f>
        <v>51.81 +/- 0.79</v>
      </c>
      <c r="O67" s="9" t="str">
        <f>IFERROR(__xludf.DUMMYFUNCTION("TEXT(VALUE(REGEXEXTRACT(G67,""^[+-]?[0-9]*\.?[0-9]+""))*100,""0.00"")&amp;"" +/- ""&amp;TEXT(VALUE(REGEXEXTRACT(G67,""[0-9]*\.?[0-9]+$""))*100,""0.00"")"),"54.40 +/- 0.97")</f>
        <v>54.40 +/- 0.97</v>
      </c>
      <c r="P67" s="9" t="str">
        <f>IFERROR(__xludf.DUMMYFUNCTION("TEXT(VALUE(REGEXEXTRACT(H67,""^[+-]?[0-9]*\.?[0-9]+""))*100,""0.00"")&amp;"" +/- ""&amp;TEXT(VALUE(REGEXEXTRACT(H67,""[0-9]*\.?[0-9]+$""))*100,""0.00"")"),"47.28 +/- 0.55")</f>
        <v>47.28 +/- 0.55</v>
      </c>
    </row>
    <row r="68">
      <c r="A68" s="6" t="s">
        <v>1125</v>
      </c>
      <c r="B68" s="16" t="s">
        <v>3296</v>
      </c>
      <c r="C68" s="16" t="s">
        <v>3297</v>
      </c>
      <c r="D68" s="16" t="s">
        <v>3298</v>
      </c>
      <c r="E68" s="16" t="s">
        <v>3299</v>
      </c>
      <c r="F68" s="16" t="s">
        <v>3300</v>
      </c>
      <c r="G68" s="16" t="s">
        <v>3301</v>
      </c>
      <c r="H68" s="16" t="s">
        <v>1502</v>
      </c>
      <c r="I68" s="20" t="str">
        <f t="shared" si="4"/>
        <v>LC→ML</v>
      </c>
      <c r="J68" s="9" t="str">
        <f>IFERROR(__xludf.DUMMYFUNCTION("TEXT(VALUE(REGEXEXTRACT(B68,""^[+-]?[0-9]*\.?[0-9]+""))*100,""0.00"")&amp;"" +/- ""&amp;TEXT(VALUE(REGEXEXTRACT(B68,""[0-9]*\.?[0-9]+$""))*100,""0.00"")"),"28.27 +/- 0.70")</f>
        <v>28.27 +/- 0.70</v>
      </c>
      <c r="K68" s="9" t="str">
        <f>IFERROR(__xludf.DUMMYFUNCTION("TEXT(VALUE(REGEXEXTRACT(C68,""^[+-]?[0-9]*\.?[0-9]+""))*100,""0.00"")&amp;"" +/- ""&amp;TEXT(VALUE(REGEXEXTRACT(C68,""[0-9]*\.?[0-9]+$""))*100,""0.00"")"),"24.26 +/- 0.00")</f>
        <v>24.26 +/- 0.00</v>
      </c>
      <c r="L68" s="10" t="str">
        <f>IFERROR(__xludf.DUMMYFUNCTION("TEXT(VALUE(REGEXEXTRACT(D68,""^[+-]?[0-9]*\.?[0-9]+""))*100,""0.00"")&amp;"" +/- ""&amp;TEXT(VALUE(REGEXEXTRACT(D68,""[0-9]*\.?[0-9]+$""))*100,""0.00"")"),"29.98 +/- 0.00")</f>
        <v>29.98 +/- 0.00</v>
      </c>
      <c r="M68" s="9" t="str">
        <f>IFERROR(__xludf.DUMMYFUNCTION("TEXT(VALUE(REGEXEXTRACT(E68,""^[+-]?[0-9]*\.?[0-9]+""))*100,""0.00"")&amp;"" +/- ""&amp;TEXT(VALUE(REGEXEXTRACT(E68,""[0-9]*\.?[0-9]+$""))*100,""0.00"")"),"26.49 +/- 1.02")</f>
        <v>26.49 +/- 1.02</v>
      </c>
      <c r="N68" s="9" t="str">
        <f>IFERROR(__xludf.DUMMYFUNCTION("TEXT(VALUE(REGEXEXTRACT(F68,""^[+-]?[0-9]*\.?[0-9]+""))*100,""0.00"")&amp;"" +/- ""&amp;TEXT(VALUE(REGEXEXTRACT(F68,""[0-9]*\.?[0-9]+$""))*100,""0.00"")"),"23.95 +/- 0.34")</f>
        <v>23.95 +/- 0.34</v>
      </c>
      <c r="O68" s="9" t="str">
        <f>IFERROR(__xludf.DUMMYFUNCTION("TEXT(VALUE(REGEXEXTRACT(G68,""^[+-]?[0-9]*\.?[0-9]+""))*100,""0.00"")&amp;"" +/- ""&amp;TEXT(VALUE(REGEXEXTRACT(G68,""[0-9]*\.?[0-9]+$""))*100,""0.00"")"),"26.62 +/- 1.01")</f>
        <v>26.62 +/- 1.01</v>
      </c>
      <c r="P68" s="9" t="str">
        <f>IFERROR(__xludf.DUMMYFUNCTION("TEXT(VALUE(REGEXEXTRACT(H68,""^[+-]?[0-9]*\.?[0-9]+""))*100,""0.00"")&amp;"" +/- ""&amp;TEXT(VALUE(REGEXEXTRACT(H68,""[0-9]*\.?[0-9]+$""))*100,""0.00"")"),"28.19 +/- 0.71")</f>
        <v>28.19 +/- 0.71</v>
      </c>
    </row>
    <row r="69">
      <c r="A69" s="6" t="s">
        <v>1136</v>
      </c>
      <c r="B69" s="16" t="s">
        <v>3302</v>
      </c>
      <c r="C69" s="16" t="s">
        <v>3303</v>
      </c>
      <c r="D69" s="16" t="s">
        <v>3304</v>
      </c>
      <c r="E69" s="16" t="s">
        <v>3305</v>
      </c>
      <c r="F69" s="16" t="s">
        <v>3306</v>
      </c>
      <c r="G69" s="16" t="s">
        <v>3307</v>
      </c>
      <c r="H69" s="16" t="s">
        <v>3308</v>
      </c>
      <c r="I69" s="20" t="str">
        <f t="shared" si="4"/>
        <v>LC→PDE</v>
      </c>
      <c r="J69" s="10" t="str">
        <f>IFERROR(__xludf.DUMMYFUNCTION("TEXT(VALUE(REGEXEXTRACT(B69,""^[+-]?[0-9]*\.?[0-9]+""))*100,""0.00"")&amp;"" +/- ""&amp;TEXT(VALUE(REGEXEXTRACT(B69,""[0-9]*\.?[0-9]+$""))*100,""0.00"")"),"35.76 +/- 0.28")</f>
        <v>35.76 +/- 0.28</v>
      </c>
      <c r="K69" s="9" t="str">
        <f>IFERROR(__xludf.DUMMYFUNCTION("TEXT(VALUE(REGEXEXTRACT(C69,""^[+-]?[0-9]*\.?[0-9]+""))*100,""0.00"")&amp;"" +/- ""&amp;TEXT(VALUE(REGEXEXTRACT(C69,""[0-9]*\.?[0-9]+$""))*100,""0.00"")"),"33.44 +/- 0.00")</f>
        <v>33.44 +/- 0.00</v>
      </c>
      <c r="L69" s="9" t="str">
        <f>IFERROR(__xludf.DUMMYFUNCTION("TEXT(VALUE(REGEXEXTRACT(D69,""^[+-]?[0-9]*\.?[0-9]+""))*100,""0.00"")&amp;"" +/- ""&amp;TEXT(VALUE(REGEXEXTRACT(D69,""[0-9]*\.?[0-9]+$""))*100,""0.00"")"),"37.27 +/- 0.00")</f>
        <v>37.27 +/- 0.00</v>
      </c>
      <c r="M69" s="9" t="str">
        <f>IFERROR(__xludf.DUMMYFUNCTION("TEXT(VALUE(REGEXEXTRACT(E69,""^[+-]?[0-9]*\.?[0-9]+""))*100,""0.00"")&amp;"" +/- ""&amp;TEXT(VALUE(REGEXEXTRACT(E69,""[0-9]*\.?[0-9]+$""))*100,""0.00"")"),"33.46 +/- 0.85")</f>
        <v>33.46 +/- 0.85</v>
      </c>
      <c r="N69" s="9" t="str">
        <f>IFERROR(__xludf.DUMMYFUNCTION("TEXT(VALUE(REGEXEXTRACT(F69,""^[+-]?[0-9]*\.?[0-9]+""))*100,""0.00"")&amp;"" +/- ""&amp;TEXT(VALUE(REGEXEXTRACT(F69,""[0-9]*\.?[0-9]+$""))*100,""0.00"")"),"32.14 +/- 0.54")</f>
        <v>32.14 +/- 0.54</v>
      </c>
      <c r="O69" s="9" t="str">
        <f>IFERROR(__xludf.DUMMYFUNCTION("TEXT(VALUE(REGEXEXTRACT(G69,""^[+-]?[0-9]*\.?[0-9]+""))*100,""0.00"")&amp;"" +/- ""&amp;TEXT(VALUE(REGEXEXTRACT(G69,""[0-9]*\.?[0-9]+$""))*100,""0.00"")"),"33.46 +/- 0.76")</f>
        <v>33.46 +/- 0.76</v>
      </c>
      <c r="P69" s="9" t="str">
        <f>IFERROR(__xludf.DUMMYFUNCTION("TEXT(VALUE(REGEXEXTRACT(H69,""^[+-]?[0-9]*\.?[0-9]+""))*100,""0.00"")&amp;"" +/- ""&amp;TEXT(VALUE(REGEXEXTRACT(H69,""[0-9]*\.?[0-9]+$""))*100,""0.00"")"),"33.82 +/- 0.38")</f>
        <v>33.82 +/- 0.38</v>
      </c>
    </row>
    <row r="70">
      <c r="A70" s="6" t="s">
        <v>1235</v>
      </c>
      <c r="B70" s="16" t="s">
        <v>3309</v>
      </c>
      <c r="C70" s="16" t="s">
        <v>3310</v>
      </c>
      <c r="D70" s="16" t="s">
        <v>3311</v>
      </c>
      <c r="E70" s="16" t="s">
        <v>3312</v>
      </c>
      <c r="F70" s="16" t="s">
        <v>3313</v>
      </c>
      <c r="G70" s="16" t="s">
        <v>3314</v>
      </c>
      <c r="H70" s="16" t="s">
        <v>3315</v>
      </c>
      <c r="I70" s="20" t="str">
        <f t="shared" si="4"/>
        <v>ML→EQ</v>
      </c>
      <c r="J70" s="9" t="str">
        <f>IFERROR(__xludf.DUMMYFUNCTION("TEXT(VALUE(REGEXEXTRACT(B70,""^[+-]?[0-9]*\.?[0-9]+""))*100,""0.00"")&amp;"" +/- ""&amp;TEXT(VALUE(REGEXEXTRACT(B70,""[0-9]*\.?[0-9]+$""))*100,""0.00"")"),"38.14 +/- 1.18")</f>
        <v>38.14 +/- 1.18</v>
      </c>
      <c r="K70" s="9" t="str">
        <f>IFERROR(__xludf.DUMMYFUNCTION("TEXT(VALUE(REGEXEXTRACT(C70,""^[+-]?[0-9]*\.?[0-9]+""))*100,""0.00"")&amp;"" +/- ""&amp;TEXT(VALUE(REGEXEXTRACT(C70,""[0-9]*\.?[0-9]+$""))*100,""0.00"")"),"16.67 +/- 0.00")</f>
        <v>16.67 +/- 0.00</v>
      </c>
      <c r="L70" s="9" t="str">
        <f>IFERROR(__xludf.DUMMYFUNCTION("TEXT(VALUE(REGEXEXTRACT(D70,""^[+-]?[0-9]*\.?[0-9]+""))*100,""0.00"")&amp;"" +/- ""&amp;TEXT(VALUE(REGEXEXTRACT(D70,""[0-9]*\.?[0-9]+$""))*100,""0.00"")"),"12.86 +/- 0.00")</f>
        <v>12.86 +/- 0.00</v>
      </c>
      <c r="M70" s="9" t="str">
        <f>IFERROR(__xludf.DUMMYFUNCTION("TEXT(VALUE(REGEXEXTRACT(E70,""^[+-]?[0-9]*\.?[0-9]+""))*100,""0.00"")&amp;"" +/- ""&amp;TEXT(VALUE(REGEXEXTRACT(E70,""[0-9]*\.?[0-9]+$""))*100,""0.00"")"),"46.57 +/- 1.61")</f>
        <v>46.57 +/- 1.61</v>
      </c>
      <c r="N70" s="9" t="str">
        <f>IFERROR(__xludf.DUMMYFUNCTION("TEXT(VALUE(REGEXEXTRACT(F70,""^[+-]?[0-9]*\.?[0-9]+""))*100,""0.00"")&amp;"" +/- ""&amp;TEXT(VALUE(REGEXEXTRACT(F70,""[0-9]*\.?[0-9]+$""))*100,""0.00"")"),"42.53 +/- 0.86")</f>
        <v>42.53 +/- 0.86</v>
      </c>
      <c r="O70" s="9" t="str">
        <f>IFERROR(__xludf.DUMMYFUNCTION("TEXT(VALUE(REGEXEXTRACT(G70,""^[+-]?[0-9]*\.?[0-9]+""))*100,""0.00"")&amp;"" +/- ""&amp;TEXT(VALUE(REGEXEXTRACT(G70,""[0-9]*\.?[0-9]+$""))*100,""0.00"")"),"43.77 +/- 1.41")</f>
        <v>43.77 +/- 1.41</v>
      </c>
      <c r="P70" s="10" t="str">
        <f>IFERROR(__xludf.DUMMYFUNCTION("TEXT(VALUE(REGEXEXTRACT(H70,""^[+-]?[0-9]*\.?[0-9]+""))*100,""0.00"")&amp;"" +/- ""&amp;TEXT(VALUE(REGEXEXTRACT(H70,""[0-9]*\.?[0-9]+$""))*100,""0.00"")"),"45.11 +/- 0.86")</f>
        <v>45.11 +/- 0.86</v>
      </c>
    </row>
    <row r="71">
      <c r="A71" s="6" t="s">
        <v>1243</v>
      </c>
      <c r="B71" s="16" t="s">
        <v>3316</v>
      </c>
      <c r="C71" s="16" t="s">
        <v>3317</v>
      </c>
      <c r="D71" s="16" t="s">
        <v>3318</v>
      </c>
      <c r="E71" s="16" t="s">
        <v>3320</v>
      </c>
      <c r="F71" s="16" t="s">
        <v>3321</v>
      </c>
      <c r="G71" s="16" t="s">
        <v>3323</v>
      </c>
      <c r="H71" s="16" t="s">
        <v>3325</v>
      </c>
      <c r="I71" s="20" t="str">
        <f t="shared" si="4"/>
        <v>ML→JDT</v>
      </c>
      <c r="J71" s="10" t="str">
        <f>IFERROR(__xludf.DUMMYFUNCTION("TEXT(VALUE(REGEXEXTRACT(B71,""^[+-]?[0-9]*\.?[0-9]+""))*100,""0.00"")&amp;"" +/- ""&amp;TEXT(VALUE(REGEXEXTRACT(B71,""[0-9]*\.?[0-9]+$""))*100,""0.00"")"),"46.63 +/- 0.74")</f>
        <v>46.63 +/- 0.74</v>
      </c>
      <c r="K71" s="9" t="str">
        <f>IFERROR(__xludf.DUMMYFUNCTION("TEXT(VALUE(REGEXEXTRACT(C71,""^[+-]?[0-9]*\.?[0-9]+""))*100,""0.00"")&amp;"" +/- ""&amp;TEXT(VALUE(REGEXEXTRACT(C71,""[0-9]*\.?[0-9]+$""))*100,""0.00"")"),"26.56 +/- 0.00")</f>
        <v>26.56 +/- 0.00</v>
      </c>
      <c r="L71" s="9" t="str">
        <f>IFERROR(__xludf.DUMMYFUNCTION("TEXT(VALUE(REGEXEXTRACT(D71,""^[+-]?[0-9]*\.?[0-9]+""))*100,""0.00"")&amp;"" +/- ""&amp;TEXT(VALUE(REGEXEXTRACT(D71,""[0-9]*\.?[0-9]+$""))*100,""0.00"")"),"35.25 +/- 0.00")</f>
        <v>35.25 +/- 0.00</v>
      </c>
      <c r="M71" s="9" t="str">
        <f>IFERROR(__xludf.DUMMYFUNCTION("TEXT(VALUE(REGEXEXTRACT(E71,""^[+-]?[0-9]*\.?[0-9]+""))*100,""0.00"")&amp;"" +/- ""&amp;TEXT(VALUE(REGEXEXTRACT(E71,""[0-9]*\.?[0-9]+$""))*100,""0.00"")"),"42.84 +/- 0.87")</f>
        <v>42.84 +/- 0.87</v>
      </c>
      <c r="N71" s="9" t="str">
        <f>IFERROR(__xludf.DUMMYFUNCTION("TEXT(VALUE(REGEXEXTRACT(F71,""^[+-]?[0-9]*\.?[0-9]+""))*100,""0.00"")&amp;"" +/- ""&amp;TEXT(VALUE(REGEXEXTRACT(F71,""[0-9]*\.?[0-9]+$""))*100,""0.00"")"),"38.42 +/- 0.75")</f>
        <v>38.42 +/- 0.75</v>
      </c>
      <c r="O71" s="9" t="str">
        <f>IFERROR(__xludf.DUMMYFUNCTION("TEXT(VALUE(REGEXEXTRACT(G71,""^[+-]?[0-9]*\.?[0-9]+""))*100,""0.00"")&amp;"" +/- ""&amp;TEXT(VALUE(REGEXEXTRACT(G71,""[0-9]*\.?[0-9]+$""))*100,""0.00"")"),"40.60 +/- 0.96")</f>
        <v>40.60 +/- 0.96</v>
      </c>
      <c r="P71" s="9" t="str">
        <f>IFERROR(__xludf.DUMMYFUNCTION("TEXT(VALUE(REGEXEXTRACT(H71,""^[+-]?[0-9]*\.?[0-9]+""))*100,""0.00"")&amp;"" +/- ""&amp;TEXT(VALUE(REGEXEXTRACT(H71,""[0-9]*\.?[0-9]+$""))*100,""0.00"")"),"34.51 +/- 0.95")</f>
        <v>34.51 +/- 0.95</v>
      </c>
    </row>
    <row r="72">
      <c r="A72" s="6" t="s">
        <v>1258</v>
      </c>
      <c r="B72" s="16" t="s">
        <v>3330</v>
      </c>
      <c r="C72" s="16" t="s">
        <v>3331</v>
      </c>
      <c r="D72" s="16" t="s">
        <v>3332</v>
      </c>
      <c r="E72" s="16" t="s">
        <v>3333</v>
      </c>
      <c r="F72" s="16" t="s">
        <v>3334</v>
      </c>
      <c r="G72" s="16" t="s">
        <v>3335</v>
      </c>
      <c r="H72" s="16" t="s">
        <v>3336</v>
      </c>
      <c r="I72" s="20" t="str">
        <f t="shared" si="4"/>
        <v>ML→LC</v>
      </c>
      <c r="J72" s="10" t="str">
        <f>IFERROR(__xludf.DUMMYFUNCTION("TEXT(VALUE(REGEXEXTRACT(B72,""^[+-]?[0-9]*\.?[0-9]+""))*100,""0.00"")&amp;"" +/- ""&amp;TEXT(VALUE(REGEXEXTRACT(B72,""[0-9]*\.?[0-9]+$""))*100,""0.00"")"),"28.03 +/- 0.81")</f>
        <v>28.03 +/- 0.81</v>
      </c>
      <c r="K72" s="9" t="str">
        <f>IFERROR(__xludf.DUMMYFUNCTION("TEXT(VALUE(REGEXEXTRACT(C72,""^[+-]?[0-9]*\.?[0-9]+""))*100,""0.00"")&amp;"" +/- ""&amp;TEXT(VALUE(REGEXEXTRACT(C72,""[0-9]*\.?[0-9]+$""))*100,""0.00"")"),"27.18 +/- 0.00")</f>
        <v>27.18 +/- 0.00</v>
      </c>
      <c r="L72" s="9" t="str">
        <f>IFERROR(__xludf.DUMMYFUNCTION("TEXT(VALUE(REGEXEXTRACT(D72,""^[+-]?[0-9]*\.?[0-9]+""))*100,""0.00"")&amp;"" +/- ""&amp;TEXT(VALUE(REGEXEXTRACT(D72,""[0-9]*\.?[0-9]+$""))*100,""0.00"")"),"26.26 +/- 0.00")</f>
        <v>26.26 +/- 0.00</v>
      </c>
      <c r="M72" s="9" t="str">
        <f>IFERROR(__xludf.DUMMYFUNCTION("TEXT(VALUE(REGEXEXTRACT(E72,""^[+-]?[0-9]*\.?[0-9]+""))*100,""0.00"")&amp;"" +/- ""&amp;TEXT(VALUE(REGEXEXTRACT(E72,""[0-9]*\.?[0-9]+$""))*100,""0.00"")"),"24.92 +/- 1.29")</f>
        <v>24.92 +/- 1.29</v>
      </c>
      <c r="N72" s="9" t="str">
        <f>IFERROR(__xludf.DUMMYFUNCTION("TEXT(VALUE(REGEXEXTRACT(F72,""^[+-]?[0-9]*\.?[0-9]+""))*100,""0.00"")&amp;"" +/- ""&amp;TEXT(VALUE(REGEXEXTRACT(F72,""[0-9]*\.?[0-9]+$""))*100,""0.00"")"),"24.28 +/- 0.48")</f>
        <v>24.28 +/- 0.48</v>
      </c>
      <c r="O72" s="9" t="str">
        <f>IFERROR(__xludf.DUMMYFUNCTION("TEXT(VALUE(REGEXEXTRACT(G72,""^[+-]?[0-9]*\.?[0-9]+""))*100,""0.00"")&amp;"" +/- ""&amp;TEXT(VALUE(REGEXEXTRACT(G72,""[0-9]*\.?[0-9]+$""))*100,""0.00"")"),"23.80 +/- 1.21")</f>
        <v>23.80 +/- 1.21</v>
      </c>
      <c r="P72" s="9" t="str">
        <f>IFERROR(__xludf.DUMMYFUNCTION("TEXT(VALUE(REGEXEXTRACT(H72,""^[+-]?[0-9]*\.?[0-9]+""))*100,""0.00"")&amp;"" +/- ""&amp;TEXT(VALUE(REGEXEXTRACT(H72,""[0-9]*\.?[0-9]+$""))*100,""0.00"")"),"18.69 +/- 0.94")</f>
        <v>18.69 +/- 0.94</v>
      </c>
    </row>
    <row r="73">
      <c r="A73" s="6" t="s">
        <v>1273</v>
      </c>
      <c r="B73" s="16" t="s">
        <v>3344</v>
      </c>
      <c r="C73" s="16" t="s">
        <v>3345</v>
      </c>
      <c r="D73" s="16" t="s">
        <v>3346</v>
      </c>
      <c r="E73" s="16" t="s">
        <v>3347</v>
      </c>
      <c r="F73" s="16" t="s">
        <v>3348</v>
      </c>
      <c r="G73" s="16" t="s">
        <v>3349</v>
      </c>
      <c r="H73" s="16" t="s">
        <v>3350</v>
      </c>
      <c r="I73" s="20" t="str">
        <f t="shared" si="4"/>
        <v>ML→PDE</v>
      </c>
      <c r="J73" s="10" t="str">
        <f>IFERROR(__xludf.DUMMYFUNCTION("TEXT(VALUE(REGEXEXTRACT(B73,""^[+-]?[0-9]*\.?[0-9]+""))*100,""0.00"")&amp;"" +/- ""&amp;TEXT(VALUE(REGEXEXTRACT(B73,""[0-9]*\.?[0-9]+$""))*100,""0.00"")"),"35.71 +/- 0.42")</f>
        <v>35.71 +/- 0.42</v>
      </c>
      <c r="K73" s="9" t="str">
        <f>IFERROR(__xludf.DUMMYFUNCTION("TEXT(VALUE(REGEXEXTRACT(C73,""^[+-]?[0-9]*\.?[0-9]+""))*100,""0.00"")&amp;"" +/- ""&amp;TEXT(VALUE(REGEXEXTRACT(C73,""[0-9]*\.?[0-9]+$""))*100,""0.00"")"),"24.14 +/- 0.00")</f>
        <v>24.14 +/- 0.00</v>
      </c>
      <c r="L73" s="9" t="str">
        <f>IFERROR(__xludf.DUMMYFUNCTION("TEXT(VALUE(REGEXEXTRACT(D73,""^[+-]?[0-9]*\.?[0-9]+""))*100,""0.00"")&amp;"" +/- ""&amp;TEXT(VALUE(REGEXEXTRACT(D73,""[0-9]*\.?[0-9]+$""))*100,""0.00"")"),"30.67 +/- 0.00")</f>
        <v>30.67 +/- 0.00</v>
      </c>
      <c r="M73" s="9" t="str">
        <f>IFERROR(__xludf.DUMMYFUNCTION("TEXT(VALUE(REGEXEXTRACT(E73,""^[+-]?[0-9]*\.?[0-9]+""))*100,""0.00"")&amp;"" +/- ""&amp;TEXT(VALUE(REGEXEXTRACT(E73,""[0-9]*\.?[0-9]+$""))*100,""0.00"")"),"32.09 +/- 0.89")</f>
        <v>32.09 +/- 0.89</v>
      </c>
      <c r="N73" s="9" t="str">
        <f>IFERROR(__xludf.DUMMYFUNCTION("TEXT(VALUE(REGEXEXTRACT(F73,""^[+-]?[0-9]*\.?[0-9]+""))*100,""0.00"")&amp;"" +/- ""&amp;TEXT(VALUE(REGEXEXTRACT(F73,""[0-9]*\.?[0-9]+$""))*100,""0.00"")"),"28.23 +/- 0.45")</f>
        <v>28.23 +/- 0.45</v>
      </c>
      <c r="O73" s="9" t="str">
        <f>IFERROR(__xludf.DUMMYFUNCTION("TEXT(VALUE(REGEXEXTRACT(G73,""^[+-]?[0-9]*\.?[0-9]+""))*100,""0.00"")&amp;"" +/- ""&amp;TEXT(VALUE(REGEXEXTRACT(G73,""[0-9]*\.?[0-9]+$""))*100,""0.00"")"),"30.24 +/- 0.66")</f>
        <v>30.24 +/- 0.66</v>
      </c>
      <c r="P73" s="9" t="str">
        <f>IFERROR(__xludf.DUMMYFUNCTION("TEXT(VALUE(REGEXEXTRACT(H73,""^[+-]?[0-9]*\.?[0-9]+""))*100,""0.00"")&amp;"" +/- ""&amp;TEXT(VALUE(REGEXEXTRACT(H73,""[0-9]*\.?[0-9]+$""))*100,""0.00"")"),"29.53 +/- 0.35")</f>
        <v>29.53 +/- 0.35</v>
      </c>
    </row>
    <row r="74">
      <c r="A74" s="6" t="s">
        <v>1288</v>
      </c>
      <c r="B74" s="16" t="s">
        <v>3358</v>
      </c>
      <c r="C74" s="16" t="s">
        <v>3359</v>
      </c>
      <c r="D74" s="16" t="s">
        <v>3360</v>
      </c>
      <c r="E74" s="16" t="s">
        <v>3361</v>
      </c>
      <c r="F74" s="16" t="s">
        <v>3362</v>
      </c>
      <c r="G74" s="16" t="s">
        <v>3363</v>
      </c>
      <c r="H74" s="16" t="s">
        <v>3364</v>
      </c>
      <c r="I74" s="20" t="str">
        <f t="shared" si="4"/>
        <v>PDE→EQ</v>
      </c>
      <c r="J74" s="9" t="str">
        <f>IFERROR(__xludf.DUMMYFUNCTION("TEXT(VALUE(REGEXEXTRACT(B74,""^[+-]?[0-9]*\.?[0-9]+""))*100,""0.00"")&amp;"" +/- ""&amp;TEXT(VALUE(REGEXEXTRACT(B74,""[0-9]*\.?[0-9]+$""))*100,""0.00"")"),"42.60 +/- 0.83")</f>
        <v>42.60 +/- 0.83</v>
      </c>
      <c r="K74" s="9" t="str">
        <f>IFERROR(__xludf.DUMMYFUNCTION("TEXT(VALUE(REGEXEXTRACT(C74,""^[+-]?[0-9]*\.?[0-9]+""))*100,""0.00"")&amp;"" +/- ""&amp;TEXT(VALUE(REGEXEXTRACT(C74,""[0-9]*\.?[0-9]+$""))*100,""0.00"")"),"25.64 +/- 0.00")</f>
        <v>25.64 +/- 0.00</v>
      </c>
      <c r="L74" s="9" t="str">
        <f>IFERROR(__xludf.DUMMYFUNCTION("TEXT(VALUE(REGEXEXTRACT(D74,""^[+-]?[0-9]*\.?[0-9]+""))*100,""0.00"")&amp;"" +/- ""&amp;TEXT(VALUE(REGEXEXTRACT(D74,""[0-9]*\.?[0-9]+$""))*100,""0.00"")"),"26.32 +/- 0.00")</f>
        <v>26.32 +/- 0.00</v>
      </c>
      <c r="M74" s="9" t="str">
        <f>IFERROR(__xludf.DUMMYFUNCTION("TEXT(VALUE(REGEXEXTRACT(E74,""^[+-]?[0-9]*\.?[0-9]+""))*100,""0.00"")&amp;"" +/- ""&amp;TEXT(VALUE(REGEXEXTRACT(E74,""[0-9]*\.?[0-9]+$""))*100,""0.00"")"),"51.98 +/- 2.00")</f>
        <v>51.98 +/- 2.00</v>
      </c>
      <c r="N74" s="9" t="str">
        <f>IFERROR(__xludf.DUMMYFUNCTION("TEXT(VALUE(REGEXEXTRACT(F74,""^[+-]?[0-9]*\.?[0-9]+""))*100,""0.00"")&amp;"" +/- ""&amp;TEXT(VALUE(REGEXEXTRACT(F74,""[0-9]*\.?[0-9]+$""))*100,""0.00"")"),"49.86 +/- 1.25")</f>
        <v>49.86 +/- 1.25</v>
      </c>
      <c r="O74" s="10" t="str">
        <f>IFERROR(__xludf.DUMMYFUNCTION("TEXT(VALUE(REGEXEXTRACT(G74,""^[+-]?[0-9]*\.?[0-9]+""))*100,""0.00"")&amp;"" +/- ""&amp;TEXT(VALUE(REGEXEXTRACT(G74,""[0-9]*\.?[0-9]+$""))*100,""0.00"")"),"50.37 +/- 1.34")</f>
        <v>50.37 +/- 1.34</v>
      </c>
      <c r="P74" s="9" t="str">
        <f>IFERROR(__xludf.DUMMYFUNCTION("TEXT(VALUE(REGEXEXTRACT(H74,""^[+-]?[0-9]*\.?[0-9]+""))*100,""0.00"")&amp;"" +/- ""&amp;TEXT(VALUE(REGEXEXTRACT(H74,""[0-9]*\.?[0-9]+$""))*100,""0.00"")"),"50.26 +/- 0.84")</f>
        <v>50.26 +/- 0.84</v>
      </c>
    </row>
    <row r="75">
      <c r="A75" s="6" t="s">
        <v>1303</v>
      </c>
      <c r="B75" s="16" t="s">
        <v>3371</v>
      </c>
      <c r="C75" s="16" t="s">
        <v>3373</v>
      </c>
      <c r="D75" s="16" t="s">
        <v>3374</v>
      </c>
      <c r="E75" s="16" t="s">
        <v>3375</v>
      </c>
      <c r="F75" s="16" t="s">
        <v>3376</v>
      </c>
      <c r="G75" s="16" t="s">
        <v>3377</v>
      </c>
      <c r="H75" s="16" t="s">
        <v>3378</v>
      </c>
      <c r="I75" s="20" t="str">
        <f t="shared" si="4"/>
        <v>PDE→JDT</v>
      </c>
      <c r="J75" s="10" t="str">
        <f>IFERROR(__xludf.DUMMYFUNCTION("TEXT(VALUE(REGEXEXTRACT(B75,""^[+-]?[0-9]*\.?[0-9]+""))*100,""0.00"")&amp;"" +/- ""&amp;TEXT(VALUE(REGEXEXTRACT(B75,""[0-9]*\.?[0-9]+$""))*100,""0.00"")"),"55.39 +/- 0.85")</f>
        <v>55.39 +/- 0.85</v>
      </c>
      <c r="K75" s="9" t="str">
        <f>IFERROR(__xludf.DUMMYFUNCTION("TEXT(VALUE(REGEXEXTRACT(C75,""^[+-]?[0-9]*\.?[0-9]+""))*100,""0.00"")&amp;"" +/- ""&amp;TEXT(VALUE(REGEXEXTRACT(C75,""[0-9]*\.?[0-9]+$""))*100,""0.00"")"),"34.72 +/- 0.00")</f>
        <v>34.72 +/- 0.00</v>
      </c>
      <c r="L75" s="9" t="str">
        <f>IFERROR(__xludf.DUMMYFUNCTION("TEXT(VALUE(REGEXEXTRACT(D75,""^[+-]?[0-9]*\.?[0-9]+""))*100,""0.00"")&amp;"" +/- ""&amp;TEXT(VALUE(REGEXEXTRACT(D75,""[0-9]*\.?[0-9]+$""))*100,""0.00"")"),"45.07 +/- 0.00")</f>
        <v>45.07 +/- 0.00</v>
      </c>
      <c r="M75" s="9" t="str">
        <f>IFERROR(__xludf.DUMMYFUNCTION("TEXT(VALUE(REGEXEXTRACT(E75,""^[+-]?[0-9]*\.?[0-9]+""))*100,""0.00"")&amp;"" +/- ""&amp;TEXT(VALUE(REGEXEXTRACT(E75,""[0-9]*\.?[0-9]+$""))*100,""0.00"")"),"49.85 +/- 2.20")</f>
        <v>49.85 +/- 2.20</v>
      </c>
      <c r="N75" s="9" t="str">
        <f>IFERROR(__xludf.DUMMYFUNCTION("TEXT(VALUE(REGEXEXTRACT(F75,""^[+-]?[0-9]*\.?[0-9]+""))*100,""0.00"")&amp;"" +/- ""&amp;TEXT(VALUE(REGEXEXTRACT(F75,""[0-9]*\.?[0-9]+$""))*100,""0.00"")"),"48.84 +/- 0.81")</f>
        <v>48.84 +/- 0.81</v>
      </c>
      <c r="O75" s="9" t="str">
        <f>IFERROR(__xludf.DUMMYFUNCTION("TEXT(VALUE(REGEXEXTRACT(G75,""^[+-]?[0-9]*\.?[0-9]+""))*100,""0.00"")&amp;"" +/- ""&amp;TEXT(VALUE(REGEXEXTRACT(G75,""[0-9]*\.?[0-9]+$""))*100,""0.00"")"),"50.76 +/- 1.22")</f>
        <v>50.76 +/- 1.22</v>
      </c>
      <c r="P75" s="9" t="str">
        <f>IFERROR(__xludf.DUMMYFUNCTION("TEXT(VALUE(REGEXEXTRACT(H75,""^[+-]?[0-9]*\.?[0-9]+""))*100,""0.00"")&amp;"" +/- ""&amp;TEXT(VALUE(REGEXEXTRACT(H75,""[0-9]*\.?[0-9]+$""))*100,""0.00"")"),"41.59 +/- 1.14")</f>
        <v>41.59 +/- 1.14</v>
      </c>
    </row>
    <row r="76">
      <c r="A76" s="6" t="s">
        <v>1311</v>
      </c>
      <c r="B76" s="16" t="s">
        <v>3386</v>
      </c>
      <c r="C76" s="16" t="s">
        <v>3387</v>
      </c>
      <c r="D76" s="16" t="s">
        <v>3388</v>
      </c>
      <c r="E76" s="16" t="s">
        <v>3389</v>
      </c>
      <c r="F76" s="16" t="s">
        <v>3390</v>
      </c>
      <c r="G76" s="16" t="s">
        <v>3391</v>
      </c>
      <c r="H76" s="16" t="s">
        <v>3392</v>
      </c>
      <c r="I76" s="20" t="str">
        <f t="shared" si="4"/>
        <v>PDE→LC</v>
      </c>
      <c r="J76" s="9" t="str">
        <f>IFERROR(__xludf.DUMMYFUNCTION("TEXT(VALUE(REGEXEXTRACT(B76,""^[+-]?[0-9]*\.?[0-9]+""))*100,""0.00"")&amp;"" +/- ""&amp;TEXT(VALUE(REGEXEXTRACT(B76,""[0-9]*\.?[0-9]+$""))*100,""0.00"")"),"36.14 +/- 1.30")</f>
        <v>36.14 +/- 1.30</v>
      </c>
      <c r="K76" s="10" t="str">
        <f>IFERROR(__xludf.DUMMYFUNCTION("TEXT(VALUE(REGEXEXTRACT(C76,""^[+-]?[0-9]*\.?[0-9]+""))*100,""0.00"")&amp;"" +/- ""&amp;TEXT(VALUE(REGEXEXTRACT(C76,""[0-9]*\.?[0-9]+$""))*100,""0.00"")"),"36.36 +/- 0.00")</f>
        <v>36.36 +/- 0.00</v>
      </c>
      <c r="L76" s="9" t="str">
        <f>IFERROR(__xludf.DUMMYFUNCTION("TEXT(VALUE(REGEXEXTRACT(D76,""^[+-]?[0-9]*\.?[0-9]+""))*100,""0.00"")&amp;"" +/- ""&amp;TEXT(VALUE(REGEXEXTRACT(D76,""[0-9]*\.?[0-9]+$""))*100,""0.00"")"),"35.86 +/- 0.00")</f>
        <v>35.86 +/- 0.00</v>
      </c>
      <c r="M76" s="9" t="str">
        <f>IFERROR(__xludf.DUMMYFUNCTION("TEXT(VALUE(REGEXEXTRACT(E76,""^[+-]?[0-9]*\.?[0-9]+""))*100,""0.00"")&amp;"" +/- ""&amp;TEXT(VALUE(REGEXEXTRACT(E76,""[0-9]*\.?[0-9]+$""))*100,""0.00"")"),"28.38 +/- 1.22")</f>
        <v>28.38 +/- 1.22</v>
      </c>
      <c r="N76" s="9" t="str">
        <f>IFERROR(__xludf.DUMMYFUNCTION("TEXT(VALUE(REGEXEXTRACT(F76,""^[+-]?[0-9]*\.?[0-9]+""))*100,""0.00"")&amp;"" +/- ""&amp;TEXT(VALUE(REGEXEXTRACT(F76,""[0-9]*\.?[0-9]+$""))*100,""0.00"")"),"28.45 +/- 0.95")</f>
        <v>28.45 +/- 0.95</v>
      </c>
      <c r="O76" s="9" t="str">
        <f>IFERROR(__xludf.DUMMYFUNCTION("TEXT(VALUE(REGEXEXTRACT(G76,""^[+-]?[0-9]*\.?[0-9]+""))*100,""0.00"")&amp;"" +/- ""&amp;TEXT(VALUE(REGEXEXTRACT(G76,""[0-9]*\.?[0-9]+$""))*100,""0.00"")"),"29.23 +/- 1.17")</f>
        <v>29.23 +/- 1.17</v>
      </c>
      <c r="P76" s="9" t="str">
        <f>IFERROR(__xludf.DUMMYFUNCTION("TEXT(VALUE(REGEXEXTRACT(H76,""^[+-]?[0-9]*\.?[0-9]+""))*100,""0.00"")&amp;"" +/- ""&amp;TEXT(VALUE(REGEXEXTRACT(H76,""[0-9]*\.?[0-9]+$""))*100,""0.00"")"),"18.37 +/- 1.27")</f>
        <v>18.37 +/- 1.27</v>
      </c>
    </row>
    <row r="77">
      <c r="A77" s="6" t="s">
        <v>1319</v>
      </c>
      <c r="B77" s="16" t="s">
        <v>3406</v>
      </c>
      <c r="C77" s="16" t="s">
        <v>3407</v>
      </c>
      <c r="D77" s="16" t="s">
        <v>3408</v>
      </c>
      <c r="E77" s="16" t="s">
        <v>3409</v>
      </c>
      <c r="F77" s="16" t="s">
        <v>3410</v>
      </c>
      <c r="G77" s="16" t="s">
        <v>3411</v>
      </c>
      <c r="H77" s="16" t="s">
        <v>3412</v>
      </c>
      <c r="I77" s="20" t="str">
        <f t="shared" si="4"/>
        <v>PDE→ML</v>
      </c>
      <c r="J77" s="10" t="str">
        <f>IFERROR(__xludf.DUMMYFUNCTION("TEXT(VALUE(REGEXEXTRACT(B77,""^[+-]?[0-9]*\.?[0-9]+""))*100,""0.00"")&amp;"" +/- ""&amp;TEXT(VALUE(REGEXEXTRACT(B77,""[0-9]*\.?[0-9]+$""))*100,""0.00"")"),"31.61 +/- 0.51")</f>
        <v>31.61 +/- 0.51</v>
      </c>
      <c r="K77" s="9" t="str">
        <f>IFERROR(__xludf.DUMMYFUNCTION("TEXT(VALUE(REGEXEXTRACT(C77,""^[+-]?[0-9]*\.?[0-9]+""))*100,""0.00"")&amp;"" +/- ""&amp;TEXT(VALUE(REGEXEXTRACT(C77,""[0-9]*\.?[0-9]+$""))*100,""0.00"")"),"22.78 +/- 0.00")</f>
        <v>22.78 +/- 0.00</v>
      </c>
      <c r="L77" s="9" t="str">
        <f>IFERROR(__xludf.DUMMYFUNCTION("TEXT(VALUE(REGEXEXTRACT(D77,""^[+-]?[0-9]*\.?[0-9]+""))*100,""0.00"")&amp;"" +/- ""&amp;TEXT(VALUE(REGEXEXTRACT(D77,""[0-9]*\.?[0-9]+$""))*100,""0.00"")"),"20.90 +/- 0.00")</f>
        <v>20.90 +/- 0.00</v>
      </c>
      <c r="M77" s="9" t="str">
        <f>IFERROR(__xludf.DUMMYFUNCTION("TEXT(VALUE(REGEXEXTRACT(E77,""^[+-]?[0-9]*\.?[0-9]+""))*100,""0.00"")&amp;"" +/- ""&amp;TEXT(VALUE(REGEXEXTRACT(E77,""[0-9]*\.?[0-9]+$""))*100,""0.00"")"),"26.53 +/- 0.86")</f>
        <v>26.53 +/- 0.86</v>
      </c>
      <c r="N77" s="9" t="str">
        <f>IFERROR(__xludf.DUMMYFUNCTION("TEXT(VALUE(REGEXEXTRACT(F77,""^[+-]?[0-9]*\.?[0-9]+""))*100,""0.00"")&amp;"" +/- ""&amp;TEXT(VALUE(REGEXEXTRACT(F77,""[0-9]*\.?[0-9]+$""))*100,""0.00"")"),"26.26 +/- 0.74")</f>
        <v>26.26 +/- 0.74</v>
      </c>
      <c r="O77" s="9" t="str">
        <f>IFERROR(__xludf.DUMMYFUNCTION("TEXT(VALUE(REGEXEXTRACT(G77,""^[+-]?[0-9]*\.?[0-9]+""))*100,""0.00"")&amp;"" +/- ""&amp;TEXT(VALUE(REGEXEXTRACT(G77,""[0-9]*\.?[0-9]+$""))*100,""0.00"")"),"27.18 +/- 0.69")</f>
        <v>27.18 +/- 0.69</v>
      </c>
      <c r="P77" s="9" t="str">
        <f>IFERROR(__xludf.DUMMYFUNCTION("TEXT(VALUE(REGEXEXTRACT(H77,""^[+-]?[0-9]*\.?[0-9]+""))*100,""0.00"")&amp;"" +/- ""&amp;TEXT(VALUE(REGEXEXTRACT(H77,""[0-9]*\.?[0-9]+$""))*100,""0.00"")"),"23.05 +/- 0.41")</f>
        <v>23.05 +/- 0.41</v>
      </c>
    </row>
    <row r="78">
      <c r="A78" s="6" t="s">
        <v>371</v>
      </c>
      <c r="B78" s="14"/>
      <c r="C78" s="21" t="s">
        <v>1096</v>
      </c>
      <c r="D78" s="21" t="s">
        <v>1096</v>
      </c>
      <c r="E78" s="21" t="s">
        <v>388</v>
      </c>
      <c r="F78" s="21" t="s">
        <v>388</v>
      </c>
      <c r="G78" s="21" t="s">
        <v>388</v>
      </c>
      <c r="H78" s="21" t="s">
        <v>990</v>
      </c>
      <c r="I78" s="20" t="str">
        <f t="shared" si="4"/>
        <v>W/T/L</v>
      </c>
      <c r="K78" s="20" t="str">
        <f>IFERROR(__xludf.DUMMYFUNCTION("SUM(ARRAYFORMULA(IFERROR(
  (VALUE(REGEXEXTRACT($J$58:$J$77,""^[+-]?[0-9]*\.?[0-9]+""))&gt;
   VALUE(REGEXEXTRACT(K$58:K$77,""^[+-]?[0-9]*\.?[0-9]+"")))*1,0)))
&amp;""/""&amp;
SUM(ARRAYFORMULA(IFERROR(
  (VALUE(REGEXEXTRACT($J$58:$J$77,""^[+-]?[0-9]*\.?[0-9]+""))=
 "&amp;"  VALUE(REGEXEXTRACT(K$58:K$77,""^[+-]?[0-9]*\.?[0-9]+"")))*1,0)))
&amp;""/""&amp;
SUM(ARRAYFORMULA(IFERROR(
  (VALUE(REGEXEXTRACT($J$58:$J$77,""^[+-]?[0-9]*\.?[0-9]+""))&lt;
   VALUE(REGEXEXTRACT(K$58:K$77,""^[+-]?[0-9]*\.?[0-9]+"")))*1,0)))"),"15/0/5")</f>
        <v>15/0/5</v>
      </c>
      <c r="L78" s="20" t="str">
        <f>IFERROR(__xludf.DUMMYFUNCTION("SUM(ARRAYFORMULA(IFERROR(
  (VALUE(REGEXEXTRACT($J$58:$J$77,""^[+-]?[0-9]*\.?[0-9]+""))&gt;
   VALUE(REGEXEXTRACT(L$58:L$77,""^[+-]?[0-9]*\.?[0-9]+"")))*1,0)))
&amp;""/""&amp;
SUM(ARRAYFORMULA(IFERROR(
  (VALUE(REGEXEXTRACT($J$58:$J$77,""^[+-]?[0-9]*\.?[0-9]+""))=
 "&amp;"  VALUE(REGEXEXTRACT(L$58:L$77,""^[+-]?[0-9]*\.?[0-9]+"")))*1,0)))
&amp;""/""&amp;
SUM(ARRAYFORMULA(IFERROR(
  (VALUE(REGEXEXTRACT($J$58:$J$77,""^[+-]?[0-9]*\.?[0-9]+""))&lt;
   VALUE(REGEXEXTRACT(L$58:L$77,""^[+-]?[0-9]*\.?[0-9]+"")))*1,0)))"),"15/0/5")</f>
        <v>15/0/5</v>
      </c>
      <c r="M78" s="20" t="str">
        <f>IFERROR(__xludf.DUMMYFUNCTION("SUM(ARRAYFORMULA(IFERROR(
  (VALUE(REGEXEXTRACT($J$58:$J$77,""^[+-]?[0-9]*\.?[0-9]+""))&gt;
   VALUE(REGEXEXTRACT(M$58:M$77,""^[+-]?[0-9]*\.?[0-9]+"")))*1,0)))
&amp;""/""&amp;
SUM(ARRAYFORMULA(IFERROR(
  (VALUE(REGEXEXTRACT($J$58:$J$77,""^[+-]?[0-9]*\.?[0-9]+""))=
 "&amp;"  VALUE(REGEXEXTRACT(M$58:M$77,""^[+-]?[0-9]*\.?[0-9]+"")))*1,0)))
&amp;""/""&amp;
SUM(ARRAYFORMULA(IFERROR(
  (VALUE(REGEXEXTRACT($J$58:$J$77,""^[+-]?[0-9]*\.?[0-9]+""))&lt;
   VALUE(REGEXEXTRACT(M$58:M$77,""^[+-]?[0-9]*\.?[0-9]+"")))*1,0)))"),"16/0/4")</f>
        <v>16/0/4</v>
      </c>
      <c r="N78" s="20" t="str">
        <f>IFERROR(__xludf.DUMMYFUNCTION("SUM(ARRAYFORMULA(IFERROR(
  (VALUE(REGEXEXTRACT($J$58:$J$77,""^[+-]?[0-9]*\.?[0-9]+""))&gt;
   VALUE(REGEXEXTRACT(N$58:N$77,""^[+-]?[0-9]*\.?[0-9]+"")))*1,0)))
&amp;""/""&amp;
SUM(ARRAYFORMULA(IFERROR(
  (VALUE(REGEXEXTRACT($J$58:$J$77,""^[+-]?[0-9]*\.?[0-9]+""))=
 "&amp;"  VALUE(REGEXEXTRACT(N$58:N$77,""^[+-]?[0-9]*\.?[0-9]+"")))*1,0)))
&amp;""/""&amp;
SUM(ARRAYFORMULA(IFERROR(
  (VALUE(REGEXEXTRACT($J$58:$J$77,""^[+-]?[0-9]*\.?[0-9]+""))&lt;
   VALUE(REGEXEXTRACT(N$58:N$77,""^[+-]?[0-9]*\.?[0-9]+"")))*1,0)))"),"16/0/4")</f>
        <v>16/0/4</v>
      </c>
      <c r="O78" s="20" t="str">
        <f>IFERROR(__xludf.DUMMYFUNCTION("SUM(ARRAYFORMULA(IFERROR(
  (VALUE(REGEXEXTRACT($J$58:$J$77,""^[+-]?[0-9]*\.?[0-9]+""))&gt;
   VALUE(REGEXEXTRACT(O$58:O$77,""^[+-]?[0-9]*\.?[0-9]+"")))*1,0)))
&amp;""/""&amp;
SUM(ARRAYFORMULA(IFERROR(
  (VALUE(REGEXEXTRACT($J$58:$J$77,""^[+-]?[0-9]*\.?[0-9]+""))=
 "&amp;"  VALUE(REGEXEXTRACT(O$58:O$77,""^[+-]?[0-9]*\.?[0-9]+"")))*1,0)))
&amp;""/""&amp;
SUM(ARRAYFORMULA(IFERROR(
  (VALUE(REGEXEXTRACT($J$58:$J$77,""^[+-]?[0-9]*\.?[0-9]+""))&lt;
   VALUE(REGEXEXTRACT(O$58:O$77,""^[+-]?[0-9]*\.?[0-9]+"")))*1,0)))"),"16/0/4")</f>
        <v>16/0/4</v>
      </c>
      <c r="P78" s="20" t="str">
        <f>IFERROR(__xludf.DUMMYFUNCTION("SUM(ARRAYFORMULA(IFERROR(
  (VALUE(REGEXEXTRACT($J$58:$J$77,""^[+-]?[0-9]*\.?[0-9]+""))&gt;
   VALUE(REGEXEXTRACT(P$58:P$77,""^[+-]?[0-9]*\.?[0-9]+"")))*1,0)))
&amp;""/""&amp;
SUM(ARRAYFORMULA(IFERROR(
  (VALUE(REGEXEXTRACT($J$58:$J$77,""^[+-]?[0-9]*\.?[0-9]+""))=
 "&amp;"  VALUE(REGEXEXTRACT(P$58:P$77,""^[+-]?[0-9]*\.?[0-9]+"")))*1,0)))
&amp;""/""&amp;
SUM(ARRAYFORMULA(IFERROR(
  (VALUE(REGEXEXTRACT($J$58:$J$77,""^[+-]?[0-9]*\.?[0-9]+""))&lt;
   VALUE(REGEXEXTRACT(P$58:P$77,""^[+-]?[0-9]*\.?[0-9]+"")))*1,0)))"),"17/0/3")</f>
        <v>17/0/3</v>
      </c>
    </row>
    <row r="79">
      <c r="A79" s="6" t="s">
        <v>489</v>
      </c>
      <c r="B79" s="14" t="s">
        <v>3420</v>
      </c>
      <c r="C79" s="14" t="s">
        <v>3421</v>
      </c>
      <c r="D79" s="14" t="s">
        <v>3422</v>
      </c>
      <c r="E79" s="14" t="s">
        <v>3423</v>
      </c>
      <c r="F79" s="14" t="s">
        <v>3424</v>
      </c>
      <c r="G79" s="14" t="s">
        <v>3425</v>
      </c>
      <c r="H79" s="14" t="s">
        <v>3426</v>
      </c>
      <c r="I79" s="20" t="str">
        <f t="shared" si="4"/>
        <v>Average (%)</v>
      </c>
      <c r="J79" s="14">
        <f>IFERROR(__xludf.DUMMYFUNCTION("ROUND(AVERAGE(ARRAYFORMULA(IFERROR(VALUE(REGEXEXTRACT(J$58:J$77,""^[+-]?[0-9]*\.?[0-9]+"")),""""))),2)"),38.03)</f>
        <v>38.03</v>
      </c>
      <c r="K79" s="14">
        <f>IFERROR(__xludf.DUMMYFUNCTION("ROUND(AVERAGE(ARRAYFORMULA(IFERROR(VALUE(REGEXEXTRACT(K$58:K$77,""^[+-]?[0-9]*\.?[0-9]+"")),""""))),2)"),30.35)</f>
        <v>30.35</v>
      </c>
      <c r="L79" s="14">
        <f>IFERROR(__xludf.DUMMYFUNCTION("ROUND(AVERAGE(ARRAYFORMULA(IFERROR(VALUE(REGEXEXTRACT(L$58:L$77,""^[+-]?[0-9]*\.?[0-9]+"")),""""))),2)"),28.85)</f>
        <v>28.85</v>
      </c>
      <c r="M79" s="14">
        <f>IFERROR(__xludf.DUMMYFUNCTION("ROUND(AVERAGE(ARRAYFORMULA(IFERROR(VALUE(REGEXEXTRACT(M$58:M$77,""^[+-]?[0-9]*\.?[0-9]+"")),""""))),2)"),36.64)</f>
        <v>36.64</v>
      </c>
      <c r="N79" s="14">
        <f>IFERROR(__xludf.DUMMYFUNCTION("ROUND(AVERAGE(ARRAYFORMULA(IFERROR(VALUE(REGEXEXTRACT(N$58:N$77,""^[+-]?[0-9]*\.?[0-9]+"")),""""))),2)"),35.17)</f>
        <v>35.17</v>
      </c>
      <c r="O79" s="14">
        <f>IFERROR(__xludf.DUMMYFUNCTION("ROUND(AVERAGE(ARRAYFORMULA(IFERROR(VALUE(REGEXEXTRACT(O$58:O$77,""^[+-]?[0-9]*\.?[0-9]+"")),""""))),2)"),36.39)</f>
        <v>36.39</v>
      </c>
      <c r="P79" s="14">
        <f>IFERROR(__xludf.DUMMYFUNCTION("ROUND(AVERAGE(ARRAYFORMULA(IFERROR(VALUE(REGEXEXTRACT(P$58:P$77,""^[+-]?[0-9]*\.?[0-9]+"")),""""))),2)"),33.57)</f>
        <v>33.57</v>
      </c>
    </row>
    <row r="80">
      <c r="A80" s="6" t="s">
        <v>1334</v>
      </c>
      <c r="B80" s="14"/>
      <c r="C80" s="34" t="s">
        <v>3427</v>
      </c>
      <c r="D80" s="34" t="s">
        <v>3428</v>
      </c>
      <c r="E80" s="34" t="s">
        <v>1458</v>
      </c>
      <c r="F80" s="34" t="s">
        <v>3429</v>
      </c>
      <c r="G80" s="34" t="s">
        <v>1972</v>
      </c>
      <c r="H80" s="34" t="s">
        <v>2793</v>
      </c>
      <c r="I80" s="20" t="str">
        <f t="shared" si="4"/>
        <v>Overall W/T/L</v>
      </c>
      <c r="K80" s="34" t="str">
        <f>IFERROR(__xludf.DUMMYFUNCTION("SUM(ARRAYFORMULA(IFERROR(REGEXMATCH($A$3:$A$77,""→"")*(VALUE(REGEXEXTRACT($J$3:$J$77,""^[+-]?[0-9]*\.?[0-9]+""))&gt;VALUE(REGEXEXTRACT(K$3:K$77,""^[+-]?[0-9]*\.?[0-9]+""))),0)))
&amp;""/""&amp;
SUM(ARRAYFORMULA(IFERROR(REGEXMATCH($A$3:$A$77,""→"")*(VALUE(REGEXEXTRAC"&amp;"T($J$3:$J$77,""^[+-]?[0-9]*\.?[0-9]+""))=VALUE(REGEXEXTRACT(K$3:K$77,""^[+-]?[0-9]*\.?[0-9]+""))),0)))
&amp;""/""&amp;
SUM(ARRAYFORMULA(IFERROR(REGEXMATCH($A$3:$A$77,""→"")*(VALUE(REGEXEXTRACT($J$3:$J$77,""^[+-]?[0-9]*\.?[0-9]+""))&lt;VALUE(REGEXEXTRACT(K$3:K$77,""^"&amp;"[+-]?[0-9]*\.?[0-9]+""))),0)))"),"50/2/14")</f>
        <v>50/2/14</v>
      </c>
      <c r="L80" s="34" t="str">
        <f>IFERROR(__xludf.DUMMYFUNCTION("SUM(ARRAYFORMULA(IFERROR(REGEXMATCH($A$3:$A$77,""→"")*(VALUE(REGEXEXTRACT($J$3:$J$77,""^[+-]?[0-9]*\.?[0-9]+""))&gt;VALUE(REGEXEXTRACT(L$3:L$77,""^[+-]?[0-9]*\.?[0-9]+""))),0)))
&amp;""/""&amp;
SUM(ARRAYFORMULA(IFERROR(REGEXMATCH($A$3:$A$77,""→"")*(VALUE(REGEXEXTRAC"&amp;"T($J$3:$J$77,""^[+-]?[0-9]*\.?[0-9]+""))=VALUE(REGEXEXTRACT(L$3:L$77,""^[+-]?[0-9]*\.?[0-9]+""))),0)))
&amp;""/""&amp;
SUM(ARRAYFORMULA(IFERROR(REGEXMATCH($A$3:$A$77,""→"")*(VALUE(REGEXEXTRACT($J$3:$J$77,""^[+-]?[0-9]*\.?[0-9]+""))&lt;VALUE(REGEXEXTRACT(L$3:L$77,""^"&amp;"[+-]?[0-9]*\.?[0-9]+""))),0)))"),"49/0/17")</f>
        <v>49/0/17</v>
      </c>
      <c r="M80" s="34" t="str">
        <f>IFERROR(__xludf.DUMMYFUNCTION("SUM(ARRAYFORMULA(IFERROR(REGEXMATCH($A$3:$A$77,""→"")*(VALUE(REGEXEXTRACT($J$3:$J$77,""^[+-]?[0-9]*\.?[0-9]+""))&gt;VALUE(REGEXEXTRACT(M$3:M$77,""^[+-]?[0-9]*\.?[0-9]+""))),0)))
&amp;""/""&amp;
SUM(ARRAYFORMULA(IFERROR(REGEXMATCH($A$3:$A$77,""→"")*(VALUE(REGEXEXTRAC"&amp;"T($J$3:$J$77,""^[+-]?[0-9]*\.?[0-9]+""))=VALUE(REGEXEXTRACT(M$3:M$77,""^[+-]?[0-9]*\.?[0-9]+""))),0)))
&amp;""/""&amp;
SUM(ARRAYFORMULA(IFERROR(REGEXMATCH($A$3:$A$77,""→"")*(VALUE(REGEXEXTRACT($J$3:$J$77,""^[+-]?[0-9]*\.?[0-9]+""))&lt;VALUE(REGEXEXTRACT(M$3:M$77,""^"&amp;"[+-]?[0-9]*\.?[0-9]+""))),0)))"),"45/2/19")</f>
        <v>45/2/19</v>
      </c>
      <c r="N80" s="34" t="str">
        <f>IFERROR(__xludf.DUMMYFUNCTION("SUM(ARRAYFORMULA(IFERROR(REGEXMATCH($A$3:$A$77,""→"")*(VALUE(REGEXEXTRACT($J$3:$J$77,""^[+-]?[0-9]*\.?[0-9]+""))&gt;VALUE(REGEXEXTRACT(N$3:N$77,""^[+-]?[0-9]*\.?[0-9]+""))),0)))
&amp;""/""&amp;
SUM(ARRAYFORMULA(IFERROR(REGEXMATCH($A$3:$A$77,""→"")*(VALUE(REGEXEXTRAC"&amp;"T($J$3:$J$77,""^[+-]?[0-9]*\.?[0-9]+""))=VALUE(REGEXEXTRACT(N$3:N$77,""^[+-]?[0-9]*\.?[0-9]+""))),0)))
&amp;""/""&amp;
SUM(ARRAYFORMULA(IFERROR(REGEXMATCH($A$3:$A$77,""→"")*(VALUE(REGEXEXTRACT($J$3:$J$77,""^[+-]?[0-9]*\.?[0-9]+""))&lt;VALUE(REGEXEXTRACT(N$3:N$77,""^"&amp;"[+-]?[0-9]*\.?[0-9]+""))),0)))"),"46/2/18")</f>
        <v>46/2/18</v>
      </c>
      <c r="O80" s="34" t="str">
        <f>IFERROR(__xludf.DUMMYFUNCTION("SUM(ARRAYFORMULA(IFERROR(REGEXMATCH($A$3:$A$77,""→"")*(VALUE(REGEXEXTRACT($J$3:$J$77,""^[+-]?[0-9]*\.?[0-9]+""))&gt;VALUE(REGEXEXTRACT(O$3:O$77,""^[+-]?[0-9]*\.?[0-9]+""))),0)))
&amp;""/""&amp;
SUM(ARRAYFORMULA(IFERROR(REGEXMATCH($A$3:$A$77,""→"")*(VALUE(REGEXEXTRAC"&amp;"T($J$3:$J$77,""^[+-]?[0-9]*\.?[0-9]+""))=VALUE(REGEXEXTRACT(O$3:O$77,""^[+-]?[0-9]*\.?[0-9]+""))),0)))
&amp;""/""&amp;
SUM(ARRAYFORMULA(IFERROR(REGEXMATCH($A$3:$A$77,""→"")*(VALUE(REGEXEXTRACT($J$3:$J$77,""^[+-]?[0-9]*\.?[0-9]+""))&lt;VALUE(REGEXEXTRACT(O$3:O$77,""^"&amp;"[+-]?[0-9]*\.?[0-9]+""))),0)))"),"49/2/15")</f>
        <v>49/2/15</v>
      </c>
      <c r="P80" s="34" t="str">
        <f>IFERROR(__xludf.DUMMYFUNCTION("SUM(ARRAYFORMULA(IFERROR(REGEXMATCH($A$3:$A$77,""→"")*(VALUE(REGEXEXTRACT($J$3:$J$77,""^[+-]?[0-9]*\.?[0-9]+""))&gt;VALUE(REGEXEXTRACT(P$3:P$77,""^[+-]?[0-9]*\.?[0-9]+""))),0)))
&amp;""/""&amp;
SUM(ARRAYFORMULA(IFERROR(REGEXMATCH($A$3:$A$77,""→"")*(VALUE(REGEXEXTRAC"&amp;"T($J$3:$J$77,""^[+-]?[0-9]*\.?[0-9]+""))=VALUE(REGEXEXTRACT(P$3:P$77,""^[+-]?[0-9]*\.?[0-9]+""))),0)))
&amp;""/""&amp;
SUM(ARRAYFORMULA(IFERROR(REGEXMATCH($A$3:$A$77,""→"")*(VALUE(REGEXEXTRACT($J$3:$J$77,""^[+-]?[0-9]*\.?[0-9]+""))&lt;VALUE(REGEXEXTRACT(P$3:P$77,""^"&amp;"[+-]?[0-9]*\.?[0-9]+""))),0)))"),"51/2/13")</f>
        <v>51/2/13</v>
      </c>
    </row>
    <row r="81">
      <c r="A81" s="6" t="s">
        <v>1348</v>
      </c>
      <c r="B81" s="35">
        <v>36.1</v>
      </c>
      <c r="C81" s="35">
        <v>27.56</v>
      </c>
      <c r="D81" s="35">
        <v>26.9</v>
      </c>
      <c r="E81" s="35">
        <v>34.73</v>
      </c>
      <c r="F81" s="35">
        <v>33.65</v>
      </c>
      <c r="G81" s="35">
        <v>34.42</v>
      </c>
      <c r="H81" s="35">
        <v>31.54</v>
      </c>
      <c r="I81" s="20" t="str">
        <f t="shared" si="4"/>
        <v>Overall Average (%)</v>
      </c>
      <c r="J81" s="9">
        <f>IFERROR(__xludf.DUMMYFUNCTION("ROUND(AVERAGE(ARRAYFORMULA(IFERROR(VALUE(REGEXEXTRACT(FILTER(J$3:J$77,REGEXMATCH($A$3:$A$77,""→"")),""^[+-]?[0-9]*\.?[0-9]+"")),""""))),2)"),36.1)</f>
        <v>36.1</v>
      </c>
      <c r="K81" s="9">
        <f>IFERROR(__xludf.DUMMYFUNCTION("ROUND(AVERAGE(ARRAYFORMULA(IFERROR(VALUE(REGEXEXTRACT(FILTER(K$3:K$77,REGEXMATCH($A$3:$A$77,""→"")),""^[+-]?[0-9]*\.?[0-9]+"")),""""))),2)"),27.56)</f>
        <v>27.56</v>
      </c>
      <c r="L81" s="9">
        <f>IFERROR(__xludf.DUMMYFUNCTION("ROUND(AVERAGE(ARRAYFORMULA(IFERROR(VALUE(REGEXEXTRACT(FILTER(L$3:L$77,REGEXMATCH($A$3:$A$77,""→"")),""^[+-]?[0-9]*\.?[0-9]+"")),""""))),2)"),26.9)</f>
        <v>26.9</v>
      </c>
      <c r="M81" s="9">
        <f>IFERROR(__xludf.DUMMYFUNCTION("ROUND(AVERAGE(ARRAYFORMULA(IFERROR(VALUE(REGEXEXTRACT(FILTER(M$3:M$77,REGEXMATCH($A$3:$A$77,""→"")),""^[+-]?[0-9]*\.?[0-9]+"")),""""))),2)"),34.73)</f>
        <v>34.73</v>
      </c>
      <c r="N81" s="9">
        <f>IFERROR(__xludf.DUMMYFUNCTION("ROUND(AVERAGE(ARRAYFORMULA(IFERROR(VALUE(REGEXEXTRACT(FILTER(N$3:N$77,REGEXMATCH($A$3:$A$77,""→"")),""^[+-]?[0-9]*\.?[0-9]+"")),""""))),2)"),33.65)</f>
        <v>33.65</v>
      </c>
      <c r="O81" s="9">
        <f>IFERROR(__xludf.DUMMYFUNCTION("ROUND(AVERAGE(ARRAYFORMULA(IFERROR(VALUE(REGEXEXTRACT(FILTER(O$3:O$77,REGEXMATCH($A$3:$A$77,""→"")),""^[+-]?[0-9]*\.?[0-9]+"")),""""))),2)"),34.42)</f>
        <v>34.42</v>
      </c>
      <c r="P81" s="9">
        <f>IFERROR(__xludf.DUMMYFUNCTION("ROUND(AVERAGE(ARRAYFORMULA(IFERROR(VALUE(REGEXEXTRACT(FILTER(P$3:P$77,REGEXMATCH($A$3:$A$77,""→"")),""^[+-]?[0-9]*\.?[0-9]+"")),""""))),2)"),31.54)</f>
        <v>31.54</v>
      </c>
    </row>
    <row r="82">
      <c r="A82" s="31"/>
      <c r="B82" s="36"/>
      <c r="C82" s="37"/>
      <c r="D82" s="37"/>
      <c r="E82" s="37"/>
      <c r="F82" s="37"/>
      <c r="G82" s="37"/>
      <c r="H82" s="37"/>
      <c r="I82" s="35" t="s">
        <v>2015</v>
      </c>
      <c r="J82" s="35">
        <v>2.5152</v>
      </c>
      <c r="K82" s="35">
        <v>4.8333</v>
      </c>
      <c r="L82" s="35">
        <v>5.0379</v>
      </c>
      <c r="M82" s="35">
        <v>3.2273</v>
      </c>
      <c r="N82" s="35">
        <v>4.1667</v>
      </c>
      <c r="O82" s="35">
        <v>3.4924</v>
      </c>
      <c r="P82" s="35">
        <v>4.7273</v>
      </c>
    </row>
    <row r="83">
      <c r="A83" s="10"/>
      <c r="I83" s="35" t="s">
        <v>2016</v>
      </c>
      <c r="J83" s="35" t="s">
        <v>2359</v>
      </c>
      <c r="K83" s="35" t="s">
        <v>2017</v>
      </c>
      <c r="L83" s="35" t="s">
        <v>2017</v>
      </c>
      <c r="M83" s="35" t="s">
        <v>3438</v>
      </c>
      <c r="N83" s="35" t="s">
        <v>2017</v>
      </c>
      <c r="O83" s="35" t="s">
        <v>3438</v>
      </c>
      <c r="P83" s="35" t="s">
        <v>2017</v>
      </c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  <row r="1001">
      <c r="A1001" s="10"/>
    </row>
    <row r="1002">
      <c r="A1002" s="10"/>
    </row>
    <row r="1003">
      <c r="A1003" s="10"/>
    </row>
    <row r="1004">
      <c r="A1004" s="10"/>
    </row>
    <row r="1005">
      <c r="A1005" s="10"/>
    </row>
    <row r="1006">
      <c r="A1006" s="10"/>
    </row>
    <row r="1007">
      <c r="A1007" s="10"/>
    </row>
    <row r="1008">
      <c r="A1008" s="10"/>
    </row>
    <row r="1009">
      <c r="A1009" s="10"/>
    </row>
    <row r="1010">
      <c r="A1010" s="10"/>
    </row>
    <row r="1011">
      <c r="A1011" s="10"/>
    </row>
    <row r="1012">
      <c r="A1012" s="10"/>
    </row>
    <row r="1013">
      <c r="A1013" s="10"/>
    </row>
    <row r="1014">
      <c r="A1014" s="10"/>
    </row>
    <row r="1015">
      <c r="A1015" s="10"/>
    </row>
    <row r="1016">
      <c r="A1016" s="10"/>
    </row>
    <row r="1017">
      <c r="A1017" s="10"/>
    </row>
    <row r="1018">
      <c r="A1018" s="10"/>
    </row>
    <row r="1019">
      <c r="A1019" s="10"/>
    </row>
    <row r="1020">
      <c r="A1020" s="10"/>
    </row>
    <row r="1021">
      <c r="A1021" s="10"/>
    </row>
    <row r="1022">
      <c r="A1022" s="10"/>
    </row>
    <row r="1023">
      <c r="A1023" s="10"/>
    </row>
    <row r="1024">
      <c r="A1024" s="10"/>
    </row>
    <row r="1025">
      <c r="A1025" s="10"/>
    </row>
    <row r="1026">
      <c r="A1026" s="10"/>
    </row>
    <row r="1027">
      <c r="A1027" s="10"/>
    </row>
    <row r="1028">
      <c r="A1028" s="10"/>
    </row>
    <row r="1029">
      <c r="A1029" s="10"/>
    </row>
    <row r="1030">
      <c r="A1030" s="10"/>
    </row>
    <row r="1031">
      <c r="A1031" s="10"/>
    </row>
    <row r="1032">
      <c r="A1032" s="10"/>
    </row>
    <row r="1033">
      <c r="A1033" s="10"/>
    </row>
    <row r="1034">
      <c r="A1034" s="10"/>
    </row>
    <row r="1035">
      <c r="A1035" s="10"/>
    </row>
    <row r="1036">
      <c r="A1036" s="10"/>
    </row>
    <row r="1037">
      <c r="A1037" s="10"/>
    </row>
    <row r="1038">
      <c r="A1038" s="10"/>
    </row>
    <row r="1039">
      <c r="A1039" s="10"/>
    </row>
    <row r="1040">
      <c r="A1040" s="10"/>
    </row>
    <row r="1041">
      <c r="A1041" s="10"/>
    </row>
    <row r="1042">
      <c r="A1042" s="10"/>
    </row>
    <row r="1043">
      <c r="A1043" s="10"/>
    </row>
    <row r="1044">
      <c r="A1044" s="10"/>
    </row>
    <row r="1045">
      <c r="A1045" s="10"/>
    </row>
    <row r="1046">
      <c r="A1046" s="10"/>
    </row>
    <row r="1047">
      <c r="A1047" s="10"/>
    </row>
    <row r="1048">
      <c r="A1048" s="10"/>
    </row>
    <row r="1049">
      <c r="A1049" s="10"/>
    </row>
    <row r="1050">
      <c r="A1050" s="10"/>
    </row>
    <row r="1051">
      <c r="A1051" s="10"/>
    </row>
    <row r="1052">
      <c r="A1052" s="10"/>
    </row>
    <row r="1053">
      <c r="A1053" s="39"/>
    </row>
    <row r="1054">
      <c r="A1054" s="39"/>
    </row>
    <row r="1055">
      <c r="A1055" s="39"/>
    </row>
    <row r="1056">
      <c r="A1056" s="39"/>
    </row>
  </sheetData>
  <mergeCells count="4">
    <mergeCell ref="I2:P2"/>
    <mergeCell ref="I25:P25"/>
    <mergeCell ref="I34:P34"/>
    <mergeCell ref="I57:P5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75"/>
    <col customWidth="1" min="2" max="3" width="14.5"/>
    <col customWidth="1" min="4" max="4" width="16.5"/>
    <col customWidth="1" min="5" max="6" width="14.63"/>
    <col customWidth="1" min="8" max="8" width="16.63"/>
  </cols>
  <sheetData>
    <row r="1">
      <c r="A1" s="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3" t="s">
        <v>8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</row>
    <row r="2">
      <c r="A2" s="4" t="s">
        <v>9</v>
      </c>
      <c r="B2" s="15"/>
      <c r="C2" s="15"/>
      <c r="D2" s="15"/>
      <c r="E2" s="15"/>
      <c r="F2" s="15"/>
      <c r="G2" s="15"/>
      <c r="H2" s="15"/>
      <c r="I2" s="5" t="s">
        <v>9</v>
      </c>
    </row>
    <row r="3">
      <c r="A3" s="6" t="s">
        <v>10</v>
      </c>
      <c r="B3" s="16" t="s">
        <v>3092</v>
      </c>
      <c r="C3" s="16" t="s">
        <v>3094</v>
      </c>
      <c r="D3" s="16" t="s">
        <v>3095</v>
      </c>
      <c r="E3" s="16" t="s">
        <v>3097</v>
      </c>
      <c r="F3" s="16" t="s">
        <v>3099</v>
      </c>
      <c r="G3" s="16" t="s">
        <v>3101</v>
      </c>
      <c r="H3" s="16" t="s">
        <v>3103</v>
      </c>
      <c r="I3" s="8" t="str">
        <f t="shared" ref="I3:I24" si="1">A3</f>
        <v>CM1→MW1</v>
      </c>
      <c r="J3" s="10" t="str">
        <f>IFERROR(__xludf.DUMMYFUNCTION("TEXT(VALUE(REGEXEXTRACT(B3,""^[+-]?[0-9]*\.?[0-9]+""))*100,""0.00"")&amp;"" +/- ""&amp;TEXT(VALUE(REGEXEXTRACT(B3,""[0-9]*\.?[0-9]+$""))*100,""0.00"")"),"28.86 +/- 2.28")</f>
        <v>28.86 +/- 2.28</v>
      </c>
      <c r="K3" s="9" t="str">
        <f>IFERROR(__xludf.DUMMYFUNCTION("TEXT(VALUE(REGEXEXTRACT(C3,""^[+-]?[0-9]*\.?[0-9]+""))*100,""0.00"")&amp;"" +/- ""&amp;TEXT(VALUE(REGEXEXTRACT(C3,""[0-9]*\.?[0-9]+$""))*100,""0.00"")"),"18.55 +/- 0.00")</f>
        <v>18.55 +/- 0.00</v>
      </c>
      <c r="L3" s="9" t="str">
        <f>IFERROR(__xludf.DUMMYFUNCTION("TEXT(VALUE(REGEXEXTRACT(D3,""^[+-]?[0-9]*\.?[0-9]+""))*100,""0.00"")&amp;"" +/- ""&amp;TEXT(VALUE(REGEXEXTRACT(D3,""[0-9]*\.?[0-9]+$""))*100,""0.00"")"),"4.95 +/- 0.00")</f>
        <v>4.95 +/- 0.00</v>
      </c>
      <c r="M3" s="9" t="str">
        <f>IFERROR(__xludf.DUMMYFUNCTION("TEXT(VALUE(REGEXEXTRACT(E3,""^[+-]?[0-9]*\.?[0-9]+""))*100,""0.00"")&amp;"" +/- ""&amp;TEXT(VALUE(REGEXEXTRACT(E3,""[0-9]*\.?[0-9]+$""))*100,""0.00"")"),"8.75 +/- 5.23")</f>
        <v>8.75 +/- 5.23</v>
      </c>
      <c r="N3" s="9" t="str">
        <f>IFERROR(__xludf.DUMMYFUNCTION("TEXT(VALUE(REGEXEXTRACT(F3,""^[+-]?[0-9]*\.?[0-9]+""))*100,""0.00"")&amp;"" +/- ""&amp;TEXT(VALUE(REGEXEXTRACT(F3,""[0-9]*\.?[0-9]+$""))*100,""0.00"")"),"6.35 +/- 1.22")</f>
        <v>6.35 +/- 1.22</v>
      </c>
      <c r="O3" s="9" t="str">
        <f>IFERROR(__xludf.DUMMYFUNCTION("TEXT(VALUE(REGEXEXTRACT(G3,""^[+-]?[0-9]*\.?[0-9]+""))*100,""0.00"")&amp;"" +/- ""&amp;TEXT(VALUE(REGEXEXTRACT(G3,""[0-9]*\.?[0-9]+$""))*100,""0.00"")"),"7.21 +/- 2.78")</f>
        <v>7.21 +/- 2.78</v>
      </c>
      <c r="P3" s="9" t="str">
        <f>IFERROR(__xludf.DUMMYFUNCTION("TEXT(VALUE(REGEXEXTRACT(H3,""^[+-]?[0-9]*\.?[0-9]+""))*100,""0.00"")&amp;"" +/- ""&amp;TEXT(VALUE(REGEXEXTRACT(H3,""[0-9]*\.?[0-9]+$""))*100,""0.00"")"),"2.53 +/- 1.07")</f>
        <v>2.53 +/- 1.07</v>
      </c>
    </row>
    <row r="4">
      <c r="A4" s="6" t="s">
        <v>18</v>
      </c>
      <c r="B4" s="16" t="s">
        <v>3117</v>
      </c>
      <c r="C4" s="16" t="s">
        <v>3118</v>
      </c>
      <c r="D4" s="16" t="s">
        <v>3119</v>
      </c>
      <c r="E4" s="16" t="s">
        <v>3120</v>
      </c>
      <c r="F4" s="16" t="s">
        <v>3121</v>
      </c>
      <c r="G4" s="16" t="s">
        <v>3122</v>
      </c>
      <c r="H4" s="16" t="s">
        <v>3123</v>
      </c>
      <c r="I4" s="8" t="str">
        <f t="shared" si="1"/>
        <v>CM1→PC1</v>
      </c>
      <c r="J4" s="9" t="str">
        <f>IFERROR(__xludf.DUMMYFUNCTION("TEXT(VALUE(REGEXEXTRACT(B4,""^[+-]?[0-9]*\.?[0-9]+""))*100,""0.00"")&amp;"" +/- ""&amp;TEXT(VALUE(REGEXEXTRACT(B4,""[0-9]*\.?[0-9]+$""))*100,""0.00"")"),"21.38 +/- 0.76")</f>
        <v>21.38 +/- 0.76</v>
      </c>
      <c r="K4" s="9" t="str">
        <f>IFERROR(__xludf.DUMMYFUNCTION("TEXT(VALUE(REGEXEXTRACT(C4,""^[+-]?[0-9]*\.?[0-9]+""))*100,""0.00"")&amp;"" +/- ""&amp;TEXT(VALUE(REGEXEXTRACT(C4,""[0-9]*\.?[0-9]+$""))*100,""0.00"")"),"15.69 +/- 0.00")</f>
        <v>15.69 +/- 0.00</v>
      </c>
      <c r="L4" s="10" t="str">
        <f>IFERROR(__xludf.DUMMYFUNCTION("TEXT(VALUE(REGEXEXTRACT(D4,""^[+-]?[0-9]*\.?[0-9]+""))*100,""0.00"")&amp;"" +/- ""&amp;TEXT(VALUE(REGEXEXTRACT(D4,""[0-9]*\.?[0-9]+$""))*100,""0.00"")"),"26.21 +/- 0.00")</f>
        <v>26.21 +/- 0.00</v>
      </c>
      <c r="M4" s="9" t="str">
        <f>IFERROR(__xludf.DUMMYFUNCTION("TEXT(VALUE(REGEXEXTRACT(E4,""^[+-]?[0-9]*\.?[0-9]+""))*100,""0.00"")&amp;"" +/- ""&amp;TEXT(VALUE(REGEXEXTRACT(E4,""[0-9]*\.?[0-9]+$""))*100,""0.00"")"),"17.55 +/- 1.88")</f>
        <v>17.55 +/- 1.88</v>
      </c>
      <c r="N4" s="9" t="str">
        <f>IFERROR(__xludf.DUMMYFUNCTION("TEXT(VALUE(REGEXEXTRACT(F4,""^[+-]?[0-9]*\.?[0-9]+""))*100,""0.00"")&amp;"" +/- ""&amp;TEXT(VALUE(REGEXEXTRACT(F4,""[0-9]*\.?[0-9]+$""))*100,""0.00"")"),"16.47 +/- 1.66")</f>
        <v>16.47 +/- 1.66</v>
      </c>
      <c r="O4" s="9" t="str">
        <f>IFERROR(__xludf.DUMMYFUNCTION("TEXT(VALUE(REGEXEXTRACT(G4,""^[+-]?[0-9]*\.?[0-9]+""))*100,""0.00"")&amp;"" +/- ""&amp;TEXT(VALUE(REGEXEXTRACT(G4,""[0-9]*\.?[0-9]+$""))*100,""0.00"")"),"16.83 +/- 1.70")</f>
        <v>16.83 +/- 1.70</v>
      </c>
      <c r="P4" s="9" t="str">
        <f>IFERROR(__xludf.DUMMYFUNCTION("TEXT(VALUE(REGEXEXTRACT(H4,""^[+-]?[0-9]*\.?[0-9]+""))*100,""0.00"")&amp;"" +/- ""&amp;TEXT(VALUE(REGEXEXTRACT(H4,""[0-9]*\.?[0-9]+$""))*100,""0.00"")"),"17.65 +/- 0.75")</f>
        <v>17.65 +/- 0.75</v>
      </c>
    </row>
    <row r="5">
      <c r="A5" s="6" t="s">
        <v>26</v>
      </c>
      <c r="B5" s="16" t="s">
        <v>3164</v>
      </c>
      <c r="C5" s="16" t="s">
        <v>3165</v>
      </c>
      <c r="D5" s="16" t="s">
        <v>3166</v>
      </c>
      <c r="E5" s="16" t="s">
        <v>3167</v>
      </c>
      <c r="F5" s="16" t="s">
        <v>3168</v>
      </c>
      <c r="G5" s="16" t="s">
        <v>3169</v>
      </c>
      <c r="H5" s="16" t="s">
        <v>3170</v>
      </c>
      <c r="I5" s="8" t="str">
        <f t="shared" si="1"/>
        <v>CM1→PC3</v>
      </c>
      <c r="J5" s="9" t="str">
        <f>IFERROR(__xludf.DUMMYFUNCTION("TEXT(VALUE(REGEXEXTRACT(B5,""^[+-]?[0-9]*\.?[0-9]+""))*100,""0.00"")&amp;"" +/- ""&amp;TEXT(VALUE(REGEXEXTRACT(B5,""[0-9]*\.?[0-9]+$""))*100,""0.00"")"),"19.70 +/- 1.08")</f>
        <v>19.70 +/- 1.08</v>
      </c>
      <c r="K5" s="9" t="str">
        <f>IFERROR(__xludf.DUMMYFUNCTION("TEXT(VALUE(REGEXEXTRACT(C5,""^[+-]?[0-9]*\.?[0-9]+""))*100,""0.00"")&amp;"" +/- ""&amp;TEXT(VALUE(REGEXEXTRACT(C5,""[0-9]*\.?[0-9]+$""))*100,""0.00"")"),"11.50 +/- 0.00")</f>
        <v>11.50 +/- 0.00</v>
      </c>
      <c r="L5" s="10" t="str">
        <f>IFERROR(__xludf.DUMMYFUNCTION("TEXT(VALUE(REGEXEXTRACT(D5,""^[+-]?[0-9]*\.?[0-9]+""))*100,""0.00"")&amp;"" +/- ""&amp;TEXT(VALUE(REGEXEXTRACT(D5,""[0-9]*\.?[0-9]+$""))*100,""0.00"")"),"22.60 +/- 0.00")</f>
        <v>22.60 +/- 0.00</v>
      </c>
      <c r="M5" s="9" t="str">
        <f>IFERROR(__xludf.DUMMYFUNCTION("TEXT(VALUE(REGEXEXTRACT(E5,""^[+-]?[0-9]*\.?[0-9]+""))*100,""0.00"")&amp;"" +/- ""&amp;TEXT(VALUE(REGEXEXTRACT(E5,""[0-9]*\.?[0-9]+$""))*100,""0.00"")"),"17.06 +/- 1.14")</f>
        <v>17.06 +/- 1.14</v>
      </c>
      <c r="N5" s="9" t="str">
        <f>IFERROR(__xludf.DUMMYFUNCTION("TEXT(VALUE(REGEXEXTRACT(F5,""^[+-]?[0-9]*\.?[0-9]+""))*100,""0.00"")&amp;"" +/- ""&amp;TEXT(VALUE(REGEXEXTRACT(F5,""[0-9]*\.?[0-9]+$""))*100,""0.00"")"),"14.20 +/- 0.68")</f>
        <v>14.20 +/- 0.68</v>
      </c>
      <c r="O5" s="9" t="str">
        <f>IFERROR(__xludf.DUMMYFUNCTION("TEXT(VALUE(REGEXEXTRACT(G5,""^[+-]?[0-9]*\.?[0-9]+""))*100,""0.00"")&amp;"" +/- ""&amp;TEXT(VALUE(REGEXEXTRACT(G5,""[0-9]*\.?[0-9]+$""))*100,""0.00"")"),"15.09 +/- 1.42")</f>
        <v>15.09 +/- 1.42</v>
      </c>
      <c r="P5" s="9" t="str">
        <f>IFERROR(__xludf.DUMMYFUNCTION("TEXT(VALUE(REGEXEXTRACT(H5,""^[+-]?[0-9]*\.?[0-9]+""))*100,""0.00"")&amp;"" +/- ""&amp;TEXT(VALUE(REGEXEXTRACT(H5,""[0-9]*\.?[0-9]+$""))*100,""0.00"")"),"15.15 +/- 1.27")</f>
        <v>15.15 +/- 1.27</v>
      </c>
    </row>
    <row r="6">
      <c r="A6" s="6" t="s">
        <v>34</v>
      </c>
      <c r="B6" s="16" t="s">
        <v>3185</v>
      </c>
      <c r="C6" s="16" t="s">
        <v>3186</v>
      </c>
      <c r="D6" s="16" t="s">
        <v>3187</v>
      </c>
      <c r="E6" s="16" t="s">
        <v>3188</v>
      </c>
      <c r="F6" s="16" t="s">
        <v>3189</v>
      </c>
      <c r="G6" s="16" t="s">
        <v>3190</v>
      </c>
      <c r="H6" s="16" t="s">
        <v>3191</v>
      </c>
      <c r="I6" s="8" t="str">
        <f t="shared" si="1"/>
        <v>CM1→PC4</v>
      </c>
      <c r="J6" s="10" t="str">
        <f>IFERROR(__xludf.DUMMYFUNCTION("TEXT(VALUE(REGEXEXTRACT(B6,""^[+-]?[0-9]*\.?[0-9]+""))*100,""0.00"")&amp;"" +/- ""&amp;TEXT(VALUE(REGEXEXTRACT(B6,""[0-9]*\.?[0-9]+$""))*100,""0.00"")"),"8.83 +/- 0.62")</f>
        <v>8.83 +/- 0.62</v>
      </c>
      <c r="K6" s="9" t="str">
        <f>IFERROR(__xludf.DUMMYFUNCTION("TEXT(VALUE(REGEXEXTRACT(C6,""^[+-]?[0-9]*\.?[0-9]+""))*100,""0.00"")&amp;"" +/- ""&amp;TEXT(VALUE(REGEXEXTRACT(C6,""[0-9]*\.?[0-9]+$""))*100,""0.00"")"),"-6.62 +/- 0.00")</f>
        <v>-6.62 +/- 0.00</v>
      </c>
      <c r="L6" s="9" t="str">
        <f>IFERROR(__xludf.DUMMYFUNCTION("TEXT(VALUE(REGEXEXTRACT(D6,""^[+-]?[0-9]*\.?[0-9]+""))*100,""0.00"")&amp;"" +/- ""&amp;TEXT(VALUE(REGEXEXTRACT(D6,""[0-9]*\.?[0-9]+$""))*100,""0.00"")"),"8.36 +/- 0.00")</f>
        <v>8.36 +/- 0.00</v>
      </c>
      <c r="M6" s="9" t="str">
        <f>IFERROR(__xludf.DUMMYFUNCTION("TEXT(VALUE(REGEXEXTRACT(E6,""^[+-]?[0-9]*\.?[0-9]+""))*100,""0.00"")&amp;"" +/- ""&amp;TEXT(VALUE(REGEXEXTRACT(E6,""[0-9]*\.?[0-9]+$""))*100,""0.00"")"),"4.40 +/- 1.72")</f>
        <v>4.40 +/- 1.72</v>
      </c>
      <c r="N6" s="9" t="str">
        <f>IFERROR(__xludf.DUMMYFUNCTION("TEXT(VALUE(REGEXEXTRACT(F6,""^[+-]?[0-9]*\.?[0-9]+""))*100,""0.00"")&amp;"" +/- ""&amp;TEXT(VALUE(REGEXEXTRACT(F6,""[0-9]*\.?[0-9]+$""))*100,""0.00"")"),"4.08 +/- 0.71")</f>
        <v>4.08 +/- 0.71</v>
      </c>
      <c r="O6" s="9" t="str">
        <f>IFERROR(__xludf.DUMMYFUNCTION("TEXT(VALUE(REGEXEXTRACT(G6,""^[+-]?[0-9]*\.?[0-9]+""))*100,""0.00"")&amp;"" +/- ""&amp;TEXT(VALUE(REGEXEXTRACT(G6,""[0-9]*\.?[0-9]+$""))*100,""0.00"")"),"4.54 +/- 1.53")</f>
        <v>4.54 +/- 1.53</v>
      </c>
      <c r="P6" s="9" t="str">
        <f>IFERROR(__xludf.DUMMYFUNCTION("TEXT(VALUE(REGEXEXTRACT(H6,""^[+-]?[0-9]*\.?[0-9]+""))*100,""0.00"")&amp;"" +/- ""&amp;TEXT(VALUE(REGEXEXTRACT(H6,""[0-9]*\.?[0-9]+$""))*100,""0.00"")"),"-2.94 +/- 0.72")</f>
        <v>-2.94 +/- 0.72</v>
      </c>
    </row>
    <row r="7">
      <c r="A7" s="6" t="s">
        <v>42</v>
      </c>
      <c r="B7" s="16" t="s">
        <v>3206</v>
      </c>
      <c r="C7" s="16" t="s">
        <v>3209</v>
      </c>
      <c r="D7" s="16" t="s">
        <v>3211</v>
      </c>
      <c r="E7" s="16" t="s">
        <v>3212</v>
      </c>
      <c r="F7" s="16" t="s">
        <v>3213</v>
      </c>
      <c r="G7" s="16" t="s">
        <v>3214</v>
      </c>
      <c r="H7" s="16" t="s">
        <v>3216</v>
      </c>
      <c r="I7" s="8" t="str">
        <f t="shared" si="1"/>
        <v>MW1→CM1</v>
      </c>
      <c r="J7" s="10" t="str">
        <f>IFERROR(__xludf.DUMMYFUNCTION("TEXT(VALUE(REGEXEXTRACT(B7,""^[+-]?[0-9]*\.?[0-9]+""))*100,""0.00"")&amp;"" +/- ""&amp;TEXT(VALUE(REGEXEXTRACT(B7,""[0-9]*\.?[0-9]+$""))*100,""0.00"")"),"16.98 +/- 1.40")</f>
        <v>16.98 +/- 1.40</v>
      </c>
      <c r="K7" s="9" t="str">
        <f>IFERROR(__xludf.DUMMYFUNCTION("TEXT(VALUE(REGEXEXTRACT(C7,""^[+-]?[0-9]*\.?[0-9]+""))*100,""0.00"")&amp;"" +/- ""&amp;TEXT(VALUE(REGEXEXTRACT(C7,""[0-9]*\.?[0-9]+$""))*100,""0.00"")"),"16.96 +/- 0.00")</f>
        <v>16.96 +/- 0.00</v>
      </c>
      <c r="L7" s="9" t="str">
        <f>IFERROR(__xludf.DUMMYFUNCTION("TEXT(VALUE(REGEXEXTRACT(D7,""^[+-]?[0-9]*\.?[0-9]+""))*100,""0.00"")&amp;"" +/- ""&amp;TEXT(VALUE(REGEXEXTRACT(D7,""[0-9]*\.?[0-9]+$""))*100,""0.00"")"),"-0.45 +/- 0.00")</f>
        <v>-0.45 +/- 0.00</v>
      </c>
      <c r="M7" s="9" t="str">
        <f>IFERROR(__xludf.DUMMYFUNCTION("TEXT(VALUE(REGEXEXTRACT(E7,""^[+-]?[0-9]*\.?[0-9]+""))*100,""0.00"")&amp;"" +/- ""&amp;TEXT(VALUE(REGEXEXTRACT(E7,""[0-9]*\.?[0-9]+$""))*100,""0.00"")"),"11.67 +/- 3.01")</f>
        <v>11.67 +/- 3.01</v>
      </c>
      <c r="N7" s="9" t="str">
        <f>IFERROR(__xludf.DUMMYFUNCTION("TEXT(VALUE(REGEXEXTRACT(F7,""^[+-]?[0-9]*\.?[0-9]+""))*100,""0.00"")&amp;"" +/- ""&amp;TEXT(VALUE(REGEXEXTRACT(F7,""[0-9]*\.?[0-9]+$""))*100,""0.00"")"),"13.64 +/- 1.78")</f>
        <v>13.64 +/- 1.78</v>
      </c>
      <c r="O7" s="9" t="str">
        <f>IFERROR(__xludf.DUMMYFUNCTION("TEXT(VALUE(REGEXEXTRACT(G7,""^[+-]?[0-9]*\.?[0-9]+""))*100,""0.00"")&amp;"" +/- ""&amp;TEXT(VALUE(REGEXEXTRACT(G7,""[0-9]*\.?[0-9]+$""))*100,""0.00"")"),"13.29 +/- 2.45")</f>
        <v>13.29 +/- 2.45</v>
      </c>
      <c r="P7" s="9" t="str">
        <f>IFERROR(__xludf.DUMMYFUNCTION("TEXT(VALUE(REGEXEXTRACT(H7,""^[+-]?[0-9]*\.?[0-9]+""))*100,""0.00"")&amp;"" +/- ""&amp;TEXT(VALUE(REGEXEXTRACT(H7,""[0-9]*\.?[0-9]+$""))*100,""0.00"")"),"11.10 +/- 1.35")</f>
        <v>11.10 +/- 1.35</v>
      </c>
    </row>
    <row r="8">
      <c r="A8" s="6" t="s">
        <v>50</v>
      </c>
      <c r="B8" s="16" t="s">
        <v>3255</v>
      </c>
      <c r="C8" s="16" t="s">
        <v>3256</v>
      </c>
      <c r="D8" s="16" t="s">
        <v>3257</v>
      </c>
      <c r="E8" s="16" t="s">
        <v>3258</v>
      </c>
      <c r="F8" s="16" t="s">
        <v>3259</v>
      </c>
      <c r="G8" s="16" t="s">
        <v>3260</v>
      </c>
      <c r="H8" s="16" t="s">
        <v>3261</v>
      </c>
      <c r="I8" s="8" t="str">
        <f t="shared" si="1"/>
        <v>MW1→PC1</v>
      </c>
      <c r="J8" s="9" t="str">
        <f>IFERROR(__xludf.DUMMYFUNCTION("TEXT(VALUE(REGEXEXTRACT(B8,""^[+-]?[0-9]*\.?[0-9]+""))*100,""0.00"")&amp;"" +/- ""&amp;TEXT(VALUE(REGEXEXTRACT(B8,""[0-9]*\.?[0-9]+$""))*100,""0.00"")"),"6.19 +/- 1.56")</f>
        <v>6.19 +/- 1.56</v>
      </c>
      <c r="K8" s="10" t="str">
        <f>IFERROR(__xludf.DUMMYFUNCTION("TEXT(VALUE(REGEXEXTRACT(C8,""^[+-]?[0-9]*\.?[0-9]+""))*100,""0.00"")&amp;"" +/- ""&amp;TEXT(VALUE(REGEXEXTRACT(C8,""[0-9]*\.?[0-9]+$""))*100,""0.00"")"),"10.96 +/- 0.00")</f>
        <v>10.96 +/- 0.00</v>
      </c>
      <c r="L8" s="9" t="str">
        <f>IFERROR(__xludf.DUMMYFUNCTION("TEXT(VALUE(REGEXEXTRACT(D8,""^[+-]?[0-9]*\.?[0-9]+""))*100,""0.00"")&amp;"" +/- ""&amp;TEXT(VALUE(REGEXEXTRACT(D8,""[0-9]*\.?[0-9]+$""))*100,""0.00"")"),"-5.17 +/- 0.00")</f>
        <v>-5.17 +/- 0.00</v>
      </c>
      <c r="M8" s="9" t="str">
        <f>IFERROR(__xludf.DUMMYFUNCTION("TEXT(VALUE(REGEXEXTRACT(E8,""^[+-]?[0-9]*\.?[0-9]+""))*100,""0.00"")&amp;"" +/- ""&amp;TEXT(VALUE(REGEXEXTRACT(E8,""[0-9]*\.?[0-9]+$""))*100,""0.00"")"),"3.12 +/- 1.10")</f>
        <v>3.12 +/- 1.10</v>
      </c>
      <c r="N8" s="9" t="str">
        <f>IFERROR(__xludf.DUMMYFUNCTION("TEXT(VALUE(REGEXEXTRACT(F8,""^[+-]?[0-9]*\.?[0-9]+""))*100,""0.00"")&amp;"" +/- ""&amp;TEXT(VALUE(REGEXEXTRACT(F8,""[0-9]*\.?[0-9]+$""))*100,""0.00"")"),"1.52 +/- 0.85")</f>
        <v>1.52 +/- 0.85</v>
      </c>
      <c r="O8" s="9" t="str">
        <f>IFERROR(__xludf.DUMMYFUNCTION("TEXT(VALUE(REGEXEXTRACT(G8,""^[+-]?[0-9]*\.?[0-9]+""))*100,""0.00"")&amp;"" +/- ""&amp;TEXT(VALUE(REGEXEXTRACT(G8,""[0-9]*\.?[0-9]+$""))*100,""0.00"")"),"3.55 +/- 1.05")</f>
        <v>3.55 +/- 1.05</v>
      </c>
      <c r="P8" s="9" t="str">
        <f>IFERROR(__xludf.DUMMYFUNCTION("TEXT(VALUE(REGEXEXTRACT(H8,""^[+-]?[0-9]*\.?[0-9]+""))*100,""0.00"")&amp;"" +/- ""&amp;TEXT(VALUE(REGEXEXTRACT(H8,""[0-9]*\.?[0-9]+$""))*100,""0.00"")"),"7.93 +/- 1.07")</f>
        <v>7.93 +/- 1.07</v>
      </c>
    </row>
    <row r="9">
      <c r="A9" s="6" t="s">
        <v>58</v>
      </c>
      <c r="B9" s="16" t="s">
        <v>3272</v>
      </c>
      <c r="C9" s="16" t="s">
        <v>3274</v>
      </c>
      <c r="D9" s="16" t="s">
        <v>3276</v>
      </c>
      <c r="E9" s="16" t="s">
        <v>3278</v>
      </c>
      <c r="F9" s="16" t="s">
        <v>3281</v>
      </c>
      <c r="G9" s="16" t="s">
        <v>3283</v>
      </c>
      <c r="H9" s="16" t="s">
        <v>3284</v>
      </c>
      <c r="I9" s="8" t="str">
        <f t="shared" si="1"/>
        <v>MW1→PC3</v>
      </c>
      <c r="J9" s="10" t="str">
        <f>IFERROR(__xludf.DUMMYFUNCTION("TEXT(VALUE(REGEXEXTRACT(B9,""^[+-]?[0-9]*\.?[0-9]+""))*100,""0.00"")&amp;"" +/- ""&amp;TEXT(VALUE(REGEXEXTRACT(B9,""[0-9]*\.?[0-9]+$""))*100,""0.00"")"),"17.12 +/- 1.20")</f>
        <v>17.12 +/- 1.20</v>
      </c>
      <c r="K9" s="9" t="str">
        <f>IFERROR(__xludf.DUMMYFUNCTION("TEXT(VALUE(REGEXEXTRACT(C9,""^[+-]?[0-9]*\.?[0-9]+""))*100,""0.00"")&amp;"" +/- ""&amp;TEXT(VALUE(REGEXEXTRACT(C9,""[0-9]*\.?[0-9]+$""))*100,""0.00"")"),"14.59 +/- 0.00")</f>
        <v>14.59 +/- 0.00</v>
      </c>
      <c r="L9" s="9" t="str">
        <f>IFERROR(__xludf.DUMMYFUNCTION("TEXT(VALUE(REGEXEXTRACT(D9,""^[+-]?[0-9]*\.?[0-9]+""))*100,""0.00"")&amp;"" +/- ""&amp;TEXT(VALUE(REGEXEXTRACT(D9,""[0-9]*\.?[0-9]+$""))*100,""0.00"")"),"0.59 +/- 0.00")</f>
        <v>0.59 +/- 0.00</v>
      </c>
      <c r="M9" s="9" t="str">
        <f>IFERROR(__xludf.DUMMYFUNCTION("TEXT(VALUE(REGEXEXTRACT(E9,""^[+-]?[0-9]*\.?[0-9]+""))*100,""0.00"")&amp;"" +/- ""&amp;TEXT(VALUE(REGEXEXTRACT(E9,""[0-9]*\.?[0-9]+$""))*100,""0.00"")"),"11.39 +/- 1.72")</f>
        <v>11.39 +/- 1.72</v>
      </c>
      <c r="N9" s="9" t="str">
        <f>IFERROR(__xludf.DUMMYFUNCTION("TEXT(VALUE(REGEXEXTRACT(F9,""^[+-]?[0-9]*\.?[0-9]+""))*100,""0.00"")&amp;"" +/- ""&amp;TEXT(VALUE(REGEXEXTRACT(F9,""[0-9]*\.?[0-9]+$""))*100,""0.00"")"),"10.28 +/- 1.11")</f>
        <v>10.28 +/- 1.11</v>
      </c>
      <c r="O9" s="9" t="str">
        <f>IFERROR(__xludf.DUMMYFUNCTION("TEXT(VALUE(REGEXEXTRACT(G9,""^[+-]?[0-9]*\.?[0-9]+""))*100,""0.00"")&amp;"" +/- ""&amp;TEXT(VALUE(REGEXEXTRACT(G9,""[0-9]*\.?[0-9]+$""))*100,""0.00"")"),"12.81 +/- 1.27")</f>
        <v>12.81 +/- 1.27</v>
      </c>
      <c r="P9" s="9" t="str">
        <f>IFERROR(__xludf.DUMMYFUNCTION("TEXT(VALUE(REGEXEXTRACT(H9,""^[+-]?[0-9]*\.?[0-9]+""))*100,""0.00"")&amp;"" +/- ""&amp;TEXT(VALUE(REGEXEXTRACT(H9,""[0-9]*\.?[0-9]+$""))*100,""0.00"")"),"8.92 +/- 0.94")</f>
        <v>8.92 +/- 0.94</v>
      </c>
    </row>
    <row r="10">
      <c r="A10" s="6" t="s">
        <v>66</v>
      </c>
      <c r="B10" s="16" t="s">
        <v>3319</v>
      </c>
      <c r="C10" s="16" t="s">
        <v>3322</v>
      </c>
      <c r="D10" s="16" t="s">
        <v>3324</v>
      </c>
      <c r="E10" s="16" t="s">
        <v>3326</v>
      </c>
      <c r="F10" s="16" t="s">
        <v>3327</v>
      </c>
      <c r="G10" s="16" t="s">
        <v>3328</v>
      </c>
      <c r="H10" s="16" t="s">
        <v>3329</v>
      </c>
      <c r="I10" s="8" t="str">
        <f t="shared" si="1"/>
        <v>MW1→PC4</v>
      </c>
      <c r="J10" s="9" t="str">
        <f>IFERROR(__xludf.DUMMYFUNCTION("TEXT(VALUE(REGEXEXTRACT(B10,""^[+-]?[0-9]*\.?[0-9]+""))*100,""0.00"")&amp;"" +/- ""&amp;TEXT(VALUE(REGEXEXTRACT(B10,""[0-9]*\.?[0-9]+$""))*100,""0.00"")"),"-9.84 +/- 1.07")</f>
        <v>-9.84 +/- 1.07</v>
      </c>
      <c r="K10" s="9" t="str">
        <f>IFERROR(__xludf.DUMMYFUNCTION("TEXT(VALUE(REGEXEXTRACT(C10,""^[+-]?[0-9]*\.?[0-9]+""))*100,""0.00"")&amp;"" +/- ""&amp;TEXT(VALUE(REGEXEXTRACT(C10,""[0-9]*\.?[0-9]+$""))*100,""0.00"")"),"-12.20 +/- 0.00")</f>
        <v>-12.20 +/- 0.00</v>
      </c>
      <c r="L10" s="10" t="str">
        <f>IFERROR(__xludf.DUMMYFUNCTION("TEXT(VALUE(REGEXEXTRACT(D10,""^[+-]?[0-9]*\.?[0-9]+""))*100,""0.00"")&amp;"" +/- ""&amp;TEXT(VALUE(REGEXEXTRACT(D10,""[0-9]*\.?[0-9]+$""))*100,""0.00"")"),"10.30 +/- 0.00")</f>
        <v>10.30 +/- 0.00</v>
      </c>
      <c r="M10" s="9" t="str">
        <f>IFERROR(__xludf.DUMMYFUNCTION("TEXT(VALUE(REGEXEXTRACT(E10,""^[+-]?[0-9]*\.?[0-9]+""))*100,""0.00"")&amp;"" +/- ""&amp;TEXT(VALUE(REGEXEXTRACT(E10,""[0-9]*\.?[0-9]+$""))*100,""0.00"")"),"-16.57 +/- 1.82")</f>
        <v>-16.57 +/- 1.82</v>
      </c>
      <c r="N10" s="9" t="str">
        <f>IFERROR(__xludf.DUMMYFUNCTION("TEXT(VALUE(REGEXEXTRACT(F10,""^[+-]?[0-9]*\.?[0-9]+""))*100,""0.00"")&amp;"" +/- ""&amp;TEXT(VALUE(REGEXEXTRACT(F10,""[0-9]*\.?[0-9]+$""))*100,""0.00"")"),"-17.76 +/- 1.04")</f>
        <v>-17.76 +/- 1.04</v>
      </c>
      <c r="O10" s="9" t="str">
        <f>IFERROR(__xludf.DUMMYFUNCTION("TEXT(VALUE(REGEXEXTRACT(G10,""^[+-]?[0-9]*\.?[0-9]+""))*100,""0.00"")&amp;"" +/- ""&amp;TEXT(VALUE(REGEXEXTRACT(G10,""[0-9]*\.?[0-9]+$""))*100,""0.00"")"),"-15.47 +/- 1.72")</f>
        <v>-15.47 +/- 1.72</v>
      </c>
      <c r="P10" s="9" t="str">
        <f>IFERROR(__xludf.DUMMYFUNCTION("TEXT(VALUE(REGEXEXTRACT(H10,""^[+-]?[0-9]*\.?[0-9]+""))*100,""0.00"")&amp;"" +/- ""&amp;TEXT(VALUE(REGEXEXTRACT(H10,""[0-9]*\.?[0-9]+$""))*100,""0.00"")"),"-13.96 +/- 0.72")</f>
        <v>-13.96 +/- 0.72</v>
      </c>
    </row>
    <row r="11">
      <c r="A11" s="6" t="s">
        <v>79</v>
      </c>
      <c r="B11" s="16" t="s">
        <v>3337</v>
      </c>
      <c r="C11" s="16" t="s">
        <v>3338</v>
      </c>
      <c r="D11" s="16" t="s">
        <v>3339</v>
      </c>
      <c r="E11" s="16" t="s">
        <v>3340</v>
      </c>
      <c r="F11" s="16" t="s">
        <v>3341</v>
      </c>
      <c r="G11" s="16" t="s">
        <v>3342</v>
      </c>
      <c r="H11" s="16" t="s">
        <v>3343</v>
      </c>
      <c r="I11" s="8" t="str">
        <f t="shared" si="1"/>
        <v>PC1→CM1</v>
      </c>
      <c r="J11" s="9" t="str">
        <f>IFERROR(__xludf.DUMMYFUNCTION("TEXT(VALUE(REGEXEXTRACT(B11,""^[+-]?[0-9]*\.?[0-9]+""))*100,""0.00"")&amp;"" +/- ""&amp;TEXT(VALUE(REGEXEXTRACT(B11,""[0-9]*\.?[0-9]+$""))*100,""0.00"")"),"13.67 +/- 1.95")</f>
        <v>13.67 +/- 1.95</v>
      </c>
      <c r="K11" s="9" t="str">
        <f>IFERROR(__xludf.DUMMYFUNCTION("TEXT(VALUE(REGEXEXTRACT(C11,""^[+-]?[0-9]*\.?[0-9]+""))*100,""0.00"")&amp;"" +/- ""&amp;TEXT(VALUE(REGEXEXTRACT(C11,""[0-9]*\.?[0-9]+$""))*100,""0.00"")"),"8.24 +/- 0.00")</f>
        <v>8.24 +/- 0.00</v>
      </c>
      <c r="L11" s="9" t="str">
        <f>IFERROR(__xludf.DUMMYFUNCTION("TEXT(VALUE(REGEXEXTRACT(D11,""^[+-]?[0-9]*\.?[0-9]+""))*100,""0.00"")&amp;"" +/- ""&amp;TEXT(VALUE(REGEXEXTRACT(D11,""[0-9]*\.?[0-9]+$""))*100,""0.00"")"),"12.36 +/- 0.00")</f>
        <v>12.36 +/- 0.00</v>
      </c>
      <c r="M11" s="9" t="str">
        <f>IFERROR(__xludf.DUMMYFUNCTION("TEXT(VALUE(REGEXEXTRACT(E11,""^[+-]?[0-9]*\.?[0-9]+""))*100,""0.00"")&amp;"" +/- ""&amp;TEXT(VALUE(REGEXEXTRACT(E11,""[0-9]*\.?[0-9]+$""))*100,""0.00"")"),"26.43 +/- 1.79")</f>
        <v>26.43 +/- 1.79</v>
      </c>
      <c r="N11" s="9" t="str">
        <f>IFERROR(__xludf.DUMMYFUNCTION("TEXT(VALUE(REGEXEXTRACT(F11,""^[+-]?[0-9]*\.?[0-9]+""))*100,""0.00"")&amp;"" +/- ""&amp;TEXT(VALUE(REGEXEXTRACT(F11,""[0-9]*\.?[0-9]+$""))*100,""0.00"")"),"28.08 +/- 1.29")</f>
        <v>28.08 +/- 1.29</v>
      </c>
      <c r="O11" s="9" t="str">
        <f>IFERROR(__xludf.DUMMYFUNCTION("TEXT(VALUE(REGEXEXTRACT(G11,""^[+-]?[0-9]*\.?[0-9]+""))*100,""0.00"")&amp;"" +/- ""&amp;TEXT(VALUE(REGEXEXTRACT(G11,""[0-9]*\.?[0-9]+$""))*100,""0.00"")"),"26.36 +/- 1.87")</f>
        <v>26.36 +/- 1.87</v>
      </c>
      <c r="P11" s="10" t="str">
        <f>IFERROR(__xludf.DUMMYFUNCTION("TEXT(VALUE(REGEXEXTRACT(H11,""^[+-]?[0-9]*\.?[0-9]+""))*100,""0.00"")&amp;"" +/- ""&amp;TEXT(VALUE(REGEXEXTRACT(H11,""[0-9]*\.?[0-9]+$""))*100,""0.00"")"),"29.40 +/- 1.68")</f>
        <v>29.40 +/- 1.68</v>
      </c>
    </row>
    <row r="12">
      <c r="A12" s="6" t="s">
        <v>94</v>
      </c>
      <c r="B12" s="16" t="s">
        <v>3351</v>
      </c>
      <c r="C12" s="16" t="s">
        <v>3352</v>
      </c>
      <c r="D12" s="16" t="s">
        <v>3353</v>
      </c>
      <c r="E12" s="16" t="s">
        <v>3354</v>
      </c>
      <c r="F12" s="16" t="s">
        <v>3355</v>
      </c>
      <c r="G12" s="16" t="s">
        <v>3356</v>
      </c>
      <c r="H12" s="16" t="s">
        <v>3357</v>
      </c>
      <c r="I12" s="8" t="str">
        <f t="shared" si="1"/>
        <v>PC1→MW1</v>
      </c>
      <c r="J12" s="9" t="str">
        <f>IFERROR(__xludf.DUMMYFUNCTION("TEXT(VALUE(REGEXEXTRACT(B12,""^[+-]?[0-9]*\.?[0-9]+""))*100,""0.00"")&amp;"" +/- ""&amp;TEXT(VALUE(REGEXEXTRACT(B12,""[0-9]*\.?[0-9]+$""))*100,""0.00"")"),"27.16 +/- 2.11")</f>
        <v>27.16 +/- 2.11</v>
      </c>
      <c r="K12" s="9" t="str">
        <f>IFERROR(__xludf.DUMMYFUNCTION("TEXT(VALUE(REGEXEXTRACT(C12,""^[+-]?[0-9]*\.?[0-9]+""))*100,""0.00"")&amp;"" +/- ""&amp;TEXT(VALUE(REGEXEXTRACT(C12,""[0-9]*\.?[0-9]+$""))*100,""0.00"")"),"8.45 +/- 0.00")</f>
        <v>8.45 +/- 0.00</v>
      </c>
      <c r="L12" s="9" t="str">
        <f>IFERROR(__xludf.DUMMYFUNCTION("TEXT(VALUE(REGEXEXTRACT(D12,""^[+-]?[0-9]*\.?[0-9]+""))*100,""0.00"")&amp;"" +/- ""&amp;TEXT(VALUE(REGEXEXTRACT(D12,""[0-9]*\.?[0-9]+$""))*100,""0.00"")"),"5.88 +/- 0.00")</f>
        <v>5.88 +/- 0.00</v>
      </c>
      <c r="M12" s="10" t="str">
        <f>IFERROR(__xludf.DUMMYFUNCTION("TEXT(VALUE(REGEXEXTRACT(E12,""^[+-]?[0-9]*\.?[0-9]+""))*100,""0.00"")&amp;"" +/- ""&amp;TEXT(VALUE(REGEXEXTRACT(E12,""[0-9]*\.?[0-9]+$""))*100,""0.00"")"),"30.03 +/- 1.34")</f>
        <v>30.03 +/- 1.34</v>
      </c>
      <c r="N12" s="9" t="str">
        <f>IFERROR(__xludf.DUMMYFUNCTION("TEXT(VALUE(REGEXEXTRACT(F12,""^[+-]?[0-9]*\.?[0-9]+""))*100,""0.00"")&amp;"" +/- ""&amp;TEXT(VALUE(REGEXEXTRACT(F12,""[0-9]*\.?[0-9]+$""))*100,""0.00"")"),"27.37 +/- 1.55")</f>
        <v>27.37 +/- 1.55</v>
      </c>
      <c r="O12" s="9" t="str">
        <f>IFERROR(__xludf.DUMMYFUNCTION("TEXT(VALUE(REGEXEXTRACT(G12,""^[+-]?[0-9]*\.?[0-9]+""))*100,""0.00"")&amp;"" +/- ""&amp;TEXT(VALUE(REGEXEXTRACT(G12,""[0-9]*\.?[0-9]+$""))*100,""0.00"")"),"28.46 +/- 2.37")</f>
        <v>28.46 +/- 2.37</v>
      </c>
      <c r="P12" s="9" t="str">
        <f>IFERROR(__xludf.DUMMYFUNCTION("TEXT(VALUE(REGEXEXTRACT(H12,""^[+-]?[0-9]*\.?[0-9]+""))*100,""0.00"")&amp;"" +/- ""&amp;TEXT(VALUE(REGEXEXTRACT(H12,""[0-9]*\.?[0-9]+$""))*100,""0.00"")"),"28.04 +/- 2.30")</f>
        <v>28.04 +/- 2.30</v>
      </c>
    </row>
    <row r="13">
      <c r="A13" s="6" t="s">
        <v>109</v>
      </c>
      <c r="B13" s="16" t="s">
        <v>3365</v>
      </c>
      <c r="C13" s="16" t="s">
        <v>3366</v>
      </c>
      <c r="D13" s="16" t="s">
        <v>3367</v>
      </c>
      <c r="E13" s="16" t="s">
        <v>3368</v>
      </c>
      <c r="F13" s="16" t="s">
        <v>3369</v>
      </c>
      <c r="G13" s="16" t="s">
        <v>3370</v>
      </c>
      <c r="H13" s="16" t="s">
        <v>3372</v>
      </c>
      <c r="I13" s="8" t="str">
        <f t="shared" si="1"/>
        <v>PC1→PC3</v>
      </c>
      <c r="J13" s="9" t="str">
        <f>IFERROR(__xludf.DUMMYFUNCTION("TEXT(VALUE(REGEXEXTRACT(B13,""^[+-]?[0-9]*\.?[0-9]+""))*100,""0.00"")&amp;"" +/- ""&amp;TEXT(VALUE(REGEXEXTRACT(B13,""[0-9]*\.?[0-9]+$""))*100,""0.00"")"),"26.51 +/- 0.84")</f>
        <v>26.51 +/- 0.84</v>
      </c>
      <c r="K13" s="9" t="str">
        <f>IFERROR(__xludf.DUMMYFUNCTION("TEXT(VALUE(REGEXEXTRACT(C13,""^[+-]?[0-9]*\.?[0-9]+""))*100,""0.00"")&amp;"" +/- ""&amp;TEXT(VALUE(REGEXEXTRACT(C13,""[0-9]*\.?[0-9]+$""))*100,""0.00"")"),"9.11 +/- 0.00")</f>
        <v>9.11 +/- 0.00</v>
      </c>
      <c r="L13" s="9" t="str">
        <f>IFERROR(__xludf.DUMMYFUNCTION("TEXT(VALUE(REGEXEXTRACT(D13,""^[+-]?[0-9]*\.?[0-9]+""))*100,""0.00"")&amp;"" +/- ""&amp;TEXT(VALUE(REGEXEXTRACT(D13,""[0-9]*\.?[0-9]+$""))*100,""0.00"")"),"4.25 +/- 0.00")</f>
        <v>4.25 +/- 0.00</v>
      </c>
      <c r="M13" s="9" t="str">
        <f>IFERROR(__xludf.DUMMYFUNCTION("TEXT(VALUE(REGEXEXTRACT(E13,""^[+-]?[0-9]*\.?[0-9]+""))*100,""0.00"")&amp;"" +/- ""&amp;TEXT(VALUE(REGEXEXTRACT(E13,""[0-9]*\.?[0-9]+$""))*100,""0.00"")"),"27.63 +/- 1.16")</f>
        <v>27.63 +/- 1.16</v>
      </c>
      <c r="N13" s="9" t="str">
        <f>IFERROR(__xludf.DUMMYFUNCTION("TEXT(VALUE(REGEXEXTRACT(F13,""^[+-]?[0-9]*\.?[0-9]+""))*100,""0.00"")&amp;"" +/- ""&amp;TEXT(VALUE(REGEXEXTRACT(F13,""[0-9]*\.?[0-9]+$""))*100,""0.00"")"),"25.86 +/- 0.97")</f>
        <v>25.86 +/- 0.97</v>
      </c>
      <c r="O13" s="10" t="str">
        <f>IFERROR(__xludf.DUMMYFUNCTION("TEXT(VALUE(REGEXEXTRACT(G13,""^[+-]?[0-9]*\.?[0-9]+""))*100,""0.00"")&amp;"" +/- ""&amp;TEXT(VALUE(REGEXEXTRACT(G13,""[0-9]*\.?[0-9]+$""))*100,""0.00"")"),"27.72 +/- 1.09")</f>
        <v>27.72 +/- 1.09</v>
      </c>
      <c r="P13" s="9" t="str">
        <f>IFERROR(__xludf.DUMMYFUNCTION("TEXT(VALUE(REGEXEXTRACT(H13,""^[+-]?[0-9]*\.?[0-9]+""))*100,""0.00"")&amp;"" +/- ""&amp;TEXT(VALUE(REGEXEXTRACT(H13,""[0-9]*\.?[0-9]+$""))*100,""0.00"")"),"26.10 +/- 1.45")</f>
        <v>26.10 +/- 1.45</v>
      </c>
    </row>
    <row r="14">
      <c r="A14" s="6" t="s">
        <v>124</v>
      </c>
      <c r="B14" s="16" t="s">
        <v>3379</v>
      </c>
      <c r="C14" s="16" t="s">
        <v>3380</v>
      </c>
      <c r="D14" s="16" t="s">
        <v>3381</v>
      </c>
      <c r="E14" s="16" t="s">
        <v>3382</v>
      </c>
      <c r="F14" s="16" t="s">
        <v>3383</v>
      </c>
      <c r="G14" s="16" t="s">
        <v>3384</v>
      </c>
      <c r="H14" s="16" t="s">
        <v>3385</v>
      </c>
      <c r="I14" s="8" t="str">
        <f t="shared" si="1"/>
        <v>PC1→PC4</v>
      </c>
      <c r="J14" s="9" t="str">
        <f>IFERROR(__xludf.DUMMYFUNCTION("TEXT(VALUE(REGEXEXTRACT(B14,""^[+-]?[0-9]*\.?[0-9]+""))*100,""0.00"")&amp;"" +/- ""&amp;TEXT(VALUE(REGEXEXTRACT(B14,""[0-9]*\.?[0-9]+$""))*100,""0.00"")"),"19.48 +/- 0.69")</f>
        <v>19.48 +/- 0.69</v>
      </c>
      <c r="K14" s="9" t="str">
        <f>IFERROR(__xludf.DUMMYFUNCTION("TEXT(VALUE(REGEXEXTRACT(C14,""^[+-]?[0-9]*\.?[0-9]+""))*100,""0.00"")&amp;"" +/- ""&amp;TEXT(VALUE(REGEXEXTRACT(C14,""[0-9]*\.?[0-9]+$""))*100,""0.00"")"),"12.23 +/- 0.00")</f>
        <v>12.23 +/- 0.00</v>
      </c>
      <c r="L14" s="9" t="str">
        <f>IFERROR(__xludf.DUMMYFUNCTION("TEXT(VALUE(REGEXEXTRACT(D14,""^[+-]?[0-9]*\.?[0-9]+""))*100,""0.00"")&amp;"" +/- ""&amp;TEXT(VALUE(REGEXEXTRACT(D14,""[0-9]*\.?[0-9]+$""))*100,""0.00"")"),"15.10 +/- 0.00")</f>
        <v>15.10 +/- 0.00</v>
      </c>
      <c r="M14" s="9" t="str">
        <f>IFERROR(__xludf.DUMMYFUNCTION("TEXT(VALUE(REGEXEXTRACT(E14,""^[+-]?[0-9]*\.?[0-9]+""))*100,""0.00"")&amp;"" +/- ""&amp;TEXT(VALUE(REGEXEXTRACT(E14,""[0-9]*\.?[0-9]+$""))*100,""0.00"")"),"19.86 +/- 0.82")</f>
        <v>19.86 +/- 0.82</v>
      </c>
      <c r="N14" s="9" t="str">
        <f>IFERROR(__xludf.DUMMYFUNCTION("TEXT(VALUE(REGEXEXTRACT(F14,""^[+-]?[0-9]*\.?[0-9]+""))*100,""0.00"")&amp;"" +/- ""&amp;TEXT(VALUE(REGEXEXTRACT(F14,""[0-9]*\.?[0-9]+$""))*100,""0.00"")"),"18.23 +/- 0.86")</f>
        <v>18.23 +/- 0.86</v>
      </c>
      <c r="O14" s="9" t="str">
        <f>IFERROR(__xludf.DUMMYFUNCTION("TEXT(VALUE(REGEXEXTRACT(G14,""^[+-]?[0-9]*\.?[0-9]+""))*100,""0.00"")&amp;"" +/- ""&amp;TEXT(VALUE(REGEXEXTRACT(G14,""[0-9]*\.?[0-9]+$""))*100,""0.00"")"),"18.82 +/- 1.11")</f>
        <v>18.82 +/- 1.11</v>
      </c>
      <c r="P14" s="10" t="str">
        <f>IFERROR(__xludf.DUMMYFUNCTION("TEXT(VALUE(REGEXEXTRACT(H14,""^[+-]?[0-9]*\.?[0-9]+""))*100,""0.00"")&amp;"" +/- ""&amp;TEXT(VALUE(REGEXEXTRACT(H14,""[0-9]*\.?[0-9]+$""))*100,""0.00"")"),"19.93 +/- 1.79")</f>
        <v>19.93 +/- 1.79</v>
      </c>
    </row>
    <row r="15">
      <c r="A15" s="6" t="s">
        <v>139</v>
      </c>
      <c r="B15" s="16" t="s">
        <v>3393</v>
      </c>
      <c r="C15" s="16" t="s">
        <v>3394</v>
      </c>
      <c r="D15" s="16" t="s">
        <v>3395</v>
      </c>
      <c r="E15" s="16" t="s">
        <v>3396</v>
      </c>
      <c r="F15" s="16" t="s">
        <v>3397</v>
      </c>
      <c r="G15" s="16" t="s">
        <v>3398</v>
      </c>
      <c r="H15" s="16" t="s">
        <v>3399</v>
      </c>
      <c r="I15" s="8" t="str">
        <f t="shared" si="1"/>
        <v>PC3→CM1</v>
      </c>
      <c r="J15" s="9" t="str">
        <f>IFERROR(__xludf.DUMMYFUNCTION("TEXT(VALUE(REGEXEXTRACT(B15,""^[+-]?[0-9]*\.?[0-9]+""))*100,""0.00"")&amp;"" +/- ""&amp;TEXT(VALUE(REGEXEXTRACT(B15,""[0-9]*\.?[0-9]+$""))*100,""0.00"")"),"14.00 +/- 0.82")</f>
        <v>14.00 +/- 0.82</v>
      </c>
      <c r="K15" s="9" t="str">
        <f>IFERROR(__xludf.DUMMYFUNCTION("TEXT(VALUE(REGEXEXTRACT(C15,""^[+-]?[0-9]*\.?[0-9]+""))*100,""0.00"")&amp;"" +/- ""&amp;TEXT(VALUE(REGEXEXTRACT(C15,""[0-9]*\.?[0-9]+$""))*100,""0.00"")"),"6.77 +/- 0.00")</f>
        <v>6.77 +/- 0.00</v>
      </c>
      <c r="L15" s="9" t="str">
        <f>IFERROR(__xludf.DUMMYFUNCTION("TEXT(VALUE(REGEXEXTRACT(D15,""^[+-]?[0-9]*\.?[0-9]+""))*100,""0.00"")&amp;"" +/- ""&amp;TEXT(VALUE(REGEXEXTRACT(D15,""[0-9]*\.?[0-9]+$""))*100,""0.00"")"),"15.18 +/- 0.00")</f>
        <v>15.18 +/- 0.00</v>
      </c>
      <c r="M15" s="9" t="str">
        <f>IFERROR(__xludf.DUMMYFUNCTION("TEXT(VALUE(REGEXEXTRACT(E15,""^[+-]?[0-9]*\.?[0-9]+""))*100,""0.00"")&amp;"" +/- ""&amp;TEXT(VALUE(REGEXEXTRACT(E15,""[0-9]*\.?[0-9]+$""))*100,""0.00"")"),"12.53 +/- 2.01")</f>
        <v>12.53 +/- 2.01</v>
      </c>
      <c r="N15" s="10" t="str">
        <f>IFERROR(__xludf.DUMMYFUNCTION("TEXT(VALUE(REGEXEXTRACT(F15,""^[+-]?[0-9]*\.?[0-9]+""))*100,""0.00"")&amp;"" +/- ""&amp;TEXT(VALUE(REGEXEXTRACT(F15,""[0-9]*\.?[0-9]+$""))*100,""0.00"")"),"14.61 +/- 1.15")</f>
        <v>14.61 +/- 1.15</v>
      </c>
      <c r="O15" s="9" t="str">
        <f>IFERROR(__xludf.DUMMYFUNCTION("TEXT(VALUE(REGEXEXTRACT(G15,""^[+-]?[0-9]*\.?[0-9]+""))*100,""0.00"")&amp;"" +/- ""&amp;TEXT(VALUE(REGEXEXTRACT(G15,""[0-9]*\.?[0-9]+$""))*100,""0.00"")"),"13.40 +/- 1.83")</f>
        <v>13.40 +/- 1.83</v>
      </c>
      <c r="P15" s="9" t="str">
        <f>IFERROR(__xludf.DUMMYFUNCTION("TEXT(VALUE(REGEXEXTRACT(H15,""^[+-]?[0-9]*\.?[0-9]+""))*100,""0.00"")&amp;"" +/- ""&amp;TEXT(VALUE(REGEXEXTRACT(H15,""[0-9]*\.?[0-9]+$""))*100,""0.00"")"),"9.22 +/- 1.33")</f>
        <v>9.22 +/- 1.33</v>
      </c>
    </row>
    <row r="16">
      <c r="A16" s="6" t="s">
        <v>154</v>
      </c>
      <c r="B16" s="16" t="s">
        <v>3400</v>
      </c>
      <c r="C16" s="16" t="s">
        <v>3352</v>
      </c>
      <c r="D16" s="16" t="s">
        <v>3401</v>
      </c>
      <c r="E16" s="16" t="s">
        <v>3402</v>
      </c>
      <c r="F16" s="16" t="s">
        <v>3403</v>
      </c>
      <c r="G16" s="16" t="s">
        <v>3404</v>
      </c>
      <c r="H16" s="16" t="s">
        <v>3405</v>
      </c>
      <c r="I16" s="8" t="str">
        <f t="shared" si="1"/>
        <v>PC3→MW1</v>
      </c>
      <c r="J16" s="10" t="str">
        <f>IFERROR(__xludf.DUMMYFUNCTION("TEXT(VALUE(REGEXEXTRACT(B16,""^[+-]?[0-9]*\.?[0-9]+""))*100,""0.00"")&amp;"" +/- ""&amp;TEXT(VALUE(REGEXEXTRACT(B16,""[0-9]*\.?[0-9]+$""))*100,""0.00"")"),"16.20 +/- 1.02")</f>
        <v>16.20 +/- 1.02</v>
      </c>
      <c r="K16" s="9" t="str">
        <f>IFERROR(__xludf.DUMMYFUNCTION("TEXT(VALUE(REGEXEXTRACT(C16,""^[+-]?[0-9]*\.?[0-9]+""))*100,""0.00"")&amp;"" +/- ""&amp;TEXT(VALUE(REGEXEXTRACT(C16,""[0-9]*\.?[0-9]+$""))*100,""0.00"")"),"8.45 +/- 0.00")</f>
        <v>8.45 +/- 0.00</v>
      </c>
      <c r="L16" s="9" t="str">
        <f>IFERROR(__xludf.DUMMYFUNCTION("TEXT(VALUE(REGEXEXTRACT(D16,""^[+-]?[0-9]*\.?[0-9]+""))*100,""0.00"")&amp;"" +/- ""&amp;TEXT(VALUE(REGEXEXTRACT(D16,""[0-9]*\.?[0-9]+$""))*100,""0.00"")"),"-2.32 +/- 0.00")</f>
        <v>-2.32 +/- 0.00</v>
      </c>
      <c r="M16" s="9" t="str">
        <f>IFERROR(__xludf.DUMMYFUNCTION("TEXT(VALUE(REGEXEXTRACT(E16,""^[+-]?[0-9]*\.?[0-9]+""))*100,""0.00"")&amp;"" +/- ""&amp;TEXT(VALUE(REGEXEXTRACT(E16,""[0-9]*\.?[0-9]+$""))*100,""0.00"")"),"10.75 +/- 3.15")</f>
        <v>10.75 +/- 3.15</v>
      </c>
      <c r="N16" s="9" t="str">
        <f>IFERROR(__xludf.DUMMYFUNCTION("TEXT(VALUE(REGEXEXTRACT(F16,""^[+-]?[0-9]*\.?[0-9]+""))*100,""0.00"")&amp;"" +/- ""&amp;TEXT(VALUE(REGEXEXTRACT(F16,""[0-9]*\.?[0-9]+$""))*100,""0.00"")"),"10.47 +/- 0.91")</f>
        <v>10.47 +/- 0.91</v>
      </c>
      <c r="O16" s="9" t="str">
        <f>IFERROR(__xludf.DUMMYFUNCTION("TEXT(VALUE(REGEXEXTRACT(G16,""^[+-]?[0-9]*\.?[0-9]+""))*100,""0.00"")&amp;"" +/- ""&amp;TEXT(VALUE(REGEXEXTRACT(G16,""[0-9]*\.?[0-9]+$""))*100,""0.00"")"),"9.05 +/- 1.32")</f>
        <v>9.05 +/- 1.32</v>
      </c>
      <c r="P16" s="9" t="str">
        <f>IFERROR(__xludf.DUMMYFUNCTION("TEXT(VALUE(REGEXEXTRACT(H16,""^[+-]?[0-9]*\.?[0-9]+""))*100,""0.00"")&amp;"" +/- ""&amp;TEXT(VALUE(REGEXEXTRACT(H16,""[0-9]*\.?[0-9]+$""))*100,""0.00"")"),"7.35 +/- 1.58")</f>
        <v>7.35 +/- 1.58</v>
      </c>
    </row>
    <row r="17">
      <c r="A17" s="6" t="s">
        <v>169</v>
      </c>
      <c r="B17" s="16" t="s">
        <v>3413</v>
      </c>
      <c r="C17" s="16" t="s">
        <v>3414</v>
      </c>
      <c r="D17" s="16" t="s">
        <v>3415</v>
      </c>
      <c r="E17" s="16" t="s">
        <v>3416</v>
      </c>
      <c r="F17" s="16" t="s">
        <v>3417</v>
      </c>
      <c r="G17" s="16" t="s">
        <v>3418</v>
      </c>
      <c r="H17" s="16" t="s">
        <v>3419</v>
      </c>
      <c r="I17" s="8" t="str">
        <f t="shared" si="1"/>
        <v>PC3→PC1</v>
      </c>
      <c r="J17" s="10" t="str">
        <f>IFERROR(__xludf.DUMMYFUNCTION("TEXT(VALUE(REGEXEXTRACT(B17,""^[+-]?[0-9]*\.?[0-9]+""))*100,""0.00"")&amp;"" +/- ""&amp;TEXT(VALUE(REGEXEXTRACT(B17,""[0-9]*\.?[0-9]+$""))*100,""0.00"")"),"23.70 +/- 1.16")</f>
        <v>23.70 +/- 1.16</v>
      </c>
      <c r="K17" s="9" t="str">
        <f>IFERROR(__xludf.DUMMYFUNCTION("TEXT(VALUE(REGEXEXTRACT(C17,""^[+-]?[0-9]*\.?[0-9]+""))*100,""0.00"")&amp;"" +/- ""&amp;TEXT(VALUE(REGEXEXTRACT(C17,""[0-9]*\.?[0-9]+$""))*100,""0.00"")"),"17.38 +/- 0.00")</f>
        <v>17.38 +/- 0.00</v>
      </c>
      <c r="L17" s="9" t="str">
        <f>IFERROR(__xludf.DUMMYFUNCTION("TEXT(VALUE(REGEXEXTRACT(D17,""^[+-]?[0-9]*\.?[0-9]+""))*100,""0.00"")&amp;"" +/- ""&amp;TEXT(VALUE(REGEXEXTRACT(D17,""[0-9]*\.?[0-9]+$""))*100,""0.00"")"),"13.99 +/- 0.00")</f>
        <v>13.99 +/- 0.00</v>
      </c>
      <c r="M17" s="9" t="str">
        <f>IFERROR(__xludf.DUMMYFUNCTION("TEXT(VALUE(REGEXEXTRACT(E17,""^[+-]?[0-9]*\.?[0-9]+""))*100,""0.00"")&amp;"" +/- ""&amp;TEXT(VALUE(REGEXEXTRACT(E17,""[0-9]*\.?[0-9]+$""))*100,""0.00"")"),"21.46 +/- 1.51")</f>
        <v>21.46 +/- 1.51</v>
      </c>
      <c r="N17" s="9" t="str">
        <f>IFERROR(__xludf.DUMMYFUNCTION("TEXT(VALUE(REGEXEXTRACT(F17,""^[+-]?[0-9]*\.?[0-9]+""))*100,""0.00"")&amp;"" +/- ""&amp;TEXT(VALUE(REGEXEXTRACT(F17,""[0-9]*\.?[0-9]+$""))*100,""0.00"")"),"20.99 +/- 1.09")</f>
        <v>20.99 +/- 1.09</v>
      </c>
      <c r="O17" s="9" t="str">
        <f>IFERROR(__xludf.DUMMYFUNCTION("TEXT(VALUE(REGEXEXTRACT(G17,""^[+-]?[0-9]*\.?[0-9]+""))*100,""0.00"")&amp;"" +/- ""&amp;TEXT(VALUE(REGEXEXTRACT(G17,""[0-9]*\.?[0-9]+$""))*100,""0.00"")"),"20.20 +/- 1.12")</f>
        <v>20.20 +/- 1.12</v>
      </c>
      <c r="P17" s="9" t="str">
        <f>IFERROR(__xludf.DUMMYFUNCTION("TEXT(VALUE(REGEXEXTRACT(H17,""^[+-]?[0-9]*\.?[0-9]+""))*100,""0.00"")&amp;"" +/- ""&amp;TEXT(VALUE(REGEXEXTRACT(H17,""[0-9]*\.?[0-9]+$""))*100,""0.00"")"),"15.00 +/- 1.07")</f>
        <v>15.00 +/- 1.07</v>
      </c>
    </row>
    <row r="18">
      <c r="A18" s="6" t="s">
        <v>184</v>
      </c>
      <c r="B18" s="16" t="s">
        <v>3439</v>
      </c>
      <c r="C18" s="16" t="s">
        <v>3440</v>
      </c>
      <c r="D18" s="16" t="s">
        <v>3441</v>
      </c>
      <c r="E18" s="16" t="s">
        <v>3442</v>
      </c>
      <c r="F18" s="16" t="s">
        <v>3443</v>
      </c>
      <c r="G18" s="16" t="s">
        <v>3444</v>
      </c>
      <c r="H18" s="16" t="s">
        <v>3445</v>
      </c>
      <c r="I18" s="8" t="str">
        <f t="shared" si="1"/>
        <v>PC3→PC4</v>
      </c>
      <c r="J18" s="10" t="str">
        <f>IFERROR(__xludf.DUMMYFUNCTION("TEXT(VALUE(REGEXEXTRACT(B18,""^[+-]?[0-9]*\.?[0-9]+""))*100,""0.00"")&amp;"" +/- ""&amp;TEXT(VALUE(REGEXEXTRACT(B18,""[0-9]*\.?[0-9]+$""))*100,""0.00"")"),"26.16 +/- 0.44")</f>
        <v>26.16 +/- 0.44</v>
      </c>
      <c r="K18" s="9" t="str">
        <f>IFERROR(__xludf.DUMMYFUNCTION("TEXT(VALUE(REGEXEXTRACT(C18,""^[+-]?[0-9]*\.?[0-9]+""))*100,""0.00"")&amp;"" +/- ""&amp;TEXT(VALUE(REGEXEXTRACT(C18,""[0-9]*\.?[0-9]+$""))*100,""0.00"")"),"19.42 +/- 0.00")</f>
        <v>19.42 +/- 0.00</v>
      </c>
      <c r="L18" s="9" t="str">
        <f>IFERROR(__xludf.DUMMYFUNCTION("TEXT(VALUE(REGEXEXTRACT(D18,""^[+-]?[0-9]*\.?[0-9]+""))*100,""0.00"")&amp;"" +/- ""&amp;TEXT(VALUE(REGEXEXTRACT(D18,""[0-9]*\.?[0-9]+$""))*100,""0.00"")"),"11.18 +/- 0.00")</f>
        <v>11.18 +/- 0.00</v>
      </c>
      <c r="M18" s="9" t="str">
        <f>IFERROR(__xludf.DUMMYFUNCTION("TEXT(VALUE(REGEXEXTRACT(E18,""^[+-]?[0-9]*\.?[0-9]+""))*100,""0.00"")&amp;"" +/- ""&amp;TEXT(VALUE(REGEXEXTRACT(E18,""[0-9]*\.?[0-9]+$""))*100,""0.00"")"),"25.85 +/- 0.80")</f>
        <v>25.85 +/- 0.80</v>
      </c>
      <c r="N18" s="9" t="str">
        <f>IFERROR(__xludf.DUMMYFUNCTION("TEXT(VALUE(REGEXEXTRACT(F18,""^[+-]?[0-9]*\.?[0-9]+""))*100,""0.00"")&amp;"" +/- ""&amp;TEXT(VALUE(REGEXEXTRACT(F18,""[0-9]*\.?[0-9]+$""))*100,""0.00"")"),"24.44 +/- 0.42")</f>
        <v>24.44 +/- 0.42</v>
      </c>
      <c r="O18" s="9" t="str">
        <f>IFERROR(__xludf.DUMMYFUNCTION("TEXT(VALUE(REGEXEXTRACT(G18,""^[+-]?[0-9]*\.?[0-9]+""))*100,""0.00"")&amp;"" +/- ""&amp;TEXT(VALUE(REGEXEXTRACT(G18,""[0-9]*\.?[0-9]+$""))*100,""0.00"")"),"24.43 +/- 0.81")</f>
        <v>24.43 +/- 0.81</v>
      </c>
      <c r="P18" s="9" t="str">
        <f>IFERROR(__xludf.DUMMYFUNCTION("TEXT(VALUE(REGEXEXTRACT(H18,""^[+-]?[0-9]*\.?[0-9]+""))*100,""0.00"")&amp;"" +/- ""&amp;TEXT(VALUE(REGEXEXTRACT(H18,""[0-9]*\.?[0-9]+$""))*100,""0.00"")"),"21.81 +/- 0.92")</f>
        <v>21.81 +/- 0.92</v>
      </c>
    </row>
    <row r="19">
      <c r="A19" s="6" t="s">
        <v>194</v>
      </c>
      <c r="B19" s="16" t="s">
        <v>3453</v>
      </c>
      <c r="C19" s="16" t="s">
        <v>3455</v>
      </c>
      <c r="D19" s="16" t="s">
        <v>3457</v>
      </c>
      <c r="E19" s="16" t="s">
        <v>3459</v>
      </c>
      <c r="F19" s="16" t="s">
        <v>3461</v>
      </c>
      <c r="G19" s="16" t="s">
        <v>3463</v>
      </c>
      <c r="H19" s="16" t="s">
        <v>3465</v>
      </c>
      <c r="I19" s="8" t="str">
        <f t="shared" si="1"/>
        <v>PC4→CM1</v>
      </c>
      <c r="J19" s="10" t="str">
        <f>IFERROR(__xludf.DUMMYFUNCTION("TEXT(VALUE(REGEXEXTRACT(B19,""^[+-]?[0-9]*\.?[0-9]+""))*100,""0.00"")&amp;"" +/- ""&amp;TEXT(VALUE(REGEXEXTRACT(B19,""[0-9]*\.?[0-9]+$""))*100,""0.00"")"),"8.63 +/- 1.41")</f>
        <v>8.63 +/- 1.41</v>
      </c>
      <c r="K19" s="9" t="str">
        <f>IFERROR(__xludf.DUMMYFUNCTION("TEXT(VALUE(REGEXEXTRACT(C19,""^[+-]?[0-9]*\.?[0-9]+""))*100,""0.00"")&amp;"" +/- ""&amp;TEXT(VALUE(REGEXEXTRACT(C19,""[0-9]*\.?[0-9]+$""))*100,""0.00"")"),"-2.51 +/- 0.00")</f>
        <v>-2.51 +/- 0.00</v>
      </c>
      <c r="L19" s="9" t="str">
        <f>IFERROR(__xludf.DUMMYFUNCTION("TEXT(VALUE(REGEXEXTRACT(D19,""^[+-]?[0-9]*\.?[0-9]+""))*100,""0.00"")&amp;"" +/- ""&amp;TEXT(VALUE(REGEXEXTRACT(D19,""[0-9]*\.?[0-9]+$""))*100,""0.00"")"),"-3.76 +/- 0.00")</f>
        <v>-3.76 +/- 0.00</v>
      </c>
      <c r="M19" s="9" t="str">
        <f>IFERROR(__xludf.DUMMYFUNCTION("TEXT(VALUE(REGEXEXTRACT(E19,""^[+-]?[0-9]*\.?[0-9]+""))*100,""0.00"")&amp;"" +/- ""&amp;TEXT(VALUE(REGEXEXTRACT(E19,""[0-9]*\.?[0-9]+$""))*100,""0.00"")"),"0.42 +/- 1.99")</f>
        <v>0.42 +/- 1.99</v>
      </c>
      <c r="N19" s="9" t="str">
        <f>IFERROR(__xludf.DUMMYFUNCTION("TEXT(VALUE(REGEXEXTRACT(F19,""^[+-]?[0-9]*\.?[0-9]+""))*100,""0.00"")&amp;"" +/- ""&amp;TEXT(VALUE(REGEXEXTRACT(F19,""[0-9]*\.?[0-9]+$""))*100,""0.00"")"),"8.58 +/- 1.90")</f>
        <v>8.58 +/- 1.90</v>
      </c>
      <c r="O19" s="9" t="str">
        <f>IFERROR(__xludf.DUMMYFUNCTION("TEXT(VALUE(REGEXEXTRACT(G19,""^[+-]?[0-9]*\.?[0-9]+""))*100,""0.00"")&amp;"" +/- ""&amp;TEXT(VALUE(REGEXEXTRACT(G19,""[0-9]*\.?[0-9]+$""))*100,""0.00"")"),"4.92 +/- 1.93")</f>
        <v>4.92 +/- 1.93</v>
      </c>
      <c r="P19" s="9" t="str">
        <f>IFERROR(__xludf.DUMMYFUNCTION("TEXT(VALUE(REGEXEXTRACT(H19,""^[+-]?[0-9]*\.?[0-9]+""))*100,""0.00"")&amp;"" +/- ""&amp;TEXT(VALUE(REGEXEXTRACT(H19,""[0-9]*\.?[0-9]+$""))*100,""0.00"")"),"8.42 +/- 0.89")</f>
        <v>8.42 +/- 0.89</v>
      </c>
    </row>
    <row r="20">
      <c r="A20" s="6" t="s">
        <v>216</v>
      </c>
      <c r="B20" s="16" t="s">
        <v>3472</v>
      </c>
      <c r="C20" s="16" t="s">
        <v>3186</v>
      </c>
      <c r="D20" s="16" t="s">
        <v>3474</v>
      </c>
      <c r="E20" s="16" t="s">
        <v>3475</v>
      </c>
      <c r="F20" s="16" t="s">
        <v>3476</v>
      </c>
      <c r="G20" s="16" t="s">
        <v>3477</v>
      </c>
      <c r="H20" s="16" t="s">
        <v>3478</v>
      </c>
      <c r="I20" s="8" t="str">
        <f t="shared" si="1"/>
        <v>PC4→MW1</v>
      </c>
      <c r="J20" s="10" t="str">
        <f>IFERROR(__xludf.DUMMYFUNCTION("TEXT(VALUE(REGEXEXTRACT(B20,""^[+-]?[0-9]*\.?[0-9]+""))*100,""0.00"")&amp;"" +/- ""&amp;TEXT(VALUE(REGEXEXTRACT(B20,""[0-9]*\.?[0-9]+$""))*100,""0.00"")"),"3.33 +/- 2.10")</f>
        <v>3.33 +/- 2.10</v>
      </c>
      <c r="K20" s="9" t="str">
        <f>IFERROR(__xludf.DUMMYFUNCTION("TEXT(VALUE(REGEXEXTRACT(C20,""^[+-]?[0-9]*\.?[0-9]+""))*100,""0.00"")&amp;"" +/- ""&amp;TEXT(VALUE(REGEXEXTRACT(C20,""[0-9]*\.?[0-9]+$""))*100,""0.00"")"),"-6.62 +/- 0.00")</f>
        <v>-6.62 +/- 0.00</v>
      </c>
      <c r="L20" s="9" t="str">
        <f>IFERROR(__xludf.DUMMYFUNCTION("TEXT(VALUE(REGEXEXTRACT(D20,""^[+-]?[0-9]*\.?[0-9]+""))*100,""0.00"")&amp;"" +/- ""&amp;TEXT(VALUE(REGEXEXTRACT(D20,""[0-9]*\.?[0-9]+$""))*100,""0.00"")"),"-5.71 +/- 0.00")</f>
        <v>-5.71 +/- 0.00</v>
      </c>
      <c r="M20" s="9" t="str">
        <f>IFERROR(__xludf.DUMMYFUNCTION("TEXT(VALUE(REGEXEXTRACT(E20,""^[+-]?[0-9]*\.?[0-9]+""))*100,""0.00"")&amp;"" +/- ""&amp;TEXT(VALUE(REGEXEXTRACT(E20,""[0-9]*\.?[0-9]+$""))*100,""0.00"")"),"-1.80 +/- 1.82")</f>
        <v>-1.80 +/- 1.82</v>
      </c>
      <c r="N20" s="9" t="str">
        <f>IFERROR(__xludf.DUMMYFUNCTION("TEXT(VALUE(REGEXEXTRACT(F20,""^[+-]?[0-9]*\.?[0-9]+""))*100,""0.00"")&amp;"" +/- ""&amp;TEXT(VALUE(REGEXEXTRACT(F20,""[0-9]*\.?[0-9]+$""))*100,""0.00"")"),"-2.45 +/- 0.42")</f>
        <v>-2.45 +/- 0.42</v>
      </c>
      <c r="O20" s="9" t="str">
        <f>IFERROR(__xludf.DUMMYFUNCTION("TEXT(VALUE(REGEXEXTRACT(G20,""^[+-]?[0-9]*\.?[0-9]+""))*100,""0.00"")&amp;"" +/- ""&amp;TEXT(VALUE(REGEXEXTRACT(G20,""[0-9]*\.?[0-9]+$""))*100,""0.00"")"),"-3.66 +/- 1.38")</f>
        <v>-3.66 +/- 1.38</v>
      </c>
      <c r="P20" s="9" t="str">
        <f>IFERROR(__xludf.DUMMYFUNCTION("TEXT(VALUE(REGEXEXTRACT(H20,""^[+-]?[0-9]*\.?[0-9]+""))*100,""0.00"")&amp;"" +/- ""&amp;TEXT(VALUE(REGEXEXTRACT(H20,""[0-9]*\.?[0-9]+$""))*100,""0.00"")"),"-9.10 +/- 1.17")</f>
        <v>-9.10 +/- 1.17</v>
      </c>
    </row>
    <row r="21">
      <c r="A21" s="6" t="s">
        <v>245</v>
      </c>
      <c r="B21" s="16" t="s">
        <v>3479</v>
      </c>
      <c r="C21" s="16" t="s">
        <v>3480</v>
      </c>
      <c r="D21" s="16" t="s">
        <v>3481</v>
      </c>
      <c r="E21" s="16" t="s">
        <v>3482</v>
      </c>
      <c r="F21" s="16" t="s">
        <v>3483</v>
      </c>
      <c r="G21" s="16" t="s">
        <v>3484</v>
      </c>
      <c r="H21" s="16" t="s">
        <v>3485</v>
      </c>
      <c r="I21" s="8" t="str">
        <f t="shared" si="1"/>
        <v>PC4→PC1</v>
      </c>
      <c r="J21" s="10" t="str">
        <f>IFERROR(__xludf.DUMMYFUNCTION("TEXT(VALUE(REGEXEXTRACT(B21,""^[+-]?[0-9]*\.?[0-9]+""))*100,""0.00"")&amp;"" +/- ""&amp;TEXT(VALUE(REGEXEXTRACT(B21,""[0-9]*\.?[0-9]+$""))*100,""0.00"")"),"19.92 +/- 0.70")</f>
        <v>19.92 +/- 0.70</v>
      </c>
      <c r="K21" s="9" t="str">
        <f>IFERROR(__xludf.DUMMYFUNCTION("TEXT(VALUE(REGEXEXTRACT(C21,""^[+-]?[0-9]*\.?[0-9]+""))*100,""0.00"")&amp;"" +/- ""&amp;TEXT(VALUE(REGEXEXTRACT(C21,""[0-9]*\.?[0-9]+$""))*100,""0.00"")"),"16.05 +/- 0.00")</f>
        <v>16.05 +/- 0.00</v>
      </c>
      <c r="L21" s="9" t="str">
        <f>IFERROR(__xludf.DUMMYFUNCTION("TEXT(VALUE(REGEXEXTRACT(D21,""^[+-]?[0-9]*\.?[0-9]+""))*100,""0.00"")&amp;"" +/- ""&amp;TEXT(VALUE(REGEXEXTRACT(D21,""[0-9]*\.?[0-9]+$""))*100,""0.00"")"),"17.55 +/- 0.00")</f>
        <v>17.55 +/- 0.00</v>
      </c>
      <c r="M21" s="9" t="str">
        <f>IFERROR(__xludf.DUMMYFUNCTION("TEXT(VALUE(REGEXEXTRACT(E21,""^[+-]?[0-9]*\.?[0-9]+""))*100,""0.00"")&amp;"" +/- ""&amp;TEXT(VALUE(REGEXEXTRACT(E21,""[0-9]*\.?[0-9]+$""))*100,""0.00"")"),"16.94 +/- 0.75")</f>
        <v>16.94 +/- 0.75</v>
      </c>
      <c r="N21" s="9" t="str">
        <f>IFERROR(__xludf.DUMMYFUNCTION("TEXT(VALUE(REGEXEXTRACT(F21,""^[+-]?[0-9]*\.?[0-9]+""))*100,""0.00"")&amp;"" +/- ""&amp;TEXT(VALUE(REGEXEXTRACT(F21,""[0-9]*\.?[0-9]+$""))*100,""0.00"")"),"14.57 +/- 0.56")</f>
        <v>14.57 +/- 0.56</v>
      </c>
      <c r="O21" s="9" t="str">
        <f>IFERROR(__xludf.DUMMYFUNCTION("TEXT(VALUE(REGEXEXTRACT(G21,""^[+-]?[0-9]*\.?[0-9]+""))*100,""0.00"")&amp;"" +/- ""&amp;TEXT(VALUE(REGEXEXTRACT(G21,""[0-9]*\.?[0-9]+$""))*100,""0.00"")"),"16.63 +/- 0.60")</f>
        <v>16.63 +/- 0.60</v>
      </c>
      <c r="P21" s="9" t="str">
        <f>IFERROR(__xludf.DUMMYFUNCTION("TEXT(VALUE(REGEXEXTRACT(H21,""^[+-]?[0-9]*\.?[0-9]+""))*100,""0.00"")&amp;"" +/- ""&amp;TEXT(VALUE(REGEXEXTRACT(H21,""[0-9]*\.?[0-9]+$""))*100,""0.00"")"),"12.98 +/- 0.62")</f>
        <v>12.98 +/- 0.62</v>
      </c>
    </row>
    <row r="22">
      <c r="A22" s="6" t="s">
        <v>267</v>
      </c>
      <c r="B22" s="16" t="s">
        <v>3493</v>
      </c>
      <c r="C22" s="16" t="s">
        <v>3494</v>
      </c>
      <c r="D22" s="16" t="s">
        <v>3495</v>
      </c>
      <c r="E22" s="16" t="s">
        <v>3496</v>
      </c>
      <c r="F22" s="16" t="s">
        <v>3497</v>
      </c>
      <c r="G22" s="16" t="s">
        <v>3498</v>
      </c>
      <c r="H22" s="16" t="s">
        <v>3499</v>
      </c>
      <c r="I22" s="8" t="str">
        <f t="shared" si="1"/>
        <v>PC4→PC3</v>
      </c>
      <c r="J22" s="10" t="str">
        <f>IFERROR(__xludf.DUMMYFUNCTION("TEXT(VALUE(REGEXEXTRACT(B22,""^[+-]?[0-9]*\.?[0-9]+""))*100,""0.00"")&amp;"" +/- ""&amp;TEXT(VALUE(REGEXEXTRACT(B22,""[0-9]*\.?[0-9]+$""))*100,""0.00"")"),"17.60 +/- 0.37")</f>
        <v>17.60 +/- 0.37</v>
      </c>
      <c r="K22" s="9" t="str">
        <f>IFERROR(__xludf.DUMMYFUNCTION("TEXT(VALUE(REGEXEXTRACT(C22,""^[+-]?[0-9]*\.?[0-9]+""))*100,""0.00"")&amp;"" +/- ""&amp;TEXT(VALUE(REGEXEXTRACT(C22,""[0-9]*\.?[0-9]+$""))*100,""0.00"")"),"9.39 +/- 0.00")</f>
        <v>9.39 +/- 0.00</v>
      </c>
      <c r="L22" s="9" t="str">
        <f>IFERROR(__xludf.DUMMYFUNCTION("TEXT(VALUE(REGEXEXTRACT(D22,""^[+-]?[0-9]*\.?[0-9]+""))*100,""0.00"")&amp;"" +/- ""&amp;TEXT(VALUE(REGEXEXTRACT(D22,""[0-9]*\.?[0-9]+$""))*100,""0.00"")"),"7.75 +/- 0.00")</f>
        <v>7.75 +/- 0.00</v>
      </c>
      <c r="M22" s="9" t="str">
        <f>IFERROR(__xludf.DUMMYFUNCTION("TEXT(VALUE(REGEXEXTRACT(E22,""^[+-]?[0-9]*\.?[0-9]+""))*100,""0.00"")&amp;"" +/- ""&amp;TEXT(VALUE(REGEXEXTRACT(E22,""[0-9]*\.?[0-9]+$""))*100,""0.00"")"),"17.25 +/- 0.79")</f>
        <v>17.25 +/- 0.79</v>
      </c>
      <c r="N22" s="9" t="str">
        <f>IFERROR(__xludf.DUMMYFUNCTION("TEXT(VALUE(REGEXEXTRACT(F22,""^[+-]?[0-9]*\.?[0-9]+""))*100,""0.00"")&amp;"" +/- ""&amp;TEXT(VALUE(REGEXEXTRACT(F22,""[0-9]*\.?[0-9]+$""))*100,""0.00"")"),"14.21 +/- 0.66")</f>
        <v>14.21 +/- 0.66</v>
      </c>
      <c r="O22" s="9" t="str">
        <f>IFERROR(__xludf.DUMMYFUNCTION("TEXT(VALUE(REGEXEXTRACT(G22,""^[+-]?[0-9]*\.?[0-9]+""))*100,""0.00"")&amp;"" +/- ""&amp;TEXT(VALUE(REGEXEXTRACT(G22,""[0-9]*\.?[0-9]+$""))*100,""0.00"")"),"16.62 +/- 0.40")</f>
        <v>16.62 +/- 0.40</v>
      </c>
      <c r="P22" s="9" t="str">
        <f>IFERROR(__xludf.DUMMYFUNCTION("TEXT(VALUE(REGEXEXTRACT(H22,""^[+-]?[0-9]*\.?[0-9]+""))*100,""0.00"")&amp;"" +/- ""&amp;TEXT(VALUE(REGEXEXTRACT(H22,""[0-9]*\.?[0-9]+$""))*100,""0.00"")"),"15.91 +/- 0.96")</f>
        <v>15.91 +/- 0.96</v>
      </c>
    </row>
    <row r="23">
      <c r="A23" s="6" t="s">
        <v>371</v>
      </c>
      <c r="B23" s="14"/>
      <c r="C23" s="21" t="s">
        <v>400</v>
      </c>
      <c r="D23" s="21" t="s">
        <v>388</v>
      </c>
      <c r="E23" s="21" t="s">
        <v>388</v>
      </c>
      <c r="F23" s="21" t="s">
        <v>990</v>
      </c>
      <c r="G23" s="21" t="s">
        <v>990</v>
      </c>
      <c r="H23" s="21" t="s">
        <v>388</v>
      </c>
      <c r="I23" s="8" t="str">
        <f t="shared" si="1"/>
        <v>W/T/L</v>
      </c>
      <c r="K23" s="20" t="str">
        <f>IFERROR(__xludf.DUMMYFUNCTION("SUM(ARRAYFORMULA(IFERROR(
  (VALUE(REGEXEXTRACT($J$3:$J$22,""^[+-]?[0-9]*\.?[0-9]+""))&gt;
   VALUE(REGEXEXTRACT(K$3:K$22,""^[+-]?[0-9]*\.?[0-9]+"")))*1,0)))
&amp;""/""&amp;
SUM(ARRAYFORMULA(IFERROR(
  (VALUE(REGEXEXTRACT($J$3:$J$22,""^[+-]?[0-9]*\.?[0-9]+""))=
   V"&amp;"ALUE(REGEXEXTRACT(K$3:K$22,""^[+-]?[0-9]*\.?[0-9]+"")))*1,0)))
&amp;""/""&amp;
SUM(ARRAYFORMULA(IFERROR(
  (VALUE(REGEXEXTRACT($J$3:$J$22,""^[+-]?[0-9]*\.?[0-9]+""))&lt;
   VALUE(REGEXEXTRACT(K$3:K$22,""^[+-]?[0-9]*\.?[0-9]+"")))*1,0)))"),"19/0/1")</f>
        <v>19/0/1</v>
      </c>
      <c r="L23" s="20" t="str">
        <f>IFERROR(__xludf.DUMMYFUNCTION("SUM(ARRAYFORMULA(IFERROR(
  (VALUE(REGEXEXTRACT($J$3:$J$22,""^[+-]?[0-9]*\.?[0-9]+""))&gt;
   VALUE(REGEXEXTRACT(L$3:L$22,""^[+-]?[0-9]*\.?[0-9]+"")))*1,0)))
&amp;""/""&amp;
SUM(ARRAYFORMULA(IFERROR(
  (VALUE(REGEXEXTRACT($J$3:$J$22,""^[+-]?[0-9]*\.?[0-9]+""))=
   V"&amp;"ALUE(REGEXEXTRACT(L$3:L$22,""^[+-]?[0-9]*\.?[0-9]+"")))*1,0)))
&amp;""/""&amp;
SUM(ARRAYFORMULA(IFERROR(
  (VALUE(REGEXEXTRACT($J$3:$J$22,""^[+-]?[0-9]*\.?[0-9]+""))&lt;
   VALUE(REGEXEXTRACT(L$3:L$22,""^[+-]?[0-9]*\.?[0-9]+"")))*1,0)))"),"16/0/4")</f>
        <v>16/0/4</v>
      </c>
      <c r="M23" s="20" t="str">
        <f>IFERROR(__xludf.DUMMYFUNCTION("SUM(ARRAYFORMULA(IFERROR(
  (VALUE(REGEXEXTRACT($J$3:$J$22,""^[+-]?[0-9]*\.?[0-9]+""))&gt;
   VALUE(REGEXEXTRACT(M$3:M$22,""^[+-]?[0-9]*\.?[0-9]+"")))*1,0)))
&amp;""/""&amp;
SUM(ARRAYFORMULA(IFERROR(
  (VALUE(REGEXEXTRACT($J$3:$J$22,""^[+-]?[0-9]*\.?[0-9]+""))=
   V"&amp;"ALUE(REGEXEXTRACT(M$3:M$22,""^[+-]?[0-9]*\.?[0-9]+"")))*1,0)))
&amp;""/""&amp;
SUM(ARRAYFORMULA(IFERROR(
  (VALUE(REGEXEXTRACT($J$3:$J$22,""^[+-]?[0-9]*\.?[0-9]+""))&lt;
   VALUE(REGEXEXTRACT(M$3:M$22,""^[+-]?[0-9]*\.?[0-9]+"")))*1,0)))"),"16/0/4")</f>
        <v>16/0/4</v>
      </c>
      <c r="N23" s="20" t="str">
        <f>IFERROR(__xludf.DUMMYFUNCTION("SUM(ARRAYFORMULA(IFERROR(
  (VALUE(REGEXEXTRACT($J$3:$J$22,""^[+-]?[0-9]*\.?[0-9]+""))&gt;
   VALUE(REGEXEXTRACT(N$3:N$22,""^[+-]?[0-9]*\.?[0-9]+"")))*1,0)))
&amp;""/""&amp;
SUM(ARRAYFORMULA(IFERROR(
  (VALUE(REGEXEXTRACT($J$3:$J$22,""^[+-]?[0-9]*\.?[0-9]+""))=
   V"&amp;"ALUE(REGEXEXTRACT(N$3:N$22,""^[+-]?[0-9]*\.?[0-9]+"")))*1,0)))
&amp;""/""&amp;
SUM(ARRAYFORMULA(IFERROR(
  (VALUE(REGEXEXTRACT($J$3:$J$22,""^[+-]?[0-9]*\.?[0-9]+""))&lt;
   VALUE(REGEXEXTRACT(N$3:N$22,""^[+-]?[0-9]*\.?[0-9]+"")))*1,0)))"),"17/0/3")</f>
        <v>17/0/3</v>
      </c>
      <c r="O23" s="20" t="str">
        <f>IFERROR(__xludf.DUMMYFUNCTION("SUM(ARRAYFORMULA(IFERROR(
  (VALUE(REGEXEXTRACT($J$3:$J$22,""^[+-]?[0-9]*\.?[0-9]+""))&gt;
   VALUE(REGEXEXTRACT(O$3:O$22,""^[+-]?[0-9]*\.?[0-9]+"")))*1,0)))
&amp;""/""&amp;
SUM(ARRAYFORMULA(IFERROR(
  (VALUE(REGEXEXTRACT($J$3:$J$22,""^[+-]?[0-9]*\.?[0-9]+""))=
   V"&amp;"ALUE(REGEXEXTRACT(O$3:O$22,""^[+-]?[0-9]*\.?[0-9]+"")))*1,0)))
&amp;""/""&amp;
SUM(ARRAYFORMULA(IFERROR(
  (VALUE(REGEXEXTRACT($J$3:$J$22,""^[+-]?[0-9]*\.?[0-9]+""))&lt;
   VALUE(REGEXEXTRACT(O$3:O$22,""^[+-]?[0-9]*\.?[0-9]+"")))*1,0)))"),"17/0/3")</f>
        <v>17/0/3</v>
      </c>
      <c r="P23" s="20" t="str">
        <f>IFERROR(__xludf.DUMMYFUNCTION("SUM(ARRAYFORMULA(IFERROR(
  (VALUE(REGEXEXTRACT($J$3:$J$22,""^[+-]?[0-9]*\.?[0-9]+""))&gt;
   VALUE(REGEXEXTRACT(P$3:P$22,""^[+-]?[0-9]*\.?[0-9]+"")))*1,0)))
&amp;""/""&amp;
SUM(ARRAYFORMULA(IFERROR(
  (VALUE(REGEXEXTRACT($J$3:$J$22,""^[+-]?[0-9]*\.?[0-9]+""))=
   V"&amp;"ALUE(REGEXEXTRACT(P$3:P$22,""^[+-]?[0-9]*\.?[0-9]+"")))*1,0)))
&amp;""/""&amp;
SUM(ARRAYFORMULA(IFERROR(
  (VALUE(REGEXEXTRACT($J$3:$J$22,""^[+-]?[0-9]*\.?[0-9]+""))&lt;
   VALUE(REGEXEXTRACT(P$3:P$22,""^[+-]?[0-9]*\.?[0-9]+"")))*1,0)))"),"16/0/4")</f>
        <v>16/0/4</v>
      </c>
    </row>
    <row r="24">
      <c r="A24" s="6" t="s">
        <v>489</v>
      </c>
      <c r="B24" s="14" t="s">
        <v>3525</v>
      </c>
      <c r="C24" s="14" t="s">
        <v>3528</v>
      </c>
      <c r="D24" s="14" t="s">
        <v>3529</v>
      </c>
      <c r="E24" s="14" t="s">
        <v>3530</v>
      </c>
      <c r="F24" s="14" t="s">
        <v>3531</v>
      </c>
      <c r="G24" s="14" t="s">
        <v>3532</v>
      </c>
      <c r="H24" s="14" t="s">
        <v>3533</v>
      </c>
      <c r="I24" s="8" t="str">
        <f t="shared" si="1"/>
        <v>Average (%)</v>
      </c>
      <c r="J24" s="14">
        <f>IFERROR(__xludf.DUMMYFUNCTION("ROUND(AVERAGE(ARRAYFORMULA(IFERROR(VALUE(REGEXEXTRACT(J$3:J$22,""^[+-]?[0-9]*\.?[0-9]+"")),""""))),2)"),16.28)</f>
        <v>16.28</v>
      </c>
      <c r="K24" s="14">
        <f>IFERROR(__xludf.DUMMYFUNCTION("ROUND(AVERAGE(ARRAYFORMULA(IFERROR(VALUE(REGEXEXTRACT(K$3:K$22,""^[+-]?[0-9]*\.?[0-9]+"")),""""))),2)"),8.79)</f>
        <v>8.79</v>
      </c>
      <c r="L24" s="14">
        <f>IFERROR(__xludf.DUMMYFUNCTION("ROUND(AVERAGE(ARRAYFORMULA(IFERROR(VALUE(REGEXEXTRACT(L$3:L$22,""^[+-]?[0-9]*\.?[0-9]+"")),""""))),2)"),7.94)</f>
        <v>7.94</v>
      </c>
      <c r="M24" s="14">
        <f>IFERROR(__xludf.DUMMYFUNCTION("ROUND(AVERAGE(ARRAYFORMULA(IFERROR(VALUE(REGEXEXTRACT(M$3:M$22,""^[+-]?[0-9]*\.?[0-9]+"")),""""))),2)"),13.24)</f>
        <v>13.24</v>
      </c>
      <c r="N24" s="14">
        <f>IFERROR(__xludf.DUMMYFUNCTION("ROUND(AVERAGE(ARRAYFORMULA(IFERROR(VALUE(REGEXEXTRACT(N$3:N$22,""^[+-]?[0-9]*\.?[0-9]+"")),""""))),2)"),12.69)</f>
        <v>12.69</v>
      </c>
      <c r="O24" s="14">
        <f>IFERROR(__xludf.DUMMYFUNCTION("ROUND(AVERAGE(ARRAYFORMULA(IFERROR(VALUE(REGEXEXTRACT(O$3:O$22,""^[+-]?[0-9]*\.?[0-9]+"")),""""))),2)"),13.04)</f>
        <v>13.04</v>
      </c>
      <c r="P24" s="14">
        <f>IFERROR(__xludf.DUMMYFUNCTION("ROUND(AVERAGE(ARRAYFORMULA(IFERROR(VALUE(REGEXEXTRACT(P$3:P$22,""^[+-]?[0-9]*\.?[0-9]+"")),""""))),2)"),11.57)</f>
        <v>11.57</v>
      </c>
    </row>
    <row r="25">
      <c r="A25" s="4" t="s">
        <v>504</v>
      </c>
      <c r="B25" s="1"/>
      <c r="C25" s="1"/>
      <c r="D25" s="1"/>
      <c r="E25" s="1"/>
      <c r="F25" s="1"/>
      <c r="G25" s="1"/>
      <c r="H25" s="1"/>
      <c r="I25" s="4" t="s">
        <v>504</v>
      </c>
    </row>
    <row r="26">
      <c r="A26" s="23" t="s">
        <v>505</v>
      </c>
      <c r="B26" s="16" t="s">
        <v>3541</v>
      </c>
      <c r="C26" s="16" t="s">
        <v>3541</v>
      </c>
      <c r="D26" s="16" t="s">
        <v>3542</v>
      </c>
      <c r="E26" s="16" t="s">
        <v>3541</v>
      </c>
      <c r="F26" s="16" t="s">
        <v>3541</v>
      </c>
      <c r="G26" s="16" t="s">
        <v>3541</v>
      </c>
      <c r="H26" s="16" t="s">
        <v>3541</v>
      </c>
      <c r="I26" s="8" t="str">
        <f t="shared" ref="I26:I33" si="2">A26</f>
        <v>A→S</v>
      </c>
      <c r="J26" s="9" t="str">
        <f>IFERROR(__xludf.DUMMYFUNCTION("TEXT(VALUE(REGEXEXTRACT(B26,""^[+-]?[0-9]*\.?[0-9]+""))*100,""0.00"")&amp;"" +/- ""&amp;TEXT(VALUE(REGEXEXTRACT(B26,""[0-9]*\.?[0-9]+$""))*100,""0.00"")"),"5.66 +/- 0.00")</f>
        <v>5.66 +/- 0.00</v>
      </c>
      <c r="K26" s="9" t="str">
        <f>IFERROR(__xludf.DUMMYFUNCTION("TEXT(VALUE(REGEXEXTRACT(C26,""^[+-]?[0-9]*\.?[0-9]+""))*100,""0.00"")&amp;"" +/- ""&amp;TEXT(VALUE(REGEXEXTRACT(C26,""[0-9]*\.?[0-9]+$""))*100,""0.00"")"),"5.66 +/- 0.00")</f>
        <v>5.66 +/- 0.00</v>
      </c>
      <c r="L26" s="10" t="str">
        <f>IFERROR(__xludf.DUMMYFUNCTION("TEXT(VALUE(REGEXEXTRACT(D26,""^[+-]?[0-9]*\.?[0-9]+""))*100,""0.00"")&amp;"" +/- ""&amp;TEXT(VALUE(REGEXEXTRACT(D26,""[0-9]*\.?[0-9]+$""))*100,""0.00"")"),"47.59 +/- 0.00")</f>
        <v>47.59 +/- 0.00</v>
      </c>
      <c r="M26" s="9" t="str">
        <f>IFERROR(__xludf.DUMMYFUNCTION("TEXT(VALUE(REGEXEXTRACT(E26,""^[+-]?[0-9]*\.?[0-9]+""))*100,""0.00"")&amp;"" +/- ""&amp;TEXT(VALUE(REGEXEXTRACT(E26,""[0-9]*\.?[0-9]+$""))*100,""0.00"")"),"5.66 +/- 0.00")</f>
        <v>5.66 +/- 0.00</v>
      </c>
      <c r="N26" s="9" t="str">
        <f>IFERROR(__xludf.DUMMYFUNCTION("TEXT(VALUE(REGEXEXTRACT(F26,""^[+-]?[0-9]*\.?[0-9]+""))*100,""0.00"")&amp;"" +/- ""&amp;TEXT(VALUE(REGEXEXTRACT(F26,""[0-9]*\.?[0-9]+$""))*100,""0.00"")"),"5.66 +/- 0.00")</f>
        <v>5.66 +/- 0.00</v>
      </c>
      <c r="O26" s="9" t="str">
        <f>IFERROR(__xludf.DUMMYFUNCTION("TEXT(VALUE(REGEXEXTRACT(G26,""^[+-]?[0-9]*\.?[0-9]+""))*100,""0.00"")&amp;"" +/- ""&amp;TEXT(VALUE(REGEXEXTRACT(G26,""[0-9]*\.?[0-9]+$""))*100,""0.00"")"),"5.66 +/- 0.00")</f>
        <v>5.66 +/- 0.00</v>
      </c>
      <c r="P26" s="9" t="str">
        <f>IFERROR(__xludf.DUMMYFUNCTION("TEXT(VALUE(REGEXEXTRACT(H26,""^[+-]?[0-9]*\.?[0-9]+""))*100,""0.00"")&amp;"" +/- ""&amp;TEXT(VALUE(REGEXEXTRACT(H26,""[0-9]*\.?[0-9]+$""))*100,""0.00"")"),"5.66 +/- 0.00")</f>
        <v>5.66 +/- 0.00</v>
      </c>
    </row>
    <row r="27">
      <c r="A27" s="6" t="s">
        <v>529</v>
      </c>
      <c r="B27" s="16" t="s">
        <v>3555</v>
      </c>
      <c r="C27" s="16" t="s">
        <v>3555</v>
      </c>
      <c r="D27" s="16" t="s">
        <v>3558</v>
      </c>
      <c r="E27" s="16" t="s">
        <v>3555</v>
      </c>
      <c r="F27" s="16" t="s">
        <v>3555</v>
      </c>
      <c r="G27" s="16" t="s">
        <v>3555</v>
      </c>
      <c r="H27" s="16" t="s">
        <v>3555</v>
      </c>
      <c r="I27" s="8" t="str">
        <f t="shared" si="2"/>
        <v>A→Z</v>
      </c>
      <c r="J27" s="10" t="str">
        <f>IFERROR(__xludf.DUMMYFUNCTION("TEXT(VALUE(REGEXEXTRACT(B27,""^[+-]?[0-9]*\.?[0-9]+""))*100,""0.00"")&amp;"" +/- ""&amp;TEXT(VALUE(REGEXEXTRACT(B27,""[0-9]*\.?[0-9]+$""))*100,""0.00"")"),"22.07 +/- 0.00")</f>
        <v>22.07 +/- 0.00</v>
      </c>
      <c r="K27" s="10" t="str">
        <f>IFERROR(__xludf.DUMMYFUNCTION("TEXT(VALUE(REGEXEXTRACT(C27,""^[+-]?[0-9]*\.?[0-9]+""))*100,""0.00"")&amp;"" +/- ""&amp;TEXT(VALUE(REGEXEXTRACT(C27,""[0-9]*\.?[0-9]+$""))*100,""0.00"")"),"22.07 +/- 0.00")</f>
        <v>22.07 +/- 0.00</v>
      </c>
      <c r="L27" s="9" t="str">
        <f>IFERROR(__xludf.DUMMYFUNCTION("TEXT(VALUE(REGEXEXTRACT(D27,""^[+-]?[0-9]*\.?[0-9]+""))*100,""0.00"")&amp;"" +/- ""&amp;TEXT(VALUE(REGEXEXTRACT(D27,""[0-9]*\.?[0-9]+$""))*100,""0.00"")"),"17.50 +/- 0.00")</f>
        <v>17.50 +/- 0.00</v>
      </c>
      <c r="M27" s="10" t="str">
        <f>IFERROR(__xludf.DUMMYFUNCTION("TEXT(VALUE(REGEXEXTRACT(E27,""^[+-]?[0-9]*\.?[0-9]+""))*100,""0.00"")&amp;"" +/- ""&amp;TEXT(VALUE(REGEXEXTRACT(E27,""[0-9]*\.?[0-9]+$""))*100,""0.00"")"),"22.07 +/- 0.00")</f>
        <v>22.07 +/- 0.00</v>
      </c>
      <c r="N27" s="10" t="str">
        <f>IFERROR(__xludf.DUMMYFUNCTION("TEXT(VALUE(REGEXEXTRACT(F27,""^[+-]?[0-9]*\.?[0-9]+""))*100,""0.00"")&amp;"" +/- ""&amp;TEXT(VALUE(REGEXEXTRACT(F27,""[0-9]*\.?[0-9]+$""))*100,""0.00"")"),"22.07 +/- 0.00")</f>
        <v>22.07 +/- 0.00</v>
      </c>
      <c r="O27" s="10" t="str">
        <f>IFERROR(__xludf.DUMMYFUNCTION("TEXT(VALUE(REGEXEXTRACT(G27,""^[+-]?[0-9]*\.?[0-9]+""))*100,""0.00"")&amp;"" +/- ""&amp;TEXT(VALUE(REGEXEXTRACT(G27,""[0-9]*\.?[0-9]+$""))*100,""0.00"")"),"22.07 +/- 0.00")</f>
        <v>22.07 +/- 0.00</v>
      </c>
      <c r="P27" s="10" t="str">
        <f>IFERROR(__xludf.DUMMYFUNCTION("TEXT(VALUE(REGEXEXTRACT(H27,""^[+-]?[0-9]*\.?[0-9]+""))*100,""0.00"")&amp;"" +/- ""&amp;TEXT(VALUE(REGEXEXTRACT(H27,""[0-9]*\.?[0-9]+$""))*100,""0.00"")"),"22.07 +/- 0.00")</f>
        <v>22.07 +/- 0.00</v>
      </c>
    </row>
    <row r="28">
      <c r="A28" s="6" t="s">
        <v>539</v>
      </c>
      <c r="B28" s="16" t="s">
        <v>3566</v>
      </c>
      <c r="C28" s="16" t="s">
        <v>3310</v>
      </c>
      <c r="D28" s="16" t="s">
        <v>3567</v>
      </c>
      <c r="E28" s="16" t="s">
        <v>3568</v>
      </c>
      <c r="F28" s="16" t="s">
        <v>3569</v>
      </c>
      <c r="G28" s="16" t="s">
        <v>3570</v>
      </c>
      <c r="H28" s="16" t="s">
        <v>3571</v>
      </c>
      <c r="I28" s="8" t="str">
        <f t="shared" si="2"/>
        <v>S→A</v>
      </c>
      <c r="J28" s="10" t="str">
        <f>IFERROR(__xludf.DUMMYFUNCTION("TEXT(VALUE(REGEXEXTRACT(B28,""^[+-]?[0-9]*\.?[0-9]+""))*100,""0.00"")&amp;"" +/- ""&amp;TEXT(VALUE(REGEXEXTRACT(B28,""[0-9]*\.?[0-9]+$""))*100,""0.00"")"),"22.13 +/- 1.84")</f>
        <v>22.13 +/- 1.84</v>
      </c>
      <c r="K28" s="9" t="str">
        <f>IFERROR(__xludf.DUMMYFUNCTION("TEXT(VALUE(REGEXEXTRACT(C28,""^[+-]?[0-9]*\.?[0-9]+""))*100,""0.00"")&amp;"" +/- ""&amp;TEXT(VALUE(REGEXEXTRACT(C28,""[0-9]*\.?[0-9]+$""))*100,""0.00"")"),"16.67 +/- 0.00")</f>
        <v>16.67 +/- 0.00</v>
      </c>
      <c r="L28" s="9" t="str">
        <f>IFERROR(__xludf.DUMMYFUNCTION("TEXT(VALUE(REGEXEXTRACT(D28,""^[+-]?[0-9]*\.?[0-9]+""))*100,""0.00"")&amp;"" +/- ""&amp;TEXT(VALUE(REGEXEXTRACT(D28,""[0-9]*\.?[0-9]+$""))*100,""0.00"")"),"27.06 +/- 0.00")</f>
        <v>27.06 +/- 0.00</v>
      </c>
      <c r="M28" s="9" t="str">
        <f>IFERROR(__xludf.DUMMYFUNCTION("TEXT(VALUE(REGEXEXTRACT(E28,""^[+-]?[0-9]*\.?[0-9]+""))*100,""0.00"")&amp;"" +/- ""&amp;TEXT(VALUE(REGEXEXTRACT(E28,""[0-9]*\.?[0-9]+$""))*100,""0.00"")"),"20.71 +/- 3.13")</f>
        <v>20.71 +/- 3.13</v>
      </c>
      <c r="N28" s="9" t="str">
        <f>IFERROR(__xludf.DUMMYFUNCTION("TEXT(VALUE(REGEXEXTRACT(F28,""^[+-]?[0-9]*\.?[0-9]+""))*100,""0.00"")&amp;"" +/- ""&amp;TEXT(VALUE(REGEXEXTRACT(F28,""[0-9]*\.?[0-9]+$""))*100,""0.00"")"),"19.06 +/- 1.55")</f>
        <v>19.06 +/- 1.55</v>
      </c>
      <c r="O28" s="9" t="str">
        <f>IFERROR(__xludf.DUMMYFUNCTION("TEXT(VALUE(REGEXEXTRACT(G28,""^[+-]?[0-9]*\.?[0-9]+""))*100,""0.00"")&amp;"" +/- ""&amp;TEXT(VALUE(REGEXEXTRACT(G28,""[0-9]*\.?[0-9]+$""))*100,""0.00"")"),"21.10 +/- 2.63")</f>
        <v>21.10 +/- 2.63</v>
      </c>
      <c r="P28" s="9" t="str">
        <f>IFERROR(__xludf.DUMMYFUNCTION("TEXT(VALUE(REGEXEXTRACT(H28,""^[+-]?[0-9]*\.?[0-9]+""))*100,""0.00"")&amp;"" +/- ""&amp;TEXT(VALUE(REGEXEXTRACT(H28,""[0-9]*\.?[0-9]+$""))*100,""0.00"")"),"18.33 +/- 2.04")</f>
        <v>18.33 +/- 2.04</v>
      </c>
    </row>
    <row r="29">
      <c r="A29" s="6" t="s">
        <v>556</v>
      </c>
      <c r="B29" s="16" t="s">
        <v>3579</v>
      </c>
      <c r="C29" s="16" t="s">
        <v>3580</v>
      </c>
      <c r="D29" s="16" t="s">
        <v>3581</v>
      </c>
      <c r="E29" s="16" t="s">
        <v>3582</v>
      </c>
      <c r="F29" s="16" t="s">
        <v>3583</v>
      </c>
      <c r="G29" s="16" t="s">
        <v>3584</v>
      </c>
      <c r="H29" s="16" t="s">
        <v>3585</v>
      </c>
      <c r="I29" s="8" t="str">
        <f t="shared" si="2"/>
        <v>S→Z</v>
      </c>
      <c r="J29" s="10" t="str">
        <f>IFERROR(__xludf.DUMMYFUNCTION("TEXT(VALUE(REGEXEXTRACT(B29,""^[+-]?[0-9]*\.?[0-9]+""))*100,""0.00"")&amp;"" +/- ""&amp;TEXT(VALUE(REGEXEXTRACT(B29,""[0-9]*\.?[0-9]+$""))*100,""0.00"")"),"14.80 +/- 0.93")</f>
        <v>14.80 +/- 0.93</v>
      </c>
      <c r="K29" s="9" t="str">
        <f>IFERROR(__xludf.DUMMYFUNCTION("TEXT(VALUE(REGEXEXTRACT(C29,""^[+-]?[0-9]*\.?[0-9]+""))*100,""0.00"")&amp;"" +/- ""&amp;TEXT(VALUE(REGEXEXTRACT(C29,""[0-9]*\.?[0-9]+$""))*100,""0.00"")"),"13.35 +/- 0.00")</f>
        <v>13.35 +/- 0.00</v>
      </c>
      <c r="L29" s="9" t="str">
        <f>IFERROR(__xludf.DUMMYFUNCTION("TEXT(VALUE(REGEXEXTRACT(D29,""^[+-]?[0-9]*\.?[0-9]+""))*100,""0.00"")&amp;"" +/- ""&amp;TEXT(VALUE(REGEXEXTRACT(D29,""[0-9]*\.?[0-9]+$""))*100,""0.00"")"),"12.90 +/- 0.00")</f>
        <v>12.90 +/- 0.00</v>
      </c>
      <c r="M29" s="9" t="str">
        <f>IFERROR(__xludf.DUMMYFUNCTION("TEXT(VALUE(REGEXEXTRACT(E29,""^[+-]?[0-9]*\.?[0-9]+""))*100,""0.00"")&amp;"" +/- ""&amp;TEXT(VALUE(REGEXEXTRACT(E29,""[0-9]*\.?[0-9]+$""))*100,""0.00"")"),"13.82 +/- 1.60")</f>
        <v>13.82 +/- 1.60</v>
      </c>
      <c r="N29" s="9" t="str">
        <f>IFERROR(__xludf.DUMMYFUNCTION("TEXT(VALUE(REGEXEXTRACT(F29,""^[+-]?[0-9]*\.?[0-9]+""))*100,""0.00"")&amp;"" +/- ""&amp;TEXT(VALUE(REGEXEXTRACT(F29,""[0-9]*\.?[0-9]+$""))*100,""0.00"")"),"12.22 +/- 0.91")</f>
        <v>12.22 +/- 0.91</v>
      </c>
      <c r="O29" s="9" t="str">
        <f>IFERROR(__xludf.DUMMYFUNCTION("TEXT(VALUE(REGEXEXTRACT(G29,""^[+-]?[0-9]*\.?[0-9]+""))*100,""0.00"")&amp;"" +/- ""&amp;TEXT(VALUE(REGEXEXTRACT(G29,""[0-9]*\.?[0-9]+$""))*100,""0.00"")"),"13.87 +/- 1.22")</f>
        <v>13.87 +/- 1.22</v>
      </c>
      <c r="P29" s="9" t="str">
        <f>IFERROR(__xludf.DUMMYFUNCTION("TEXT(VALUE(REGEXEXTRACT(H29,""^[+-]?[0-9]*\.?[0-9]+""))*100,""0.00"")&amp;"" +/- ""&amp;TEXT(VALUE(REGEXEXTRACT(H29,""[0-9]*\.?[0-9]+$""))*100,""0.00"")"),"13.06 +/- 1.34")</f>
        <v>13.06 +/- 1.34</v>
      </c>
    </row>
    <row r="30">
      <c r="A30" s="6" t="s">
        <v>572</v>
      </c>
      <c r="B30" s="16" t="s">
        <v>3593</v>
      </c>
      <c r="C30" s="16" t="s">
        <v>3594</v>
      </c>
      <c r="D30" s="16" t="s">
        <v>3595</v>
      </c>
      <c r="E30" s="16" t="s">
        <v>3596</v>
      </c>
      <c r="F30" s="16" t="s">
        <v>3597</v>
      </c>
      <c r="G30" s="16" t="s">
        <v>3598</v>
      </c>
      <c r="H30" s="16" t="s">
        <v>3599</v>
      </c>
      <c r="I30" s="8" t="str">
        <f t="shared" si="2"/>
        <v>Z→A</v>
      </c>
      <c r="J30" s="9" t="str">
        <f>IFERROR(__xludf.DUMMYFUNCTION("TEXT(VALUE(REGEXEXTRACT(B30,""^[+-]?[0-9]*\.?[0-9]+""))*100,""0.00"")&amp;"" +/- ""&amp;TEXT(VALUE(REGEXEXTRACT(B30,""[0-9]*\.?[0-9]+$""))*100,""0.00"")"),"24.11 +/- 1.86")</f>
        <v>24.11 +/- 1.86</v>
      </c>
      <c r="K30" s="9" t="str">
        <f>IFERROR(__xludf.DUMMYFUNCTION("TEXT(VALUE(REGEXEXTRACT(C30,""^[+-]?[0-9]*\.?[0-9]+""))*100,""0.00"")&amp;"" +/- ""&amp;TEXT(VALUE(REGEXEXTRACT(C30,""[0-9]*\.?[0-9]+$""))*100,""0.00"")"),"11.70 +/- 0.00")</f>
        <v>11.70 +/- 0.00</v>
      </c>
      <c r="L30" s="10" t="str">
        <f>IFERROR(__xludf.DUMMYFUNCTION("TEXT(VALUE(REGEXEXTRACT(D30,""^[+-]?[0-9]*\.?[0-9]+""))*100,""0.00"")&amp;"" +/- ""&amp;TEXT(VALUE(REGEXEXTRACT(D30,""[0-9]*\.?[0-9]+$""))*100,""0.00"")"),"38.54 +/- 0.00")</f>
        <v>38.54 +/- 0.00</v>
      </c>
      <c r="M30" s="9" t="str">
        <f>IFERROR(__xludf.DUMMYFUNCTION("TEXT(VALUE(REGEXEXTRACT(E30,""^[+-]?[0-9]*\.?[0-9]+""))*100,""0.00"")&amp;"" +/- ""&amp;TEXT(VALUE(REGEXEXTRACT(E30,""[0-9]*\.?[0-9]+$""))*100,""0.00"")"),"23.09 +/- 3.63")</f>
        <v>23.09 +/- 3.63</v>
      </c>
      <c r="N30" s="9" t="str">
        <f>IFERROR(__xludf.DUMMYFUNCTION("TEXT(VALUE(REGEXEXTRACT(F30,""^[+-]?[0-9]*\.?[0-9]+""))*100,""0.00"")&amp;"" +/- ""&amp;TEXT(VALUE(REGEXEXTRACT(F30,""[0-9]*\.?[0-9]+$""))*100,""0.00"")"),"19.62 +/- 3.60")</f>
        <v>19.62 +/- 3.60</v>
      </c>
      <c r="O30" s="9" t="str">
        <f>IFERROR(__xludf.DUMMYFUNCTION("TEXT(VALUE(REGEXEXTRACT(G30,""^[+-]?[0-9]*\.?[0-9]+""))*100,""0.00"")&amp;"" +/- ""&amp;TEXT(VALUE(REGEXEXTRACT(G30,""[0-9]*\.?[0-9]+$""))*100,""0.00"")"),"22.05 +/- 5.10")</f>
        <v>22.05 +/- 5.10</v>
      </c>
      <c r="P30" s="9" t="str">
        <f>IFERROR(__xludf.DUMMYFUNCTION("TEXT(VALUE(REGEXEXTRACT(H30,""^[+-]?[0-9]*\.?[0-9]+""))*100,""0.00"")&amp;"" +/- ""&amp;TEXT(VALUE(REGEXEXTRACT(H30,""[0-9]*\.?[0-9]+$""))*100,""0.00"")"),"13.68 +/- 2.79")</f>
        <v>13.68 +/- 2.79</v>
      </c>
    </row>
    <row r="31">
      <c r="A31" s="6" t="s">
        <v>583</v>
      </c>
      <c r="B31" s="16" t="s">
        <v>3600</v>
      </c>
      <c r="C31" s="16" t="s">
        <v>3601</v>
      </c>
      <c r="D31" s="16" t="s">
        <v>3602</v>
      </c>
      <c r="E31" s="16" t="s">
        <v>3603</v>
      </c>
      <c r="F31" s="16" t="s">
        <v>3604</v>
      </c>
      <c r="G31" s="16" t="s">
        <v>3605</v>
      </c>
      <c r="H31" s="16" t="s">
        <v>3606</v>
      </c>
      <c r="I31" s="8" t="str">
        <f t="shared" si="2"/>
        <v>Z→S</v>
      </c>
      <c r="J31" s="10" t="str">
        <f>IFERROR(__xludf.DUMMYFUNCTION("TEXT(VALUE(REGEXEXTRACT(B31,""^[+-]?[0-9]*\.?[0-9]+""))*100,""0.00"")&amp;"" +/- ""&amp;TEXT(VALUE(REGEXEXTRACT(B31,""[0-9]*\.?[0-9]+$""))*100,""0.00"")"),"46.34 +/- 5.12")</f>
        <v>46.34 +/- 5.12</v>
      </c>
      <c r="K31" s="9" t="str">
        <f>IFERROR(__xludf.DUMMYFUNCTION("TEXT(VALUE(REGEXEXTRACT(C31,""^[+-]?[0-9]*\.?[0-9]+""))*100,""0.00"")&amp;"" +/- ""&amp;TEXT(VALUE(REGEXEXTRACT(C31,""[0-9]*\.?[0-9]+$""))*100,""0.00"")"),"24.88 +/- 0.00")</f>
        <v>24.88 +/- 0.00</v>
      </c>
      <c r="L31" s="9" t="str">
        <f>IFERROR(__xludf.DUMMYFUNCTION("TEXT(VALUE(REGEXEXTRACT(D31,""^[+-]?[0-9]*\.?[0-9]+""))*100,""0.00"")&amp;"" +/- ""&amp;TEXT(VALUE(REGEXEXTRACT(D31,""[0-9]*\.?[0-9]+$""))*100,""0.00"")"),"40.30 +/- 0.00")</f>
        <v>40.30 +/- 0.00</v>
      </c>
      <c r="M31" s="9" t="str">
        <f>IFERROR(__xludf.DUMMYFUNCTION("TEXT(VALUE(REGEXEXTRACT(E31,""^[+-]?[0-9]*\.?[0-9]+""))*100,""0.00"")&amp;"" +/- ""&amp;TEXT(VALUE(REGEXEXTRACT(E31,""[0-9]*\.?[0-9]+$""))*100,""0.00"")"),"24.29 +/- 4.97")</f>
        <v>24.29 +/- 4.97</v>
      </c>
      <c r="N31" s="9" t="str">
        <f>IFERROR(__xludf.DUMMYFUNCTION("TEXT(VALUE(REGEXEXTRACT(F31,""^[+-]?[0-9]*\.?[0-9]+""))*100,""0.00"")&amp;"" +/- ""&amp;TEXT(VALUE(REGEXEXTRACT(F31,""[0-9]*\.?[0-9]+$""))*100,""0.00"")"),"21.00 +/- 3.27")</f>
        <v>21.00 +/- 3.27</v>
      </c>
      <c r="O31" s="9" t="str">
        <f>IFERROR(__xludf.DUMMYFUNCTION("TEXT(VALUE(REGEXEXTRACT(G31,""^[+-]?[0-9]*\.?[0-9]+""))*100,""0.00"")&amp;"" +/- ""&amp;TEXT(VALUE(REGEXEXTRACT(G31,""[0-9]*\.?[0-9]+$""))*100,""0.00"")"),"19.63 +/- 3.91")</f>
        <v>19.63 +/- 3.91</v>
      </c>
      <c r="P31" s="9" t="str">
        <f>IFERROR(__xludf.DUMMYFUNCTION("TEXT(VALUE(REGEXEXTRACT(H31,""^[+-]?[0-9]*\.?[0-9]+""))*100,""0.00"")&amp;"" +/- ""&amp;TEXT(VALUE(REGEXEXTRACT(H31,""[0-9]*\.?[0-9]+$""))*100,""0.00"")"),"17.78 +/- 5.37")</f>
        <v>17.78 +/- 5.37</v>
      </c>
    </row>
    <row r="32">
      <c r="A32" s="6" t="s">
        <v>371</v>
      </c>
      <c r="B32" s="14"/>
      <c r="C32" s="21" t="s">
        <v>671</v>
      </c>
      <c r="D32" s="21" t="s">
        <v>2851</v>
      </c>
      <c r="E32" s="21" t="s">
        <v>671</v>
      </c>
      <c r="F32" s="21" t="s">
        <v>671</v>
      </c>
      <c r="G32" s="21" t="s">
        <v>671</v>
      </c>
      <c r="H32" s="21" t="s">
        <v>671</v>
      </c>
      <c r="I32" s="8" t="str">
        <f t="shared" si="2"/>
        <v>W/T/L</v>
      </c>
      <c r="K32" s="20" t="str">
        <f>IFERROR(__xludf.DUMMYFUNCTION("SUM(ARRAYFORMULA(IFERROR(
  (VALUE(REGEXEXTRACT($J$26:$J$31,""^[+-]?[0-9]*\.?[0-9]+""))&gt;
   VALUE(REGEXEXTRACT(K$26:K$31,""^[+-]?[0-9]*\.?[0-9]+"")))*1,0)))
&amp;""/""&amp;
SUM(ARRAYFORMULA(IFERROR(
  (VALUE(REGEXEXTRACT($J$26:$J$31,""^[+-]?[0-9]*\.?[0-9]+""))=
 "&amp;"  VALUE(REGEXEXTRACT(K$26:K$31,""^[+-]?[0-9]*\.?[0-9]+"")))*1,0)))
&amp;""/""&amp;
SUM(ARRAYFORMULA(IFERROR(
  (VALUE(REGEXEXTRACT($J$26:$J$31,""^[+-]?[0-9]*\.?[0-9]+""))&lt;
   VALUE(REGEXEXTRACT(K$26:K$31,""^[+-]?[0-9]*\.?[0-9]+"")))*1,0)))"),"4/2/0")</f>
        <v>4/2/0</v>
      </c>
      <c r="L32" s="20" t="str">
        <f>IFERROR(__xludf.DUMMYFUNCTION("SUM(ARRAYFORMULA(IFERROR(
  (VALUE(REGEXEXTRACT($J$26:$J$31,""^[+-]?[0-9]*\.?[0-9]+""))&gt;
   VALUE(REGEXEXTRACT(L$26:L$31,""^[+-]?[0-9]*\.?[0-9]+"")))*1,0)))
&amp;""/""&amp;
SUM(ARRAYFORMULA(IFERROR(
  (VALUE(REGEXEXTRACT($J$26:$J$31,""^[+-]?[0-9]*\.?[0-9]+""))=
 "&amp;"  VALUE(REGEXEXTRACT(L$26:L$31,""^[+-]?[0-9]*\.?[0-9]+"")))*1,0)))
&amp;""/""&amp;
SUM(ARRAYFORMULA(IFERROR(
  (VALUE(REGEXEXTRACT($J$26:$J$31,""^[+-]?[0-9]*\.?[0-9]+""))&lt;
   VALUE(REGEXEXTRACT(L$26:L$31,""^[+-]?[0-9]*\.?[0-9]+"")))*1,0)))"),"3/0/3")</f>
        <v>3/0/3</v>
      </c>
      <c r="M32" s="20" t="str">
        <f>IFERROR(__xludf.DUMMYFUNCTION("SUM(ARRAYFORMULA(IFERROR(
  (VALUE(REGEXEXTRACT($J$26:$J$31,""^[+-]?[0-9]*\.?[0-9]+""))&gt;
   VALUE(REGEXEXTRACT(M$26:M$31,""^[+-]?[0-9]*\.?[0-9]+"")))*1,0)))
&amp;""/""&amp;
SUM(ARRAYFORMULA(IFERROR(
  (VALUE(REGEXEXTRACT($J$26:$J$31,""^[+-]?[0-9]*\.?[0-9]+""))=
 "&amp;"  VALUE(REGEXEXTRACT(M$26:M$31,""^[+-]?[0-9]*\.?[0-9]+"")))*1,0)))
&amp;""/""&amp;
SUM(ARRAYFORMULA(IFERROR(
  (VALUE(REGEXEXTRACT($J$26:$J$31,""^[+-]?[0-9]*\.?[0-9]+""))&lt;
   VALUE(REGEXEXTRACT(M$26:M$31,""^[+-]?[0-9]*\.?[0-9]+"")))*1,0)))"),"4/2/0")</f>
        <v>4/2/0</v>
      </c>
      <c r="N32" s="20" t="str">
        <f>IFERROR(__xludf.DUMMYFUNCTION("SUM(ARRAYFORMULA(IFERROR(
  (VALUE(REGEXEXTRACT($J$26:$J$31,""^[+-]?[0-9]*\.?[0-9]+""))&gt;
   VALUE(REGEXEXTRACT(N$26:N$31,""^[+-]?[0-9]*\.?[0-9]+"")))*1,0)))
&amp;""/""&amp;
SUM(ARRAYFORMULA(IFERROR(
  (VALUE(REGEXEXTRACT($J$26:$J$31,""^[+-]?[0-9]*\.?[0-9]+""))=
 "&amp;"  VALUE(REGEXEXTRACT(N$26:N$31,""^[+-]?[0-9]*\.?[0-9]+"")))*1,0)))
&amp;""/""&amp;
SUM(ARRAYFORMULA(IFERROR(
  (VALUE(REGEXEXTRACT($J$26:$J$31,""^[+-]?[0-9]*\.?[0-9]+""))&lt;
   VALUE(REGEXEXTRACT(N$26:N$31,""^[+-]?[0-9]*\.?[0-9]+"")))*1,0)))"),"4/2/0")</f>
        <v>4/2/0</v>
      </c>
      <c r="O32" s="20" t="str">
        <f>IFERROR(__xludf.DUMMYFUNCTION("SUM(ARRAYFORMULA(IFERROR(
  (VALUE(REGEXEXTRACT($J$26:$J$31,""^[+-]?[0-9]*\.?[0-9]+""))&gt;
   VALUE(REGEXEXTRACT(O$26:O$31,""^[+-]?[0-9]*\.?[0-9]+"")))*1,0)))
&amp;""/""&amp;
SUM(ARRAYFORMULA(IFERROR(
  (VALUE(REGEXEXTRACT($J$26:$J$31,""^[+-]?[0-9]*\.?[0-9]+""))=
 "&amp;"  VALUE(REGEXEXTRACT(O$26:O$31,""^[+-]?[0-9]*\.?[0-9]+"")))*1,0)))
&amp;""/""&amp;
SUM(ARRAYFORMULA(IFERROR(
  (VALUE(REGEXEXTRACT($J$26:$J$31,""^[+-]?[0-9]*\.?[0-9]+""))&lt;
   VALUE(REGEXEXTRACT(O$26:O$31,""^[+-]?[0-9]*\.?[0-9]+"")))*1,0)))"),"4/2/0")</f>
        <v>4/2/0</v>
      </c>
      <c r="P32" s="20" t="str">
        <f>IFERROR(__xludf.DUMMYFUNCTION("SUM(ARRAYFORMULA(IFERROR(
  (VALUE(REGEXEXTRACT($J$26:$J$31,""^[+-]?[0-9]*\.?[0-9]+""))&gt;
   VALUE(REGEXEXTRACT(P$26:P$31,""^[+-]?[0-9]*\.?[0-9]+"")))*1,0)))
&amp;""/""&amp;
SUM(ARRAYFORMULA(IFERROR(
  (VALUE(REGEXEXTRACT($J$26:$J$31,""^[+-]?[0-9]*\.?[0-9]+""))=
 "&amp;"  VALUE(REGEXEXTRACT(P$26:P$31,""^[+-]?[0-9]*\.?[0-9]+"")))*1,0)))
&amp;""/""&amp;
SUM(ARRAYFORMULA(IFERROR(
  (VALUE(REGEXEXTRACT($J$26:$J$31,""^[+-]?[0-9]*\.?[0-9]+""))&lt;
   VALUE(REGEXEXTRACT(P$26:P$31,""^[+-]?[0-9]*\.?[0-9]+"")))*1,0)))"),"4/2/0")</f>
        <v>4/2/0</v>
      </c>
    </row>
    <row r="33">
      <c r="A33" s="6" t="s">
        <v>489</v>
      </c>
      <c r="B33" s="14" t="s">
        <v>3617</v>
      </c>
      <c r="C33" s="14" t="s">
        <v>3618</v>
      </c>
      <c r="D33" s="14" t="s">
        <v>3619</v>
      </c>
      <c r="E33" s="14" t="s">
        <v>3620</v>
      </c>
      <c r="F33" s="14" t="s">
        <v>3621</v>
      </c>
      <c r="G33" s="14" t="s">
        <v>644</v>
      </c>
      <c r="H33" s="14" t="s">
        <v>3622</v>
      </c>
      <c r="I33" s="8" t="str">
        <f t="shared" si="2"/>
        <v>Average (%)</v>
      </c>
      <c r="J33" s="9">
        <f>IFERROR(__xludf.DUMMYFUNCTION("ROUND(AVERAGE(ARRAYFORMULA(IFERROR(VALUE(REGEXEXTRACT(J$26:J$31,""^[+-]?[0-9]*\.?[0-9]+"")),""""))),2)"),22.52)</f>
        <v>22.52</v>
      </c>
      <c r="K33" s="9">
        <f>IFERROR(__xludf.DUMMYFUNCTION("ROUND(AVERAGE(ARRAYFORMULA(IFERROR(VALUE(REGEXEXTRACT(K$26:K$31,""^[+-]?[0-9]*\.?[0-9]+"")),""""))),2)"),15.72)</f>
        <v>15.72</v>
      </c>
      <c r="L33" s="9">
        <f>IFERROR(__xludf.DUMMYFUNCTION("ROUND(AVERAGE(ARRAYFORMULA(IFERROR(VALUE(REGEXEXTRACT(L$26:L$31,""^[+-]?[0-9]*\.?[0-9]+"")),""""))),2)"),30.65)</f>
        <v>30.65</v>
      </c>
      <c r="M33" s="9">
        <f>IFERROR(__xludf.DUMMYFUNCTION("ROUND(AVERAGE(ARRAYFORMULA(IFERROR(VALUE(REGEXEXTRACT(M$26:M$31,""^[+-]?[0-9]*\.?[0-9]+"")),""""))),2)"),18.27)</f>
        <v>18.27</v>
      </c>
      <c r="N33" s="9">
        <f>IFERROR(__xludf.DUMMYFUNCTION("ROUND(AVERAGE(ARRAYFORMULA(IFERROR(VALUE(REGEXEXTRACT(N$26:N$31,""^[+-]?[0-9]*\.?[0-9]+"")),""""))),2)"),16.61)</f>
        <v>16.61</v>
      </c>
      <c r="O33" s="9">
        <f>IFERROR(__xludf.DUMMYFUNCTION("ROUND(AVERAGE(ARRAYFORMULA(IFERROR(VALUE(REGEXEXTRACT(O$26:O$31,""^[+-]?[0-9]*\.?[0-9]+"")),""""))),2)"),17.4)</f>
        <v>17.4</v>
      </c>
      <c r="P33" s="9">
        <f>IFERROR(__xludf.DUMMYFUNCTION("ROUND(AVERAGE(ARRAYFORMULA(IFERROR(VALUE(REGEXEXTRACT(P$26:P$31,""^[+-]?[0-9]*\.?[0-9]+"")),""""))),2)"),15.1)</f>
        <v>15.1</v>
      </c>
    </row>
    <row r="34">
      <c r="A34" s="4" t="s">
        <v>659</v>
      </c>
      <c r="B34" s="1"/>
      <c r="C34" s="1"/>
      <c r="D34" s="1"/>
      <c r="E34" s="1"/>
      <c r="F34" s="1"/>
      <c r="G34" s="1"/>
      <c r="H34" s="1"/>
      <c r="I34" s="4" t="s">
        <v>659</v>
      </c>
    </row>
    <row r="35">
      <c r="A35" s="6" t="s">
        <v>660</v>
      </c>
      <c r="B35" s="16" t="s">
        <v>3623</v>
      </c>
      <c r="C35" s="16" t="s">
        <v>3624</v>
      </c>
      <c r="D35" s="16" t="s">
        <v>3625</v>
      </c>
      <c r="E35" s="16" t="s">
        <v>3626</v>
      </c>
      <c r="F35" s="16" t="s">
        <v>3627</v>
      </c>
      <c r="G35" s="16" t="s">
        <v>3628</v>
      </c>
      <c r="H35" s="16" t="s">
        <v>3629</v>
      </c>
      <c r="I35" s="8" t="str">
        <f t="shared" ref="I35:I56" si="3">A35</f>
        <v>AR1→AR3</v>
      </c>
      <c r="J35" s="9" t="str">
        <f>IFERROR(__xludf.DUMMYFUNCTION("TEXT(VALUE(REGEXEXTRACT(B35,""^[+-]?[0-9]*\.?[0-9]+""))*100,""0.00"")&amp;"" +/- ""&amp;TEXT(VALUE(REGEXEXTRACT(B35,""[0-9]*\.?[0-9]+$""))*100,""0.00"")"),"-8.03 +/- 0.89")</f>
        <v>-8.03 +/- 0.89</v>
      </c>
      <c r="K35" s="10" t="str">
        <f>IFERROR(__xludf.DUMMYFUNCTION("TEXT(VALUE(REGEXEXTRACT(C35,""^[+-]?[0-9]*\.?[0-9]+""))*100,""0.00"")&amp;"" +/- ""&amp;TEXT(VALUE(REGEXEXTRACT(C35,""[0-9]*\.?[0-9]+$""))*100,""0.00"")"),"13.86 +/- 0.00")</f>
        <v>13.86 +/- 0.00</v>
      </c>
      <c r="L35" s="9" t="str">
        <f>IFERROR(__xludf.DUMMYFUNCTION("TEXT(VALUE(REGEXEXTRACT(D35,""^[+-]?[0-9]*\.?[0-9]+""))*100,""0.00"")&amp;"" +/- ""&amp;TEXT(VALUE(REGEXEXTRACT(D35,""[0-9]*\.?[0-9]+$""))*100,""0.00"")"),"-13.48 +/- 0.00")</f>
        <v>-13.48 +/- 0.00</v>
      </c>
      <c r="M35" s="9" t="str">
        <f>IFERROR(__xludf.DUMMYFUNCTION("TEXT(VALUE(REGEXEXTRACT(E35,""^[+-]?[0-9]*\.?[0-9]+""))*100,""0.00"")&amp;"" +/- ""&amp;TEXT(VALUE(REGEXEXTRACT(E35,""[0-9]*\.?[0-9]+$""))*100,""0.00"")"),"-7.58 +/- 1.86")</f>
        <v>-7.58 +/- 1.86</v>
      </c>
      <c r="N35" s="9" t="str">
        <f>IFERROR(__xludf.DUMMYFUNCTION("TEXT(VALUE(REGEXEXTRACT(F35,""^[+-]?[0-9]*\.?[0-9]+""))*100,""0.00"")&amp;"" +/- ""&amp;TEXT(VALUE(REGEXEXTRACT(F35,""[0-9]*\.?[0-9]+$""))*100,""0.00"")"),"-8.08 +/- 0.77")</f>
        <v>-8.08 +/- 0.77</v>
      </c>
      <c r="O35" s="9" t="str">
        <f>IFERROR(__xludf.DUMMYFUNCTION("TEXT(VALUE(REGEXEXTRACT(G35,""^[+-]?[0-9]*\.?[0-9]+""))*100,""0.00"")&amp;"" +/- ""&amp;TEXT(VALUE(REGEXEXTRACT(G35,""[0-9]*\.?[0-9]+$""))*100,""0.00"")"),"-7.36 +/- 2.06")</f>
        <v>-7.36 +/- 2.06</v>
      </c>
      <c r="P35" s="9" t="str">
        <f>IFERROR(__xludf.DUMMYFUNCTION("TEXT(VALUE(REGEXEXTRACT(H35,""^[+-]?[0-9]*\.?[0-9]+""))*100,""0.00"")&amp;"" +/- ""&amp;TEXT(VALUE(REGEXEXTRACT(H35,""[0-9]*\.?[0-9]+$""))*100,""0.00"")"),"-1.73 +/- 5.01")</f>
        <v>-1.73 +/- 5.01</v>
      </c>
    </row>
    <row r="36">
      <c r="A36" s="6" t="s">
        <v>676</v>
      </c>
      <c r="B36" s="16" t="s">
        <v>3630</v>
      </c>
      <c r="C36" s="16" t="s">
        <v>3631</v>
      </c>
      <c r="D36" s="16" t="s">
        <v>3632</v>
      </c>
      <c r="E36" s="16" t="s">
        <v>3633</v>
      </c>
      <c r="F36" s="16" t="s">
        <v>3634</v>
      </c>
      <c r="G36" s="16" t="s">
        <v>3635</v>
      </c>
      <c r="H36" s="16" t="s">
        <v>3636</v>
      </c>
      <c r="I36" s="8" t="str">
        <f t="shared" si="3"/>
        <v>AR1→AR4</v>
      </c>
      <c r="J36" s="9" t="str">
        <f>IFERROR(__xludf.DUMMYFUNCTION("TEXT(VALUE(REGEXEXTRACT(B36,""^[+-]?[0-9]*\.?[0-9]+""))*100,""0.00"")&amp;"" +/- ""&amp;TEXT(VALUE(REGEXEXTRACT(B36,""[0-9]*\.?[0-9]+$""))*100,""0.00"")"),"27.85 +/- 3.45")</f>
        <v>27.85 +/- 3.45</v>
      </c>
      <c r="K36" s="9" t="str">
        <f>IFERROR(__xludf.DUMMYFUNCTION("TEXT(VALUE(REGEXEXTRACT(C36,""^[+-]?[0-9]*\.?[0-9]+""))*100,""0.00"")&amp;"" +/- ""&amp;TEXT(VALUE(REGEXEXTRACT(C36,""[0-9]*\.?[0-9]+$""))*100,""0.00"")"),"-8.14 +/- 0.00")</f>
        <v>-8.14 +/- 0.00</v>
      </c>
      <c r="L36" s="9" t="str">
        <f>IFERROR(__xludf.DUMMYFUNCTION("TEXT(VALUE(REGEXEXTRACT(D36,""^[+-]?[0-9]*\.?[0-9]+""))*100,""0.00"")&amp;"" +/- ""&amp;TEXT(VALUE(REGEXEXTRACT(D36,""[0-9]*\.?[0-9]+$""))*100,""0.00"")"),"26.10 +/- 0.00")</f>
        <v>26.10 +/- 0.00</v>
      </c>
      <c r="M36" s="10" t="str">
        <f>IFERROR(__xludf.DUMMYFUNCTION("TEXT(VALUE(REGEXEXTRACT(E36,""^[+-]?[0-9]*\.?[0-9]+""))*100,""0.00"")&amp;"" +/- ""&amp;TEXT(VALUE(REGEXEXTRACT(E36,""[0-9]*\.?[0-9]+$""))*100,""0.00"")"),"28.40 +/- 4.03")</f>
        <v>28.40 +/- 4.03</v>
      </c>
      <c r="N36" s="9" t="str">
        <f>IFERROR(__xludf.DUMMYFUNCTION("TEXT(VALUE(REGEXEXTRACT(F36,""^[+-]?[0-9]*\.?[0-9]+""))*100,""0.00"")&amp;"" +/- ""&amp;TEXT(VALUE(REGEXEXTRACT(F36,""[0-9]*\.?[0-9]+$""))*100,""0.00"")"),"28.14 +/- 2.67")</f>
        <v>28.14 +/- 2.67</v>
      </c>
      <c r="O36" s="9" t="str">
        <f>IFERROR(__xludf.DUMMYFUNCTION("TEXT(VALUE(REGEXEXTRACT(G36,""^[+-]?[0-9]*\.?[0-9]+""))*100,""0.00"")&amp;"" +/- ""&amp;TEXT(VALUE(REGEXEXTRACT(G36,""[0-9]*\.?[0-9]+$""))*100,""0.00"")"),"26.71 +/- 2.59")</f>
        <v>26.71 +/- 2.59</v>
      </c>
      <c r="P36" s="9" t="str">
        <f>IFERROR(__xludf.DUMMYFUNCTION("TEXT(VALUE(REGEXEXTRACT(H36,""^[+-]?[0-9]*\.?[0-9]+""))*100,""0.00"")&amp;"" +/- ""&amp;TEXT(VALUE(REGEXEXTRACT(H36,""[0-9]*\.?[0-9]+$""))*100,""0.00"")"),"21.64 +/- 2.21")</f>
        <v>21.64 +/- 2.21</v>
      </c>
    </row>
    <row r="37">
      <c r="A37" s="6" t="s">
        <v>684</v>
      </c>
      <c r="B37" s="16" t="s">
        <v>3637</v>
      </c>
      <c r="C37" s="16" t="s">
        <v>3638</v>
      </c>
      <c r="D37" s="16" t="s">
        <v>3639</v>
      </c>
      <c r="E37" s="16" t="s">
        <v>3640</v>
      </c>
      <c r="F37" s="16" t="s">
        <v>3641</v>
      </c>
      <c r="G37" s="16" t="s">
        <v>3642</v>
      </c>
      <c r="H37" s="16" t="s">
        <v>3643</v>
      </c>
      <c r="I37" s="8" t="str">
        <f t="shared" si="3"/>
        <v>AR1→AR5</v>
      </c>
      <c r="J37" s="9" t="str">
        <f>IFERROR(__xludf.DUMMYFUNCTION("TEXT(VALUE(REGEXEXTRACT(B37,""^[+-]?[0-9]*\.?[0-9]+""))*100,""0.00"")&amp;"" +/- ""&amp;TEXT(VALUE(REGEXEXTRACT(B37,""[0-9]*\.?[0-9]+$""))*100,""0.00"")"),"31.73 +/- 5.91")</f>
        <v>31.73 +/- 5.91</v>
      </c>
      <c r="K37" s="9" t="str">
        <f>IFERROR(__xludf.DUMMYFUNCTION("TEXT(VALUE(REGEXEXTRACT(C37,""^[+-]?[0-9]*\.?[0-9]+""))*100,""0.00"")&amp;"" +/- ""&amp;TEXT(VALUE(REGEXEXTRACT(C37,""[0-9]*\.?[0-9]+$""))*100,""0.00"")"),"-12.96 +/- 0.00")</f>
        <v>-12.96 +/- 0.00</v>
      </c>
      <c r="L37" s="9" t="str">
        <f>IFERROR(__xludf.DUMMYFUNCTION("TEXT(VALUE(REGEXEXTRACT(D37,""^[+-]?[0-9]*\.?[0-9]+""))*100,""0.00"")&amp;"" +/- ""&amp;TEXT(VALUE(REGEXEXTRACT(D37,""[0-9]*\.?[0-9]+$""))*100,""0.00"")"),"-9.04 +/- 0.00")</f>
        <v>-9.04 +/- 0.00</v>
      </c>
      <c r="M37" s="9" t="str">
        <f>IFERROR(__xludf.DUMMYFUNCTION("TEXT(VALUE(REGEXEXTRACT(E37,""^[+-]?[0-9]*\.?[0-9]+""))*100,""0.00"")&amp;"" +/- ""&amp;TEXT(VALUE(REGEXEXTRACT(E37,""[0-9]*\.?[0-9]+$""))*100,""0.00"")"),"32.27 +/- 5.14")</f>
        <v>32.27 +/- 5.14</v>
      </c>
      <c r="N37" s="9" t="str">
        <f>IFERROR(__xludf.DUMMYFUNCTION("TEXT(VALUE(REGEXEXTRACT(F37,""^[+-]?[0-9]*\.?[0-9]+""))*100,""0.00"")&amp;"" +/- ""&amp;TEXT(VALUE(REGEXEXTRACT(F37,""[0-9]*\.?[0-9]+$""))*100,""0.00"")"),"32.32 +/- 5.26")</f>
        <v>32.32 +/- 5.26</v>
      </c>
      <c r="O37" s="10" t="str">
        <f>IFERROR(__xludf.DUMMYFUNCTION("TEXT(VALUE(REGEXEXTRACT(G37,""^[+-]?[0-9]*\.?[0-9]+""))*100,""0.00"")&amp;"" +/- ""&amp;TEXT(VALUE(REGEXEXTRACT(G37,""[0-9]*\.?[0-9]+$""))*100,""0.00"")"),"35.01 +/- 2.35")</f>
        <v>35.01 +/- 2.35</v>
      </c>
      <c r="P37" s="9" t="str">
        <f>IFERROR(__xludf.DUMMYFUNCTION("TEXT(VALUE(REGEXEXTRACT(H37,""^[+-]?[0-9]*\.?[0-9]+""))*100,""0.00"")&amp;"" +/- ""&amp;TEXT(VALUE(REGEXEXTRACT(H37,""[0-9]*\.?[0-9]+$""))*100,""0.00"")"),"21.31 +/- 8.16")</f>
        <v>21.31 +/- 8.16</v>
      </c>
    </row>
    <row r="38">
      <c r="A38" s="6" t="s">
        <v>702</v>
      </c>
      <c r="B38" s="16" t="s">
        <v>3644</v>
      </c>
      <c r="C38" s="16" t="s">
        <v>3645</v>
      </c>
      <c r="D38" s="16" t="s">
        <v>3646</v>
      </c>
      <c r="E38" s="16" t="s">
        <v>3647</v>
      </c>
      <c r="F38" s="16" t="s">
        <v>3648</v>
      </c>
      <c r="G38" s="16" t="s">
        <v>3649</v>
      </c>
      <c r="H38" s="16" t="s">
        <v>3650</v>
      </c>
      <c r="I38" s="8" t="str">
        <f t="shared" si="3"/>
        <v>AR1→AR6</v>
      </c>
      <c r="J38" s="9" t="str">
        <f>IFERROR(__xludf.DUMMYFUNCTION("TEXT(VALUE(REGEXEXTRACT(B38,""^[+-]?[0-9]*\.?[0-9]+""))*100,""0.00"")&amp;"" +/- ""&amp;TEXT(VALUE(REGEXEXTRACT(B38,""[0-9]*\.?[0-9]+$""))*100,""0.00"")"),"7.40 +/- 3.23")</f>
        <v>7.40 +/- 3.23</v>
      </c>
      <c r="K38" s="10" t="str">
        <f>IFERROR(__xludf.DUMMYFUNCTION("TEXT(VALUE(REGEXEXTRACT(C38,""^[+-]?[0-9]*\.?[0-9]+""))*100,""0.00"")&amp;"" +/- ""&amp;TEXT(VALUE(REGEXEXTRACT(C38,""[0-9]*\.?[0-9]+$""))*100,""0.00"")"),"18.68 +/- 0.00")</f>
        <v>18.68 +/- 0.00</v>
      </c>
      <c r="L38" s="9" t="str">
        <f>IFERROR(__xludf.DUMMYFUNCTION("TEXT(VALUE(REGEXEXTRACT(D38,""^[+-]?[0-9]*\.?[0-9]+""))*100,""0.00"")&amp;"" +/- ""&amp;TEXT(VALUE(REGEXEXTRACT(D38,""[0-9]*\.?[0-9]+$""))*100,""0.00"")"),"13.45 +/- 0.00")</f>
        <v>13.45 +/- 0.00</v>
      </c>
      <c r="M38" s="9" t="str">
        <f>IFERROR(__xludf.DUMMYFUNCTION("TEXT(VALUE(REGEXEXTRACT(E38,""^[+-]?[0-9]*\.?[0-9]+""))*100,""0.00"")&amp;"" +/- ""&amp;TEXT(VALUE(REGEXEXTRACT(E38,""[0-9]*\.?[0-9]+$""))*100,""0.00"")"),"6.27 +/- 3.62")</f>
        <v>6.27 +/- 3.62</v>
      </c>
      <c r="N38" s="9" t="str">
        <f>IFERROR(__xludf.DUMMYFUNCTION("TEXT(VALUE(REGEXEXTRACT(F38,""^[+-]?[0-9]*\.?[0-9]+""))*100,""0.00"")&amp;"" +/- ""&amp;TEXT(VALUE(REGEXEXTRACT(F38,""[0-9]*\.?[0-9]+$""))*100,""0.00"")"),"7.54 +/- 4.37")</f>
        <v>7.54 +/- 4.37</v>
      </c>
      <c r="O38" s="9" t="str">
        <f>IFERROR(__xludf.DUMMYFUNCTION("TEXT(VALUE(REGEXEXTRACT(G38,""^[+-]?[0-9]*\.?[0-9]+""))*100,""0.00"")&amp;"" +/- ""&amp;TEXT(VALUE(REGEXEXTRACT(G38,""[0-9]*\.?[0-9]+$""))*100,""0.00"")"),"6.95 +/- 3.10")</f>
        <v>6.95 +/- 3.10</v>
      </c>
      <c r="P38" s="9" t="str">
        <f>IFERROR(__xludf.DUMMYFUNCTION("TEXT(VALUE(REGEXEXTRACT(H38,""^[+-]?[0-9]*\.?[0-9]+""))*100,""0.00"")&amp;"" +/- ""&amp;TEXT(VALUE(REGEXEXTRACT(H38,""[0-9]*\.?[0-9]+$""))*100,""0.00"")"),"14.05 +/- 2.00")</f>
        <v>14.05 +/- 2.00</v>
      </c>
    </row>
    <row r="39">
      <c r="A39" s="6" t="s">
        <v>738</v>
      </c>
      <c r="B39" s="16" t="s">
        <v>3651</v>
      </c>
      <c r="C39" s="16" t="s">
        <v>3652</v>
      </c>
      <c r="D39" s="16" t="s">
        <v>3653</v>
      </c>
      <c r="E39" s="16" t="s">
        <v>3654</v>
      </c>
      <c r="F39" s="16" t="s">
        <v>3655</v>
      </c>
      <c r="G39" s="16" t="s">
        <v>3656</v>
      </c>
      <c r="H39" s="16" t="s">
        <v>3657</v>
      </c>
      <c r="I39" s="8" t="str">
        <f t="shared" si="3"/>
        <v>AR3→AR1</v>
      </c>
      <c r="J39" s="10" t="str">
        <f>IFERROR(__xludf.DUMMYFUNCTION("TEXT(VALUE(REGEXEXTRACT(B39,""^[+-]?[0-9]*\.?[0-9]+""))*100,""0.00"")&amp;"" +/- ""&amp;TEXT(VALUE(REGEXEXTRACT(B39,""[0-9]*\.?[0-9]+$""))*100,""0.00"")"),"14.84 +/- 3.69")</f>
        <v>14.84 +/- 3.69</v>
      </c>
      <c r="K39" s="9" t="str">
        <f>IFERROR(__xludf.DUMMYFUNCTION("TEXT(VALUE(REGEXEXTRACT(C39,""^[+-]?[0-9]*\.?[0-9]+""))*100,""0.00"")&amp;"" +/- ""&amp;TEXT(VALUE(REGEXEXTRACT(C39,""[0-9]*\.?[0-9]+$""))*100,""0.00"")"),"4.34 +/- 0.00")</f>
        <v>4.34 +/- 0.00</v>
      </c>
      <c r="L39" s="9" t="str">
        <f>IFERROR(__xludf.DUMMYFUNCTION("TEXT(VALUE(REGEXEXTRACT(D39,""^[+-]?[0-9]*\.?[0-9]+""))*100,""0.00"")&amp;"" +/- ""&amp;TEXT(VALUE(REGEXEXTRACT(D39,""[0-9]*\.?[0-9]+$""))*100,""0.00"")"),"-4.67 +/- 0.00")</f>
        <v>-4.67 +/- 0.00</v>
      </c>
      <c r="M39" s="9" t="str">
        <f>IFERROR(__xludf.DUMMYFUNCTION("TEXT(VALUE(REGEXEXTRACT(E39,""^[+-]?[0-9]*\.?[0-9]+""))*100,""0.00"")&amp;"" +/- ""&amp;TEXT(VALUE(REGEXEXTRACT(E39,""[0-9]*\.?[0-9]+$""))*100,""0.00"")"),"14.54 +/- 3.61")</f>
        <v>14.54 +/- 3.61</v>
      </c>
      <c r="N39" s="9" t="str">
        <f>IFERROR(__xludf.DUMMYFUNCTION("TEXT(VALUE(REGEXEXTRACT(F39,""^[+-]?[0-9]*\.?[0-9]+""))*100,""0.00"")&amp;"" +/- ""&amp;TEXT(VALUE(REGEXEXTRACT(F39,""[0-9]*\.?[0-9]+$""))*100,""0.00"")"),"11.30 +/- 3.23")</f>
        <v>11.30 +/- 3.23</v>
      </c>
      <c r="O39" s="9" t="str">
        <f>IFERROR(__xludf.DUMMYFUNCTION("TEXT(VALUE(REGEXEXTRACT(G39,""^[+-]?[0-9]*\.?[0-9]+""))*100,""0.00"")&amp;"" +/- ""&amp;TEXT(VALUE(REGEXEXTRACT(G39,""[0-9]*\.?[0-9]+$""))*100,""0.00"")"),"14.91 +/- 3.68")</f>
        <v>14.91 +/- 3.68</v>
      </c>
      <c r="P39" s="9" t="str">
        <f>IFERROR(__xludf.DUMMYFUNCTION("TEXT(VALUE(REGEXEXTRACT(H39,""^[+-]?[0-9]*\.?[0-9]+""))*100,""0.00"")&amp;"" +/- ""&amp;TEXT(VALUE(REGEXEXTRACT(H39,""[0-9]*\.?[0-9]+$""))*100,""0.00"")"),"12.61 +/- 3.83")</f>
        <v>12.61 +/- 3.83</v>
      </c>
    </row>
    <row r="40">
      <c r="A40" s="6" t="s">
        <v>752</v>
      </c>
      <c r="B40" s="16" t="s">
        <v>3658</v>
      </c>
      <c r="C40" s="16" t="s">
        <v>3659</v>
      </c>
      <c r="D40" s="16" t="s">
        <v>3660</v>
      </c>
      <c r="E40" s="16" t="s">
        <v>3661</v>
      </c>
      <c r="F40" s="16" t="s">
        <v>3662</v>
      </c>
      <c r="G40" s="16" t="s">
        <v>3663</v>
      </c>
      <c r="H40" s="16" t="s">
        <v>3664</v>
      </c>
      <c r="I40" s="8" t="str">
        <f t="shared" si="3"/>
        <v>AR3→AR4</v>
      </c>
      <c r="J40" s="9" t="str">
        <f>IFERROR(__xludf.DUMMYFUNCTION("TEXT(VALUE(REGEXEXTRACT(B40,""^[+-]?[0-9]*\.?[0-9]+""))*100,""0.00"")&amp;"" +/- ""&amp;TEXT(VALUE(REGEXEXTRACT(B40,""[0-9]*\.?[0-9]+$""))*100,""0.00"")"),"31.47 +/- 2.15")</f>
        <v>31.47 +/- 2.15</v>
      </c>
      <c r="K40" s="10" t="str">
        <f>IFERROR(__xludf.DUMMYFUNCTION("TEXT(VALUE(REGEXEXTRACT(C40,""^[+-]?[0-9]*\.?[0-9]+""))*100,""0.00"")&amp;"" +/- ""&amp;TEXT(VALUE(REGEXEXTRACT(C40,""[0-9]*\.?[0-9]+$""))*100,""0.00"")"),"34.18 +/- 0.00")</f>
        <v>34.18 +/- 0.00</v>
      </c>
      <c r="L40" s="9" t="str">
        <f>IFERROR(__xludf.DUMMYFUNCTION("TEXT(VALUE(REGEXEXTRACT(D40,""^[+-]?[0-9]*\.?[0-9]+""))*100,""0.00"")&amp;"" +/- ""&amp;TEXT(VALUE(REGEXEXTRACT(D40,""[0-9]*\.?[0-9]+$""))*100,""0.00"")"),"2.81 +/- 0.00")</f>
        <v>2.81 +/- 0.00</v>
      </c>
      <c r="M40" s="9" t="str">
        <f>IFERROR(__xludf.DUMMYFUNCTION("TEXT(VALUE(REGEXEXTRACT(E40,""^[+-]?[0-9]*\.?[0-9]+""))*100,""0.00"")&amp;"" +/- ""&amp;TEXT(VALUE(REGEXEXTRACT(E40,""[0-9]*\.?[0-9]+$""))*100,""0.00"")"),"29.08 +/- 2.16")</f>
        <v>29.08 +/- 2.16</v>
      </c>
      <c r="N40" s="9" t="str">
        <f>IFERROR(__xludf.DUMMYFUNCTION("TEXT(VALUE(REGEXEXTRACT(F40,""^[+-]?[0-9]*\.?[0-9]+""))*100,""0.00"")&amp;"" +/- ""&amp;TEXT(VALUE(REGEXEXTRACT(F40,""[0-9]*\.?[0-9]+$""))*100,""0.00"")"),"31.27 +/- 2.20")</f>
        <v>31.27 +/- 2.20</v>
      </c>
      <c r="O40" s="9" t="str">
        <f>IFERROR(__xludf.DUMMYFUNCTION("TEXT(VALUE(REGEXEXTRACT(G40,""^[+-]?[0-9]*\.?[0-9]+""))*100,""0.00"")&amp;"" +/- ""&amp;TEXT(VALUE(REGEXEXTRACT(G40,""[0-9]*\.?[0-9]+$""))*100,""0.00"")"),"30.77 +/- 2.56")</f>
        <v>30.77 +/- 2.56</v>
      </c>
      <c r="P40" s="9" t="str">
        <f>IFERROR(__xludf.DUMMYFUNCTION("TEXT(VALUE(REGEXEXTRACT(H40,""^[+-]?[0-9]*\.?[0-9]+""))*100,""0.00"")&amp;"" +/- ""&amp;TEXT(VALUE(REGEXEXTRACT(H40,""[0-9]*\.?[0-9]+$""))*100,""0.00"")"),"21.18 +/- 6.05")</f>
        <v>21.18 +/- 6.05</v>
      </c>
    </row>
    <row r="41">
      <c r="A41" s="6" t="s">
        <v>771</v>
      </c>
      <c r="B41" s="16" t="s">
        <v>3665</v>
      </c>
      <c r="C41" s="16" t="s">
        <v>3666</v>
      </c>
      <c r="D41" s="16" t="s">
        <v>3667</v>
      </c>
      <c r="E41" s="16" t="s">
        <v>3668</v>
      </c>
      <c r="F41" s="16" t="s">
        <v>3669</v>
      </c>
      <c r="G41" s="16" t="s">
        <v>3669</v>
      </c>
      <c r="H41" s="16" t="s">
        <v>3670</v>
      </c>
      <c r="I41" s="8" t="str">
        <f t="shared" si="3"/>
        <v>AR3→AR5</v>
      </c>
      <c r="J41" s="9" t="str">
        <f>IFERROR(__xludf.DUMMYFUNCTION("TEXT(VALUE(REGEXEXTRACT(B41,""^[+-]?[0-9]*\.?[0-9]+""))*100,""0.00"")&amp;"" +/- ""&amp;TEXT(VALUE(REGEXEXTRACT(B41,""[0-9]*\.?[0-9]+$""))*100,""0.00"")"),"46.47 +/- 1.00")</f>
        <v>46.47 +/- 1.00</v>
      </c>
      <c r="K41" s="10" t="str">
        <f>IFERROR(__xludf.DUMMYFUNCTION("TEXT(VALUE(REGEXEXTRACT(C41,""^[+-]?[0-9]*\.?[0-9]+""))*100,""0.00"")&amp;"" +/- ""&amp;TEXT(VALUE(REGEXEXTRACT(C41,""[0-9]*\.?[0-9]+$""))*100,""0.00"")"),"51.79 +/- 0.00")</f>
        <v>51.79 +/- 0.00</v>
      </c>
      <c r="L41" s="9" t="str">
        <f>IFERROR(__xludf.DUMMYFUNCTION("TEXT(VALUE(REGEXEXTRACT(D41,""^[+-]?[0-9]*\.?[0-9]+""))*100,""0.00"")&amp;"" +/- ""&amp;TEXT(VALUE(REGEXEXTRACT(D41,""[0-9]*\.?[0-9]+$""))*100,""0.00"")"),"56.35 +/- 0.00")</f>
        <v>56.35 +/- 0.00</v>
      </c>
      <c r="M41" s="9" t="str">
        <f>IFERROR(__xludf.DUMMYFUNCTION("TEXT(VALUE(REGEXEXTRACT(E41,""^[+-]?[0-9]*\.?[0-9]+""))*100,""0.00"")&amp;"" +/- ""&amp;TEXT(VALUE(REGEXEXTRACT(E41,""[0-9]*\.?[0-9]+$""))*100,""0.00"")"),"47.82 +/- 3.55")</f>
        <v>47.82 +/- 3.55</v>
      </c>
      <c r="N41" s="9" t="str">
        <f>IFERROR(__xludf.DUMMYFUNCTION("TEXT(VALUE(REGEXEXTRACT(F41,""^[+-]?[0-9]*\.?[0-9]+""))*100,""0.00"")&amp;"" +/- ""&amp;TEXT(VALUE(REGEXEXTRACT(F41,""[0-9]*\.?[0-9]+$""))*100,""0.00"")"),"46.29 +/- 0.00")</f>
        <v>46.29 +/- 0.00</v>
      </c>
      <c r="O41" s="9" t="str">
        <f>IFERROR(__xludf.DUMMYFUNCTION("TEXT(VALUE(REGEXEXTRACT(G41,""^[+-]?[0-9]*\.?[0-9]+""))*100,""0.00"")&amp;"" +/- ""&amp;TEXT(VALUE(REGEXEXTRACT(G41,""[0-9]*\.?[0-9]+$""))*100,""0.00"")"),"46.29 +/- 0.00")</f>
        <v>46.29 +/- 0.00</v>
      </c>
      <c r="P41" s="9" t="str">
        <f>IFERROR(__xludf.DUMMYFUNCTION("TEXT(VALUE(REGEXEXTRACT(H41,""^[+-]?[0-9]*\.?[0-9]+""))*100,""0.00"")&amp;"" +/- ""&amp;TEXT(VALUE(REGEXEXTRACT(H41,""[0-9]*\.?[0-9]+$""))*100,""0.00"")"),"44.95 +/- 12.65")</f>
        <v>44.95 +/- 12.65</v>
      </c>
    </row>
    <row r="42">
      <c r="A42" s="6" t="s">
        <v>798</v>
      </c>
      <c r="B42" s="16" t="s">
        <v>3671</v>
      </c>
      <c r="C42" s="16" t="s">
        <v>2553</v>
      </c>
      <c r="D42" s="16" t="s">
        <v>3672</v>
      </c>
      <c r="E42" s="16" t="s">
        <v>3673</v>
      </c>
      <c r="F42" s="16" t="s">
        <v>3674</v>
      </c>
      <c r="G42" s="16" t="s">
        <v>3675</v>
      </c>
      <c r="H42" s="16" t="s">
        <v>3676</v>
      </c>
      <c r="I42" s="8" t="str">
        <f t="shared" si="3"/>
        <v>AR3→AR6</v>
      </c>
      <c r="J42" s="9" t="str">
        <f>IFERROR(__xludf.DUMMYFUNCTION("TEXT(VALUE(REGEXEXTRACT(B42,""^[+-]?[0-9]*\.?[0-9]+""))*100,""0.00"")&amp;"" +/- ""&amp;TEXT(VALUE(REGEXEXTRACT(B42,""[0-9]*\.?[0-9]+$""))*100,""0.00"")"),"27.70 +/- 2.54")</f>
        <v>27.70 +/- 2.54</v>
      </c>
      <c r="K42" s="10" t="str">
        <f>IFERROR(__xludf.DUMMYFUNCTION("TEXT(VALUE(REGEXEXTRACT(C42,""^[+-]?[0-9]*\.?[0-9]+""))*100,""0.00"")&amp;"" +/- ""&amp;TEXT(VALUE(REGEXEXTRACT(C42,""[0-9]*\.?[0-9]+$""))*100,""0.00"")"),"30.09 +/- 0.00")</f>
        <v>30.09 +/- 0.00</v>
      </c>
      <c r="L42" s="9" t="str">
        <f>IFERROR(__xludf.DUMMYFUNCTION("TEXT(VALUE(REGEXEXTRACT(D42,""^[+-]?[0-9]*\.?[0-9]+""))*100,""0.00"")&amp;"" +/- ""&amp;TEXT(VALUE(REGEXEXTRACT(D42,""[0-9]*\.?[0-9]+$""))*100,""0.00"")"),"-2.86 +/- 0.00")</f>
        <v>-2.86 +/- 0.00</v>
      </c>
      <c r="M42" s="9" t="str">
        <f>IFERROR(__xludf.DUMMYFUNCTION("TEXT(VALUE(REGEXEXTRACT(E42,""^[+-]?[0-9]*\.?[0-9]+""))*100,""0.00"")&amp;"" +/- ""&amp;TEXT(VALUE(REGEXEXTRACT(E42,""[0-9]*\.?[0-9]+$""))*100,""0.00"")"),"24.20 +/- 1.74")</f>
        <v>24.20 +/- 1.74</v>
      </c>
      <c r="N42" s="9" t="str">
        <f>IFERROR(__xludf.DUMMYFUNCTION("TEXT(VALUE(REGEXEXTRACT(F42,""^[+-]?[0-9]*\.?[0-9]+""))*100,""0.00"")&amp;"" +/- ""&amp;TEXT(VALUE(REGEXEXTRACT(F42,""[0-9]*\.?[0-9]+$""))*100,""0.00"")"),"27.43 +/- 1.66")</f>
        <v>27.43 +/- 1.66</v>
      </c>
      <c r="O42" s="9" t="str">
        <f>IFERROR(__xludf.DUMMYFUNCTION("TEXT(VALUE(REGEXEXTRACT(G42,""^[+-]?[0-9]*\.?[0-9]+""))*100,""0.00"")&amp;"" +/- ""&amp;TEXT(VALUE(REGEXEXTRACT(G42,""[0-9]*\.?[0-9]+$""))*100,""0.00"")"),"27.45 +/- 2.37")</f>
        <v>27.45 +/- 2.37</v>
      </c>
      <c r="P42" s="9" t="str">
        <f>IFERROR(__xludf.DUMMYFUNCTION("TEXT(VALUE(REGEXEXTRACT(H42,""^[+-]?[0-9]*\.?[0-9]+""))*100,""0.00"")&amp;"" +/- ""&amp;TEXT(VALUE(REGEXEXTRACT(H42,""[0-9]*\.?[0-9]+$""))*100,""0.00"")"),"14.56 +/- 5.52")</f>
        <v>14.56 +/- 5.52</v>
      </c>
    </row>
    <row r="43">
      <c r="A43" s="6" t="s">
        <v>806</v>
      </c>
      <c r="B43" s="16" t="s">
        <v>3677</v>
      </c>
      <c r="C43" s="16" t="s">
        <v>3678</v>
      </c>
      <c r="D43" s="16" t="s">
        <v>3653</v>
      </c>
      <c r="E43" s="16" t="s">
        <v>3679</v>
      </c>
      <c r="F43" s="16" t="s">
        <v>3680</v>
      </c>
      <c r="G43" s="16" t="s">
        <v>3681</v>
      </c>
      <c r="H43" s="16" t="s">
        <v>3682</v>
      </c>
      <c r="I43" s="8" t="str">
        <f t="shared" si="3"/>
        <v>AR4→AR1</v>
      </c>
      <c r="J43" s="9" t="str">
        <f>IFERROR(__xludf.DUMMYFUNCTION("TEXT(VALUE(REGEXEXTRACT(B43,""^[+-]?[0-9]*\.?[0-9]+""))*100,""0.00"")&amp;"" +/- ""&amp;TEXT(VALUE(REGEXEXTRACT(B43,""[0-9]*\.?[0-9]+$""))*100,""0.00"")"),"20.83 +/- 0.57")</f>
        <v>20.83 +/- 0.57</v>
      </c>
      <c r="K43" s="10" t="str">
        <f>IFERROR(__xludf.DUMMYFUNCTION("TEXT(VALUE(REGEXEXTRACT(C43,""^[+-]?[0-9]*\.?[0-9]+""))*100,""0.00"")&amp;"" +/- ""&amp;TEXT(VALUE(REGEXEXTRACT(C43,""[0-9]*\.?[0-9]+$""))*100,""0.00"")"),"34.43 +/- 0.00")</f>
        <v>34.43 +/- 0.00</v>
      </c>
      <c r="L43" s="9" t="str">
        <f>IFERROR(__xludf.DUMMYFUNCTION("TEXT(VALUE(REGEXEXTRACT(D43,""^[+-]?[0-9]*\.?[0-9]+""))*100,""0.00"")&amp;"" +/- ""&amp;TEXT(VALUE(REGEXEXTRACT(D43,""[0-9]*\.?[0-9]+$""))*100,""0.00"")"),"-4.67 +/- 0.00")</f>
        <v>-4.67 +/- 0.00</v>
      </c>
      <c r="M43" s="9" t="str">
        <f>IFERROR(__xludf.DUMMYFUNCTION("TEXT(VALUE(REGEXEXTRACT(E43,""^[+-]?[0-9]*\.?[0-9]+""))*100,""0.00"")&amp;"" +/- ""&amp;TEXT(VALUE(REGEXEXTRACT(E43,""[0-9]*\.?[0-9]+$""))*100,""0.00"")"),"24.62 +/- 2.83")</f>
        <v>24.62 +/- 2.83</v>
      </c>
      <c r="N43" s="9" t="str">
        <f>IFERROR(__xludf.DUMMYFUNCTION("TEXT(VALUE(REGEXEXTRACT(F43,""^[+-]?[0-9]*\.?[0-9]+""))*100,""0.00"")&amp;"" +/- ""&amp;TEXT(VALUE(REGEXEXTRACT(F43,""[0-9]*\.?[0-9]+$""))*100,""0.00"")"),"25.31 +/- 1.77")</f>
        <v>25.31 +/- 1.77</v>
      </c>
      <c r="O43" s="9" t="str">
        <f>IFERROR(__xludf.DUMMYFUNCTION("TEXT(VALUE(REGEXEXTRACT(G43,""^[+-]?[0-9]*\.?[0-9]+""))*100,""0.00"")&amp;"" +/- ""&amp;TEXT(VALUE(REGEXEXTRACT(G43,""[0-9]*\.?[0-9]+$""))*100,""0.00"")"),"25.44 +/- 2.43")</f>
        <v>25.44 +/- 2.43</v>
      </c>
      <c r="P43" s="9" t="str">
        <f>IFERROR(__xludf.DUMMYFUNCTION("TEXT(VALUE(REGEXEXTRACT(H43,""^[+-]?[0-9]*\.?[0-9]+""))*100,""0.00"")&amp;"" +/- ""&amp;TEXT(VALUE(REGEXEXTRACT(H43,""[0-9]*\.?[0-9]+$""))*100,""0.00"")"),"24.52 +/- 3.65")</f>
        <v>24.52 +/- 3.65</v>
      </c>
    </row>
    <row r="44">
      <c r="A44" s="6" t="s">
        <v>819</v>
      </c>
      <c r="B44" s="16" t="s">
        <v>3683</v>
      </c>
      <c r="C44" s="16" t="s">
        <v>3684</v>
      </c>
      <c r="D44" s="16" t="s">
        <v>3685</v>
      </c>
      <c r="E44" s="16" t="s">
        <v>3686</v>
      </c>
      <c r="F44" s="16" t="s">
        <v>3687</v>
      </c>
      <c r="G44" s="16" t="s">
        <v>3688</v>
      </c>
      <c r="H44" s="16" t="s">
        <v>3689</v>
      </c>
      <c r="I44" s="8" t="str">
        <f t="shared" si="3"/>
        <v>AR4→AR3</v>
      </c>
      <c r="J44" s="10" t="str">
        <f>IFERROR(__xludf.DUMMYFUNCTION("TEXT(VALUE(REGEXEXTRACT(B44,""^[+-]?[0-9]*\.?[0-9]+""))*100,""0.00"")&amp;"" +/- ""&amp;TEXT(VALUE(REGEXEXTRACT(B44,""[0-9]*\.?[0-9]+$""))*100,""0.00"")"),"39.04 +/- 4.77")</f>
        <v>39.04 +/- 4.77</v>
      </c>
      <c r="K44" s="9" t="str">
        <f>IFERROR(__xludf.DUMMYFUNCTION("TEXT(VALUE(REGEXEXTRACT(C44,""^[+-]?[0-9]*\.?[0-9]+""))*100,""0.00"")&amp;"" +/- ""&amp;TEXT(VALUE(REGEXEXTRACT(C44,""[0-9]*\.?[0-9]+$""))*100,""0.00"")"),"25.30 +/- 0.00")</f>
        <v>25.30 +/- 0.00</v>
      </c>
      <c r="L44" s="9" t="str">
        <f>IFERROR(__xludf.DUMMYFUNCTION("TEXT(VALUE(REGEXEXTRACT(D44,""^[+-]?[0-9]*\.?[0-9]+""))*100,""0.00"")&amp;"" +/- ""&amp;TEXT(VALUE(REGEXEXTRACT(D44,""[0-9]*\.?[0-9]+$""))*100,""0.00"")"),"32.02 +/- 0.00")</f>
        <v>32.02 +/- 0.00</v>
      </c>
      <c r="M44" s="9" t="str">
        <f>IFERROR(__xludf.DUMMYFUNCTION("TEXT(VALUE(REGEXEXTRACT(E44,""^[+-]?[0-9]*\.?[0-9]+""))*100,""0.00"")&amp;"" +/- ""&amp;TEXT(VALUE(REGEXEXTRACT(E44,""[0-9]*\.?[0-9]+$""))*100,""0.00"")"),"24.77 +/- 4.00")</f>
        <v>24.77 +/- 4.00</v>
      </c>
      <c r="N44" s="9" t="str">
        <f>IFERROR(__xludf.DUMMYFUNCTION("TEXT(VALUE(REGEXEXTRACT(F44,""^[+-]?[0-9]*\.?[0-9]+""))*100,""0.00"")&amp;"" +/- ""&amp;TEXT(VALUE(REGEXEXTRACT(F44,""[0-9]*\.?[0-9]+$""))*100,""0.00"")"),"8.92 +/- 2.71")</f>
        <v>8.92 +/- 2.71</v>
      </c>
      <c r="O44" s="9" t="str">
        <f>IFERROR(__xludf.DUMMYFUNCTION("TEXT(VALUE(REGEXEXTRACT(G44,""^[+-]?[0-9]*\.?[0-9]+""))*100,""0.00"")&amp;"" +/- ""&amp;TEXT(VALUE(REGEXEXTRACT(G44,""[0-9]*\.?[0-9]+$""))*100,""0.00"")"),"22.44 +/- 4.72")</f>
        <v>22.44 +/- 4.72</v>
      </c>
      <c r="P44" s="9" t="str">
        <f>IFERROR(__xludf.DUMMYFUNCTION("TEXT(VALUE(REGEXEXTRACT(H44,""^[+-]?[0-9]*\.?[0-9]+""))*100,""0.00"")&amp;"" +/- ""&amp;TEXT(VALUE(REGEXEXTRACT(H44,""[0-9]*\.?[0-9]+$""))*100,""0.00"")"),"-0.08 +/- 1.70")</f>
        <v>-0.08 +/- 1.70</v>
      </c>
    </row>
    <row r="45">
      <c r="A45" s="6" t="s">
        <v>833</v>
      </c>
      <c r="B45" s="16" t="s">
        <v>3690</v>
      </c>
      <c r="C45" s="16" t="s">
        <v>3691</v>
      </c>
      <c r="D45" s="16" t="s">
        <v>2190</v>
      </c>
      <c r="E45" s="16" t="s">
        <v>3692</v>
      </c>
      <c r="F45" s="16" t="s">
        <v>3693</v>
      </c>
      <c r="G45" s="16" t="s">
        <v>3694</v>
      </c>
      <c r="H45" s="16" t="s">
        <v>3695</v>
      </c>
      <c r="I45" s="8" t="str">
        <f t="shared" si="3"/>
        <v>AR4→AR5</v>
      </c>
      <c r="J45" s="10" t="str">
        <f>IFERROR(__xludf.DUMMYFUNCTION("TEXT(VALUE(REGEXEXTRACT(B45,""^[+-]?[0-9]*\.?[0-9]+""))*100,""0.00"")&amp;"" +/- ""&amp;TEXT(VALUE(REGEXEXTRACT(B45,""[0-9]*\.?[0-9]+$""))*100,""0.00"")"),"55.72 +/- 4.08")</f>
        <v>55.72 +/- 4.08</v>
      </c>
      <c r="K45" s="9" t="str">
        <f>IFERROR(__xludf.DUMMYFUNCTION("TEXT(VALUE(REGEXEXTRACT(C45,""^[+-]?[0-9]*\.?[0-9]+""))*100,""0.00"")&amp;"" +/- ""&amp;TEXT(VALUE(REGEXEXTRACT(C45,""[0-9]*\.?[0-9]+$""))*100,""0.00"")"),"47.81 +/- 0.00")</f>
        <v>47.81 +/- 0.00</v>
      </c>
      <c r="L45" s="9" t="str">
        <f>IFERROR(__xludf.DUMMYFUNCTION("TEXT(VALUE(REGEXEXTRACT(D45,""^[+-]?[0-9]*\.?[0-9]+""))*100,""0.00"")&amp;"" +/- ""&amp;TEXT(VALUE(REGEXEXTRACT(D45,""[0-9]*\.?[0-9]+$""))*100,""0.00"")"),"67.86 +/- 0.00")</f>
        <v>67.86 +/- 0.00</v>
      </c>
      <c r="M45" s="9" t="str">
        <f>IFERROR(__xludf.DUMMYFUNCTION("TEXT(VALUE(REGEXEXTRACT(E45,""^[+-]?[0-9]*\.?[0-9]+""))*100,""0.00"")&amp;"" +/- ""&amp;TEXT(VALUE(REGEXEXTRACT(E45,""[0-9]*\.?[0-9]+$""))*100,""0.00"")"),"51.58 +/- 6.41")</f>
        <v>51.58 +/- 6.41</v>
      </c>
      <c r="N45" s="9" t="str">
        <f>IFERROR(__xludf.DUMMYFUNCTION("TEXT(VALUE(REGEXEXTRACT(F45,""^[+-]?[0-9]*\.?[0-9]+""))*100,""0.00"")&amp;"" +/- ""&amp;TEXT(VALUE(REGEXEXTRACT(F45,""[0-9]*\.?[0-9]+$""))*100,""0.00"")"),"38.71 +/- 6.45")</f>
        <v>38.71 +/- 6.45</v>
      </c>
      <c r="O45" s="9" t="str">
        <f>IFERROR(__xludf.DUMMYFUNCTION("TEXT(VALUE(REGEXEXTRACT(G45,""^[+-]?[0-9]*\.?[0-9]+""))*100,""0.00"")&amp;"" +/- ""&amp;TEXT(VALUE(REGEXEXTRACT(G45,""[0-9]*\.?[0-9]+$""))*100,""0.00"")"),"48.44 +/- 6.41")</f>
        <v>48.44 +/- 6.41</v>
      </c>
      <c r="P45" s="9" t="str">
        <f>IFERROR(__xludf.DUMMYFUNCTION("TEXT(VALUE(REGEXEXTRACT(H45,""^[+-]?[0-9]*\.?[0-9]+""))*100,""0.00"")&amp;"" +/- ""&amp;TEXT(VALUE(REGEXEXTRACT(H45,""[0-9]*\.?[0-9]+$""))*100,""0.00"")"),"42.57 +/- 3.93")</f>
        <v>42.57 +/- 3.93</v>
      </c>
    </row>
    <row r="46">
      <c r="A46" s="6" t="s">
        <v>849</v>
      </c>
      <c r="B46" s="16" t="s">
        <v>3696</v>
      </c>
      <c r="C46" s="16" t="s">
        <v>3697</v>
      </c>
      <c r="D46" s="16" t="s">
        <v>3698</v>
      </c>
      <c r="E46" s="16" t="s">
        <v>3699</v>
      </c>
      <c r="F46" s="16" t="s">
        <v>3700</v>
      </c>
      <c r="G46" s="16" t="s">
        <v>3701</v>
      </c>
      <c r="H46" s="16" t="s">
        <v>3702</v>
      </c>
      <c r="I46" s="8" t="str">
        <f t="shared" si="3"/>
        <v>AR4→AR6</v>
      </c>
      <c r="J46" s="10" t="str">
        <f>IFERROR(__xludf.DUMMYFUNCTION("TEXT(VALUE(REGEXEXTRACT(B46,""^[+-]?[0-9]*\.?[0-9]+""))*100,""0.00"")&amp;"" +/- ""&amp;TEXT(VALUE(REGEXEXTRACT(B46,""[0-9]*\.?[0-9]+$""))*100,""0.00"")"),"4.28 +/- 2.36")</f>
        <v>4.28 +/- 2.36</v>
      </c>
      <c r="K46" s="9" t="str">
        <f>IFERROR(__xludf.DUMMYFUNCTION("TEXT(VALUE(REGEXEXTRACT(C46,""^[+-]?[0-9]*\.?[0-9]+""))*100,""0.00"")&amp;"" +/- ""&amp;TEXT(VALUE(REGEXEXTRACT(C46,""[0-9]*\.?[0-9]+$""))*100,""0.00"")"),"3.54 +/- 0.00")</f>
        <v>3.54 +/- 0.00</v>
      </c>
      <c r="L46" s="9" t="str">
        <f>IFERROR(__xludf.DUMMYFUNCTION("TEXT(VALUE(REGEXEXTRACT(D46,""^[+-]?[0-9]*\.?[0-9]+""))*100,""0.00"")&amp;"" +/- ""&amp;TEXT(VALUE(REGEXEXTRACT(D46,""[0-9]*\.?[0-9]+$""))*100,""0.00"")"),"-16.01 +/- 0.00")</f>
        <v>-16.01 +/- 0.00</v>
      </c>
      <c r="M46" s="9" t="str">
        <f>IFERROR(__xludf.DUMMYFUNCTION("TEXT(VALUE(REGEXEXTRACT(E46,""^[+-]?[0-9]*\.?[0-9]+""))*100,""0.00"")&amp;"" +/- ""&amp;TEXT(VALUE(REGEXEXTRACT(E46,""[0-9]*\.?[0-9]+$""))*100,""0.00"")"),"1.70 +/- 2.80")</f>
        <v>1.70 +/- 2.80</v>
      </c>
      <c r="N46" s="9" t="str">
        <f>IFERROR(__xludf.DUMMYFUNCTION("TEXT(VALUE(REGEXEXTRACT(F46,""^[+-]?[0-9]*\.?[0-9]+""))*100,""0.00"")&amp;"" +/- ""&amp;TEXT(VALUE(REGEXEXTRACT(F46,""[0-9]*\.?[0-9]+$""))*100,""0.00"")"),"2.22 +/- 2.22")</f>
        <v>2.22 +/- 2.22</v>
      </c>
      <c r="O46" s="9" t="str">
        <f>IFERROR(__xludf.DUMMYFUNCTION("TEXT(VALUE(REGEXEXTRACT(G46,""^[+-]?[0-9]*\.?[0-9]+""))*100,""0.00"")&amp;"" +/- ""&amp;TEXT(VALUE(REGEXEXTRACT(G46,""[0-9]*\.?[0-9]+$""))*100,""0.00"")"),"1.48 +/- 2.65")</f>
        <v>1.48 +/- 2.65</v>
      </c>
      <c r="P46" s="9" t="str">
        <f>IFERROR(__xludf.DUMMYFUNCTION("TEXT(VALUE(REGEXEXTRACT(H46,""^[+-]?[0-9]*\.?[0-9]+""))*100,""0.00"")&amp;"" +/- ""&amp;TEXT(VALUE(REGEXEXTRACT(H46,""[0-9]*\.?[0-9]+$""))*100,""0.00"")"),"0.77 +/- 3.25")</f>
        <v>0.77 +/- 3.25</v>
      </c>
    </row>
    <row r="47">
      <c r="A47" s="6" t="s">
        <v>864</v>
      </c>
      <c r="B47" s="16" t="s">
        <v>3703</v>
      </c>
      <c r="C47" s="16" t="s">
        <v>3704</v>
      </c>
      <c r="D47" s="16" t="s">
        <v>3705</v>
      </c>
      <c r="E47" s="16" t="s">
        <v>3706</v>
      </c>
      <c r="F47" s="16" t="s">
        <v>3707</v>
      </c>
      <c r="G47" s="16" t="s">
        <v>3708</v>
      </c>
      <c r="H47" s="16" t="s">
        <v>3709</v>
      </c>
      <c r="I47" s="8" t="str">
        <f t="shared" si="3"/>
        <v>AR5→AR1</v>
      </c>
      <c r="J47" s="9" t="str">
        <f>IFERROR(__xludf.DUMMYFUNCTION("TEXT(VALUE(REGEXEXTRACT(B47,""^[+-]?[0-9]*\.?[0-9]+""))*100,""0.00"")&amp;"" +/- ""&amp;TEXT(VALUE(REGEXEXTRACT(B47,""[0-9]*\.?[0-9]+$""))*100,""0.00"")"),"15.31 +/- 1.52")</f>
        <v>15.31 +/- 1.52</v>
      </c>
      <c r="K47" s="9" t="str">
        <f>IFERROR(__xludf.DUMMYFUNCTION("TEXT(VALUE(REGEXEXTRACT(C47,""^[+-]?[0-9]*\.?[0-9]+""))*100,""0.00"")&amp;"" +/- ""&amp;TEXT(VALUE(REGEXEXTRACT(C47,""[0-9]*\.?[0-9]+$""))*100,""0.00"")"),"16.65 +/- 0.00")</f>
        <v>16.65 +/- 0.00</v>
      </c>
      <c r="L47" s="10" t="str">
        <f>IFERROR(__xludf.DUMMYFUNCTION("TEXT(VALUE(REGEXEXTRACT(D47,""^[+-]?[0-9]*\.?[0-9]+""))*100,""0.00"")&amp;"" +/- ""&amp;TEXT(VALUE(REGEXEXTRACT(D47,""[0-9]*\.?[0-9]+$""))*100,""0.00"")"),"19.30 +/- 0.00")</f>
        <v>19.30 +/- 0.00</v>
      </c>
      <c r="M47" s="9" t="str">
        <f>IFERROR(__xludf.DUMMYFUNCTION("TEXT(VALUE(REGEXEXTRACT(E47,""^[+-]?[0-9]*\.?[0-9]+""))*100,""0.00"")&amp;"" +/- ""&amp;TEXT(VALUE(REGEXEXTRACT(E47,""[0-9]*\.?[0-9]+$""))*100,""0.00"")"),"18.89 +/- 2.93")</f>
        <v>18.89 +/- 2.93</v>
      </c>
      <c r="N47" s="9" t="str">
        <f>IFERROR(__xludf.DUMMYFUNCTION("TEXT(VALUE(REGEXEXTRACT(F47,""^[+-]?[0-9]*\.?[0-9]+""))*100,""0.00"")&amp;"" +/- ""&amp;TEXT(VALUE(REGEXEXTRACT(F47,""[0-9]*\.?[0-9]+$""))*100,""0.00"")"),"17.72 +/- 3.17")</f>
        <v>17.72 +/- 3.17</v>
      </c>
      <c r="O47" s="9" t="str">
        <f>IFERROR(__xludf.DUMMYFUNCTION("TEXT(VALUE(REGEXEXTRACT(G47,""^[+-]?[0-9]*\.?[0-9]+""))*100,""0.00"")&amp;"" +/- ""&amp;TEXT(VALUE(REGEXEXTRACT(G47,""[0-9]*\.?[0-9]+$""))*100,""0.00"")"),"16.41 +/- 2.41")</f>
        <v>16.41 +/- 2.41</v>
      </c>
      <c r="P47" s="9" t="str">
        <f>IFERROR(__xludf.DUMMYFUNCTION("TEXT(VALUE(REGEXEXTRACT(H47,""^[+-]?[0-9]*\.?[0-9]+""))*100,""0.00"")&amp;"" +/- ""&amp;TEXT(VALUE(REGEXEXTRACT(H47,""[0-9]*\.?[0-9]+$""))*100,""0.00"")"),"12.24 +/- 2.88")</f>
        <v>12.24 +/- 2.88</v>
      </c>
    </row>
    <row r="48">
      <c r="A48" s="6" t="s">
        <v>878</v>
      </c>
      <c r="B48" s="16" t="s">
        <v>3710</v>
      </c>
      <c r="C48" s="16" t="s">
        <v>3711</v>
      </c>
      <c r="D48" s="16" t="s">
        <v>3712</v>
      </c>
      <c r="E48" s="16" t="s">
        <v>3713</v>
      </c>
      <c r="F48" s="16" t="s">
        <v>3714</v>
      </c>
      <c r="G48" s="16" t="s">
        <v>3715</v>
      </c>
      <c r="H48" s="16" t="s">
        <v>3716</v>
      </c>
      <c r="I48" s="8" t="str">
        <f t="shared" si="3"/>
        <v>AR5→AR3</v>
      </c>
      <c r="J48" s="9" t="str">
        <f>IFERROR(__xludf.DUMMYFUNCTION("TEXT(VALUE(REGEXEXTRACT(B48,""^[+-]?[0-9]*\.?[0-9]+""))*100,""0.00"")&amp;"" +/- ""&amp;TEXT(VALUE(REGEXEXTRACT(B48,""[0-9]*\.?[0-9]+$""))*100,""0.00"")"),"39.88 +/- 2.22")</f>
        <v>39.88 +/- 2.22</v>
      </c>
      <c r="K48" s="10" t="str">
        <f>IFERROR(__xludf.DUMMYFUNCTION("TEXT(VALUE(REGEXEXTRACT(C48,""^[+-]?[0-9]*\.?[0-9]+""))*100,""0.00"")&amp;"" +/- ""&amp;TEXT(VALUE(REGEXEXTRACT(C48,""[0-9]*\.?[0-9]+$""))*100,""0.00"")"),"45.84 +/- 0.00")</f>
        <v>45.84 +/- 0.00</v>
      </c>
      <c r="L48" s="9" t="str">
        <f>IFERROR(__xludf.DUMMYFUNCTION("TEXT(VALUE(REGEXEXTRACT(D48,""^[+-]?[0-9]*\.?[0-9]+""))*100,""0.00"")&amp;"" +/- ""&amp;TEXT(VALUE(REGEXEXTRACT(D48,""[0-9]*\.?[0-9]+$""))*100,""0.00"")"),"20.13 +/- 0.00")</f>
        <v>20.13 +/- 0.00</v>
      </c>
      <c r="M48" s="9" t="str">
        <f>IFERROR(__xludf.DUMMYFUNCTION("TEXT(VALUE(REGEXEXTRACT(E48,""^[+-]?[0-9]*\.?[0-9]+""))*100,""0.00"")&amp;"" +/- ""&amp;TEXT(VALUE(REGEXEXTRACT(E48,""[0-9]*\.?[0-9]+$""))*100,""0.00"")"),"38.43 +/- 1.22")</f>
        <v>38.43 +/- 1.22</v>
      </c>
      <c r="N48" s="9" t="str">
        <f>IFERROR(__xludf.DUMMYFUNCTION("TEXT(VALUE(REGEXEXTRACT(F48,""^[+-]?[0-9]*\.?[0-9]+""))*100,""0.00"")&amp;"" +/- ""&amp;TEXT(VALUE(REGEXEXTRACT(F48,""[0-9]*\.?[0-9]+$""))*100,""0.00"")"),"39.98 +/- 1.75")</f>
        <v>39.98 +/- 1.75</v>
      </c>
      <c r="O48" s="9" t="str">
        <f>IFERROR(__xludf.DUMMYFUNCTION("TEXT(VALUE(REGEXEXTRACT(G48,""^[+-]?[0-9]*\.?[0-9]+""))*100,""0.00"")&amp;"" +/- ""&amp;TEXT(VALUE(REGEXEXTRACT(G48,""[0-9]*\.?[0-9]+$""))*100,""0.00"")"),"39.66 +/- 2.01")</f>
        <v>39.66 +/- 2.01</v>
      </c>
      <c r="P48" s="9" t="str">
        <f>IFERROR(__xludf.DUMMYFUNCTION("TEXT(VALUE(REGEXEXTRACT(H48,""^[+-]?[0-9]*\.?[0-9]+""))*100,""0.00"")&amp;"" +/- ""&amp;TEXT(VALUE(REGEXEXTRACT(H48,""[0-9]*\.?[0-9]+$""))*100,""0.00"")"),"25.57 +/- 9.31")</f>
        <v>25.57 +/- 9.31</v>
      </c>
    </row>
    <row r="49">
      <c r="A49" s="6" t="s">
        <v>892</v>
      </c>
      <c r="B49" s="16" t="s">
        <v>3717</v>
      </c>
      <c r="C49" s="16" t="s">
        <v>3718</v>
      </c>
      <c r="D49" s="16" t="s">
        <v>3719</v>
      </c>
      <c r="E49" s="16" t="s">
        <v>3720</v>
      </c>
      <c r="F49" s="16" t="s">
        <v>3721</v>
      </c>
      <c r="G49" s="16" t="s">
        <v>3722</v>
      </c>
      <c r="H49" s="16" t="s">
        <v>3723</v>
      </c>
      <c r="I49" s="8" t="str">
        <f t="shared" si="3"/>
        <v>AR5→AR4</v>
      </c>
      <c r="J49" s="9" t="str">
        <f>IFERROR(__xludf.DUMMYFUNCTION("TEXT(VALUE(REGEXEXTRACT(B49,""^[+-]?[0-9]*\.?[0-9]+""))*100,""0.00"")&amp;"" +/- ""&amp;TEXT(VALUE(REGEXEXTRACT(B49,""[0-9]*\.?[0-9]+$""))*100,""0.00"")"),"37.53 +/- 4.44")</f>
        <v>37.53 +/- 4.44</v>
      </c>
      <c r="K49" s="9" t="str">
        <f>IFERROR(__xludf.DUMMYFUNCTION("TEXT(VALUE(REGEXEXTRACT(C49,""^[+-]?[0-9]*\.?[0-9]+""))*100,""0.00"")&amp;"" +/- ""&amp;TEXT(VALUE(REGEXEXTRACT(C49,""[0-9]*\.?[0-9]+$""))*100,""0.00"")"),"27.43 +/- 0.00")</f>
        <v>27.43 +/- 0.00</v>
      </c>
      <c r="L49" s="9" t="str">
        <f>IFERROR(__xludf.DUMMYFUNCTION("TEXT(VALUE(REGEXEXTRACT(D49,""^[+-]?[0-9]*\.?[0-9]+""))*100,""0.00"")&amp;"" +/- ""&amp;TEXT(VALUE(REGEXEXTRACT(D49,""[0-9]*\.?[0-9]+$""))*100,""0.00"")"),"15.81 +/- 0.00")</f>
        <v>15.81 +/- 0.00</v>
      </c>
      <c r="M49" s="10" t="str">
        <f>IFERROR(__xludf.DUMMYFUNCTION("TEXT(VALUE(REGEXEXTRACT(E49,""^[+-]?[0-9]*\.?[0-9]+""))*100,""0.00"")&amp;"" +/- ""&amp;TEXT(VALUE(REGEXEXTRACT(E49,""[0-9]*\.?[0-9]+$""))*100,""0.00"")"),"39.90 +/- 4.51")</f>
        <v>39.90 +/- 4.51</v>
      </c>
      <c r="N49" s="9" t="str">
        <f>IFERROR(__xludf.DUMMYFUNCTION("TEXT(VALUE(REGEXEXTRACT(F49,""^[+-]?[0-9]*\.?[0-9]+""))*100,""0.00"")&amp;"" +/- ""&amp;TEXT(VALUE(REGEXEXTRACT(F49,""[0-9]*\.?[0-9]+$""))*100,""0.00"")"),"41.47 +/- 3.09")</f>
        <v>41.47 +/- 3.09</v>
      </c>
      <c r="O49" s="9" t="str">
        <f>IFERROR(__xludf.DUMMYFUNCTION("TEXT(VALUE(REGEXEXTRACT(G49,""^[+-]?[0-9]*\.?[0-9]+""))*100,""0.00"")&amp;"" +/- ""&amp;TEXT(VALUE(REGEXEXTRACT(G49,""[0-9]*\.?[0-9]+$""))*100,""0.00"")"),"39.11 +/- 3.80")</f>
        <v>39.11 +/- 3.80</v>
      </c>
      <c r="P49" s="9" t="str">
        <f>IFERROR(__xludf.DUMMYFUNCTION("TEXT(VALUE(REGEXEXTRACT(H49,""^[+-]?[0-9]*\.?[0-9]+""))*100,""0.00"")&amp;"" +/- ""&amp;TEXT(VALUE(REGEXEXTRACT(H49,""[0-9]*\.?[0-9]+$""))*100,""0.00"")"),"30.91 +/- 3.91")</f>
        <v>30.91 +/- 3.91</v>
      </c>
    </row>
    <row r="50">
      <c r="A50" s="6" t="s">
        <v>907</v>
      </c>
      <c r="B50" s="16" t="s">
        <v>3724</v>
      </c>
      <c r="C50" s="16" t="s">
        <v>3725</v>
      </c>
      <c r="D50" s="16" t="s">
        <v>3726</v>
      </c>
      <c r="E50" s="16" t="s">
        <v>3727</v>
      </c>
      <c r="F50" s="16" t="s">
        <v>3728</v>
      </c>
      <c r="G50" s="16" t="s">
        <v>3729</v>
      </c>
      <c r="H50" s="16" t="s">
        <v>3730</v>
      </c>
      <c r="I50" s="8" t="str">
        <f t="shared" si="3"/>
        <v>AR5→AR6</v>
      </c>
      <c r="J50" s="9" t="str">
        <f>IFERROR(__xludf.DUMMYFUNCTION("TEXT(VALUE(REGEXEXTRACT(B50,""^[+-]?[0-9]*\.?[0-9]+""))*100,""0.00"")&amp;"" +/- ""&amp;TEXT(VALUE(REGEXEXTRACT(B50,""[0-9]*\.?[0-9]+$""))*100,""0.00"")"),"28.03 +/- 2.61")</f>
        <v>28.03 +/- 2.61</v>
      </c>
      <c r="K50" s="9" t="str">
        <f>IFERROR(__xludf.DUMMYFUNCTION("TEXT(VALUE(REGEXEXTRACT(C50,""^[+-]?[0-9]*\.?[0-9]+""))*100,""0.00"")&amp;"" +/- ""&amp;TEXT(VALUE(REGEXEXTRACT(C50,""[0-9]*\.?[0-9]+$""))*100,""0.00"")"),"23.80 +/- 0.00")</f>
        <v>23.80 +/- 0.00</v>
      </c>
      <c r="L50" s="9" t="str">
        <f>IFERROR(__xludf.DUMMYFUNCTION("TEXT(VALUE(REGEXEXTRACT(D50,""^[+-]?[0-9]*\.?[0-9]+""))*100,""0.00"")&amp;"" +/- ""&amp;TEXT(VALUE(REGEXEXTRACT(D50,""[0-9]*\.?[0-9]+$""))*100,""0.00"")"),"8.37 +/- 0.00")</f>
        <v>8.37 +/- 0.00</v>
      </c>
      <c r="M50" s="9" t="str">
        <f>IFERROR(__xludf.DUMMYFUNCTION("TEXT(VALUE(REGEXEXTRACT(E50,""^[+-]?[0-9]*\.?[0-9]+""))*100,""0.00"")&amp;"" +/- ""&amp;TEXT(VALUE(REGEXEXTRACT(E50,""[0-9]*\.?[0-9]+$""))*100,""0.00"")"),"26.04 +/- 2.01")</f>
        <v>26.04 +/- 2.01</v>
      </c>
      <c r="N50" s="9" t="str">
        <f>IFERROR(__xludf.DUMMYFUNCTION("TEXT(VALUE(REGEXEXTRACT(F50,""^[+-]?[0-9]*\.?[0-9]+""))*100,""0.00"")&amp;"" +/- ""&amp;TEXT(VALUE(REGEXEXTRACT(F50,""[0-9]*\.?[0-9]+$""))*100,""0.00"")"),"28.07 +/- 2.02")</f>
        <v>28.07 +/- 2.02</v>
      </c>
      <c r="O50" s="9" t="str">
        <f>IFERROR(__xludf.DUMMYFUNCTION("TEXT(VALUE(REGEXEXTRACT(G50,""^[+-]?[0-9]*\.?[0-9]+""))*100,""0.00"")&amp;"" +/- ""&amp;TEXT(VALUE(REGEXEXTRACT(G50,""[0-9]*\.?[0-9]+$""))*100,""0.00"")"),"26.70 +/- 2.89")</f>
        <v>26.70 +/- 2.89</v>
      </c>
      <c r="P50" s="10" t="str">
        <f>IFERROR(__xludf.DUMMYFUNCTION("TEXT(VALUE(REGEXEXTRACT(H50,""^[+-]?[0-9]*\.?[0-9]+""))*100,""0.00"")&amp;"" +/- ""&amp;TEXT(VALUE(REGEXEXTRACT(H50,""[0-9]*\.?[0-9]+$""))*100,""0.00"")"),"29.33 +/- 5.82")</f>
        <v>29.33 +/- 5.82</v>
      </c>
    </row>
    <row r="51">
      <c r="A51" s="6" t="s">
        <v>922</v>
      </c>
      <c r="B51" s="16" t="s">
        <v>3731</v>
      </c>
      <c r="C51" s="16" t="s">
        <v>3732</v>
      </c>
      <c r="D51" s="16" t="s">
        <v>3733</v>
      </c>
      <c r="E51" s="16" t="s">
        <v>3734</v>
      </c>
      <c r="F51" s="16" t="s">
        <v>3735</v>
      </c>
      <c r="G51" s="16" t="s">
        <v>3736</v>
      </c>
      <c r="H51" s="16" t="s">
        <v>3737</v>
      </c>
      <c r="I51" s="8" t="str">
        <f t="shared" si="3"/>
        <v>AR6→AR1</v>
      </c>
      <c r="J51" s="10" t="str">
        <f>IFERROR(__xludf.DUMMYFUNCTION("TEXT(VALUE(REGEXEXTRACT(B51,""^[+-]?[0-9]*\.?[0-9]+""))*100,""0.00"")&amp;"" +/- ""&amp;TEXT(VALUE(REGEXEXTRACT(B51,""[0-9]*\.?[0-9]+$""))*100,""0.00"")"),"15.85 +/- 2.79")</f>
        <v>15.85 +/- 2.79</v>
      </c>
      <c r="K51" s="9" t="str">
        <f>IFERROR(__xludf.DUMMYFUNCTION("TEXT(VALUE(REGEXEXTRACT(C51,""^[+-]?[0-9]*\.?[0-9]+""))*100,""0.00"")&amp;"" +/- ""&amp;TEXT(VALUE(REGEXEXTRACT(C51,""[0-9]*\.?[0-9]+$""))*100,""0.00"")"),"19.29 +/- 0.00")</f>
        <v>19.29 +/- 0.00</v>
      </c>
      <c r="L51" s="9" t="str">
        <f>IFERROR(__xludf.DUMMYFUNCTION("TEXT(VALUE(REGEXEXTRACT(D51,""^[+-]?[0-9]*\.?[0-9]+""))*100,""0.00"")&amp;"" +/- ""&amp;TEXT(VALUE(REGEXEXTRACT(D51,""[0-9]*\.?[0-9]+$""))*100,""0.00"")"),"20.28 +/- 0.00")</f>
        <v>20.28 +/- 0.00</v>
      </c>
      <c r="M51" s="9" t="str">
        <f>IFERROR(__xludf.DUMMYFUNCTION("TEXT(VALUE(REGEXEXTRACT(E51,""^[+-]?[0-9]*\.?[0-9]+""))*100,""0.00"")&amp;"" +/- ""&amp;TEXT(VALUE(REGEXEXTRACT(E51,""[0-9]*\.?[0-9]+$""))*100,""0.00"")"),"12.15 +/- 3.33")</f>
        <v>12.15 +/- 3.33</v>
      </c>
      <c r="N51" s="9" t="str">
        <f>IFERROR(__xludf.DUMMYFUNCTION("TEXT(VALUE(REGEXEXTRACT(F51,""^[+-]?[0-9]*\.?[0-9]+""))*100,""0.00"")&amp;"" +/- ""&amp;TEXT(VALUE(REGEXEXTRACT(F51,""[0-9]*\.?[0-9]+$""))*100,""0.00"")"),"10.26 +/- 3.05")</f>
        <v>10.26 +/- 3.05</v>
      </c>
      <c r="O51" s="9" t="str">
        <f>IFERROR(__xludf.DUMMYFUNCTION("TEXT(VALUE(REGEXEXTRACT(G51,""^[+-]?[0-9]*\.?[0-9]+""))*100,""0.00"")&amp;"" +/- ""&amp;TEXT(VALUE(REGEXEXTRACT(G51,""[0-9]*\.?[0-9]+$""))*100,""0.00"")"),"10.97 +/- 3.06")</f>
        <v>10.97 +/- 3.06</v>
      </c>
      <c r="P51" s="9" t="str">
        <f>IFERROR(__xludf.DUMMYFUNCTION("TEXT(VALUE(REGEXEXTRACT(H51,""^[+-]?[0-9]*\.?[0-9]+""))*100,""0.00"")&amp;"" +/- ""&amp;TEXT(VALUE(REGEXEXTRACT(H51,""[0-9]*\.?[0-9]+$""))*100,""0.00"")"),"8.35 +/- 2.45")</f>
        <v>8.35 +/- 2.45</v>
      </c>
    </row>
    <row r="52">
      <c r="A52" s="6" t="s">
        <v>944</v>
      </c>
      <c r="B52" s="16" t="s">
        <v>3738</v>
      </c>
      <c r="C52" s="16" t="s">
        <v>3712</v>
      </c>
      <c r="D52" s="16" t="s">
        <v>3739</v>
      </c>
      <c r="E52" s="16" t="s">
        <v>3740</v>
      </c>
      <c r="F52" s="16" t="s">
        <v>3741</v>
      </c>
      <c r="G52" s="16" t="s">
        <v>3742</v>
      </c>
      <c r="H52" s="16" t="s">
        <v>3743</v>
      </c>
      <c r="I52" s="8" t="str">
        <f t="shared" si="3"/>
        <v>AR6→AR3</v>
      </c>
      <c r="J52" s="9" t="str">
        <f>IFERROR(__xludf.DUMMYFUNCTION("TEXT(VALUE(REGEXEXTRACT(B52,""^[+-]?[0-9]*\.?[0-9]+""))*100,""0.00"")&amp;"" +/- ""&amp;TEXT(VALUE(REGEXEXTRACT(B52,""[0-9]*\.?[0-9]+$""))*100,""0.00"")"),"36.74 +/- 1.63")</f>
        <v>36.74 +/- 1.63</v>
      </c>
      <c r="K52" s="9" t="str">
        <f>IFERROR(__xludf.DUMMYFUNCTION("TEXT(VALUE(REGEXEXTRACT(C52,""^[+-]?[0-9]*\.?[0-9]+""))*100,""0.00"")&amp;"" +/- ""&amp;TEXT(VALUE(REGEXEXTRACT(C52,""[0-9]*\.?[0-9]+$""))*100,""0.00"")"),"20.13 +/- 0.00")</f>
        <v>20.13 +/- 0.00</v>
      </c>
      <c r="L52" s="9" t="str">
        <f>IFERROR(__xludf.DUMMYFUNCTION("TEXT(VALUE(REGEXEXTRACT(D52,""^[+-]?[0-9]*\.?[0-9]+""))*100,""0.00"")&amp;"" +/- ""&amp;TEXT(VALUE(REGEXEXTRACT(D52,""[0-9]*\.?[0-9]+$""))*100,""0.00"")"),"6.10 +/- 0.00")</f>
        <v>6.10 +/- 0.00</v>
      </c>
      <c r="M52" s="10" t="str">
        <f>IFERROR(__xludf.DUMMYFUNCTION("TEXT(VALUE(REGEXEXTRACT(E52,""^[+-]?[0-9]*\.?[0-9]+""))*100,""0.00"")&amp;"" +/- ""&amp;TEXT(VALUE(REGEXEXTRACT(E52,""[0-9]*\.?[0-9]+$""))*100,""0.00"")"),"38.71 +/- 3.45")</f>
        <v>38.71 +/- 3.45</v>
      </c>
      <c r="N52" s="9" t="str">
        <f>IFERROR(__xludf.DUMMYFUNCTION("TEXT(VALUE(REGEXEXTRACT(F52,""^[+-]?[0-9]*\.?[0-9]+""))*100,""0.00"")&amp;"" +/- ""&amp;TEXT(VALUE(REGEXEXTRACT(F52,""[0-9]*\.?[0-9]+$""))*100,""0.00"")"),"34.01 +/- 4.50")</f>
        <v>34.01 +/- 4.50</v>
      </c>
      <c r="O52" s="9" t="str">
        <f>IFERROR(__xludf.DUMMYFUNCTION("TEXT(VALUE(REGEXEXTRACT(G52,""^[+-]?[0-9]*\.?[0-9]+""))*100,""0.00"")&amp;"" +/- ""&amp;TEXT(VALUE(REGEXEXTRACT(G52,""[0-9]*\.?[0-9]+$""))*100,""0.00"")"),"36.05 +/- 4.38")</f>
        <v>36.05 +/- 4.38</v>
      </c>
      <c r="P52" s="9" t="str">
        <f>IFERROR(__xludf.DUMMYFUNCTION("TEXT(VALUE(REGEXEXTRACT(H52,""^[+-]?[0-9]*\.?[0-9]+""))*100,""0.00"")&amp;"" +/- ""&amp;TEXT(VALUE(REGEXEXTRACT(H52,""[0-9]*\.?[0-9]+$""))*100,""0.00"")"),"26.38 +/- 5.42")</f>
        <v>26.38 +/- 5.42</v>
      </c>
    </row>
    <row r="53">
      <c r="A53" s="6" t="s">
        <v>959</v>
      </c>
      <c r="B53" s="16" t="s">
        <v>3744</v>
      </c>
      <c r="C53" s="16" t="s">
        <v>3745</v>
      </c>
      <c r="D53" s="16" t="s">
        <v>3746</v>
      </c>
      <c r="E53" s="16" t="s">
        <v>3747</v>
      </c>
      <c r="F53" s="16" t="s">
        <v>3748</v>
      </c>
      <c r="G53" s="16" t="s">
        <v>3749</v>
      </c>
      <c r="H53" s="16" t="s">
        <v>3750</v>
      </c>
      <c r="I53" s="8" t="str">
        <f t="shared" si="3"/>
        <v>AR6→AR4</v>
      </c>
      <c r="J53" s="10" t="str">
        <f>IFERROR(__xludf.DUMMYFUNCTION("TEXT(VALUE(REGEXEXTRACT(B53,""^[+-]?[0-9]*\.?[0-9]+""))*100,""0.00"")&amp;"" +/- ""&amp;TEXT(VALUE(REGEXEXTRACT(B53,""[0-9]*\.?[0-9]+$""))*100,""0.00"")"),"23.82 +/- 2.51")</f>
        <v>23.82 +/- 2.51</v>
      </c>
      <c r="K53" s="9" t="str">
        <f>IFERROR(__xludf.DUMMYFUNCTION("TEXT(VALUE(REGEXEXTRACT(C53,""^[+-]?[0-9]*\.?[0-9]+""))*100,""0.00"")&amp;"" +/- ""&amp;TEXT(VALUE(REGEXEXTRACT(C53,""[0-9]*\.?[0-9]+$""))*100,""0.00"")"),"1.36 +/- 0.00")</f>
        <v>1.36 +/- 0.00</v>
      </c>
      <c r="L53" s="9" t="str">
        <f>IFERROR(__xludf.DUMMYFUNCTION("TEXT(VALUE(REGEXEXTRACT(D53,""^[+-]?[0-9]*\.?[0-9]+""))*100,""0.00"")&amp;"" +/- ""&amp;TEXT(VALUE(REGEXEXTRACT(D53,""[0-9]*\.?[0-9]+$""))*100,""0.00"")"),"20.54 +/- 0.00")</f>
        <v>20.54 +/- 0.00</v>
      </c>
      <c r="M53" s="9" t="str">
        <f>IFERROR(__xludf.DUMMYFUNCTION("TEXT(VALUE(REGEXEXTRACT(E53,""^[+-]?[0-9]*\.?[0-9]+""))*100,""0.00"")&amp;"" +/- ""&amp;TEXT(VALUE(REGEXEXTRACT(E53,""[0-9]*\.?[0-9]+$""))*100,""0.00"")"),"16.73 +/- 3.90")</f>
        <v>16.73 +/- 3.90</v>
      </c>
      <c r="N53" s="9" t="str">
        <f>IFERROR(__xludf.DUMMYFUNCTION("TEXT(VALUE(REGEXEXTRACT(F53,""^[+-]?[0-9]*\.?[0-9]+""))*100,""0.00"")&amp;"" +/- ""&amp;TEXT(VALUE(REGEXEXTRACT(F53,""[0-9]*\.?[0-9]+$""))*100,""0.00"")"),"9.13 +/- 3.58")</f>
        <v>9.13 +/- 3.58</v>
      </c>
      <c r="O53" s="9" t="str">
        <f>IFERROR(__xludf.DUMMYFUNCTION("TEXT(VALUE(REGEXEXTRACT(G53,""^[+-]?[0-9]*\.?[0-9]+""))*100,""0.00"")&amp;"" +/- ""&amp;TEXT(VALUE(REGEXEXTRACT(G53,""[0-9]*\.?[0-9]+$""))*100,""0.00"")"),"11.65 +/- 4.22")</f>
        <v>11.65 +/- 4.22</v>
      </c>
      <c r="P53" s="9" t="str">
        <f>IFERROR(__xludf.DUMMYFUNCTION("TEXT(VALUE(REGEXEXTRACT(H53,""^[+-]?[0-9]*\.?[0-9]+""))*100,""0.00"")&amp;"" +/- ""&amp;TEXT(VALUE(REGEXEXTRACT(H53,""[0-9]*\.?[0-9]+$""))*100,""0.00"")"),"-3.39 +/- 3.24")</f>
        <v>-3.39 +/- 3.24</v>
      </c>
    </row>
    <row r="54">
      <c r="A54" s="6" t="s">
        <v>974</v>
      </c>
      <c r="B54" s="16" t="s">
        <v>3761</v>
      </c>
      <c r="C54" s="16" t="s">
        <v>3763</v>
      </c>
      <c r="D54" s="16" t="s">
        <v>3764</v>
      </c>
      <c r="E54" s="16" t="s">
        <v>3766</v>
      </c>
      <c r="F54" s="16" t="s">
        <v>3767</v>
      </c>
      <c r="G54" s="16" t="s">
        <v>3768</v>
      </c>
      <c r="H54" s="16" t="s">
        <v>3770</v>
      </c>
      <c r="I54" s="8" t="str">
        <f t="shared" si="3"/>
        <v>AR6→AR5</v>
      </c>
      <c r="J54" s="9" t="str">
        <f>IFERROR(__xludf.DUMMYFUNCTION("TEXT(VALUE(REGEXEXTRACT(B54,""^[+-]?[0-9]*\.?[0-9]+""))*100,""0.00"")&amp;"" +/- ""&amp;TEXT(VALUE(REGEXEXTRACT(B54,""[0-9]*\.?[0-9]+$""))*100,""0.00"")"),"49.25 +/- 3.96")</f>
        <v>49.25 +/- 3.96</v>
      </c>
      <c r="K54" s="9" t="str">
        <f>IFERROR(__xludf.DUMMYFUNCTION("TEXT(VALUE(REGEXEXTRACT(C54,""^[+-]?[0-9]*\.?[0-9]+""))*100,""0.00"")&amp;"" +/- ""&amp;TEXT(VALUE(REGEXEXTRACT(C54,""[0-9]*\.?[0-9]+$""))*100,""0.00"")"),"36.49 +/- 0.00")</f>
        <v>36.49 +/- 0.00</v>
      </c>
      <c r="L54" s="9" t="str">
        <f>IFERROR(__xludf.DUMMYFUNCTION("TEXT(VALUE(REGEXEXTRACT(D54,""^[+-]?[0-9]*\.?[0-9]+""))*100,""0.00"")&amp;"" +/- ""&amp;TEXT(VALUE(REGEXEXTRACT(D54,""[0-9]*\.?[0-9]+$""))*100,""0.00"")"),"29.88 +/- 0.00")</f>
        <v>29.88 +/- 0.00</v>
      </c>
      <c r="M54" s="10" t="str">
        <f>IFERROR(__xludf.DUMMYFUNCTION("TEXT(VALUE(REGEXEXTRACT(E54,""^[+-]?[0-9]*\.?[0-9]+""))*100,""0.00"")&amp;"" +/- ""&amp;TEXT(VALUE(REGEXEXTRACT(E54,""[0-9]*\.?[0-9]+$""))*100,""0.00"")"),"51.20 +/- 7.02")</f>
        <v>51.20 +/- 7.02</v>
      </c>
      <c r="N54" s="9" t="str">
        <f>IFERROR(__xludf.DUMMYFUNCTION("TEXT(VALUE(REGEXEXTRACT(F54,""^[+-]?[0-9]*\.?[0-9]+""))*100,""0.00"")&amp;"" +/- ""&amp;TEXT(VALUE(REGEXEXTRACT(F54,""[0-9]*\.?[0-9]+$""))*100,""0.00"")"),"44.52 +/- 3.29")</f>
        <v>44.52 +/- 3.29</v>
      </c>
      <c r="O54" s="9" t="str">
        <f>IFERROR(__xludf.DUMMYFUNCTION("TEXT(VALUE(REGEXEXTRACT(G54,""^[+-]?[0-9]*\.?[0-9]+""))*100,""0.00"")&amp;"" +/- ""&amp;TEXT(VALUE(REGEXEXTRACT(G54,""[0-9]*\.?[0-9]+$""))*100,""0.00"")"),"48.50 +/- 5.90")</f>
        <v>48.50 +/- 5.90</v>
      </c>
      <c r="P54" s="9" t="str">
        <f>IFERROR(__xludf.DUMMYFUNCTION("TEXT(VALUE(REGEXEXTRACT(H54,""^[+-]?[0-9]*\.?[0-9]+""))*100,""0.00"")&amp;"" +/- ""&amp;TEXT(VALUE(REGEXEXTRACT(H54,""[0-9]*\.?[0-9]+$""))*100,""0.00"")"),"28.51 +/- 4.13")</f>
        <v>28.51 +/- 4.13</v>
      </c>
    </row>
    <row r="55">
      <c r="A55" s="6" t="s">
        <v>371</v>
      </c>
      <c r="B55" s="14"/>
      <c r="C55" s="21" t="s">
        <v>474</v>
      </c>
      <c r="D55" s="21" t="s">
        <v>1096</v>
      </c>
      <c r="E55" s="21" t="s">
        <v>474</v>
      </c>
      <c r="F55" s="21" t="s">
        <v>992</v>
      </c>
      <c r="G55" s="21" t="s">
        <v>392</v>
      </c>
      <c r="H55" s="21" t="s">
        <v>388</v>
      </c>
      <c r="I55" s="8" t="str">
        <f t="shared" si="3"/>
        <v>W/T/L</v>
      </c>
      <c r="K55" s="20" t="str">
        <f>IFERROR(__xludf.DUMMYFUNCTION("SUM(ARRAYFORMULA(IFERROR(
  (VALUE(REGEXEXTRACT($J$35:$J$54,""^[+-]?[0-9]*\.?[0-9]+""))&gt;
   VALUE(REGEXEXTRACT(K$35:K$54,""^[+-]?[0-9]*\.?[0-9]+"")))*1,0)))
&amp;""/""&amp;
SUM(ARRAYFORMULA(IFERROR(
  (VALUE(REGEXEXTRACT($J$35:$J$54,""^[+-]?[0-9]*\.?[0-9]+""))=
 "&amp;"  VALUE(REGEXEXTRACT(K$35:K$54,""^[+-]?[0-9]*\.?[0-9]+"")))*1,0)))
&amp;""/""&amp;
SUM(ARRAYFORMULA(IFERROR(
  (VALUE(REGEXEXTRACT($J$35:$J$54,""^[+-]?[0-9]*\.?[0-9]+""))&lt;
   VALUE(REGEXEXTRACT(K$35:K$54,""^[+-]?[0-9]*\.?[0-9]+"")))*1,0)))"),"11/0/9")</f>
        <v>11/0/9</v>
      </c>
      <c r="L55" s="20" t="str">
        <f>IFERROR(__xludf.DUMMYFUNCTION("SUM(ARRAYFORMULA(IFERROR(
  (VALUE(REGEXEXTRACT($J$35:$J$54,""^[+-]?[0-9]*\.?[0-9]+""))&gt;
   VALUE(REGEXEXTRACT(L$35:L$54,""^[+-]?[0-9]*\.?[0-9]+"")))*1,0)))
&amp;""/""&amp;
SUM(ARRAYFORMULA(IFERROR(
  (VALUE(REGEXEXTRACT($J$35:$J$54,""^[+-]?[0-9]*\.?[0-9]+""))=
 "&amp;"  VALUE(REGEXEXTRACT(L$35:L$54,""^[+-]?[0-9]*\.?[0-9]+"")))*1,0)))
&amp;""/""&amp;
SUM(ARRAYFORMULA(IFERROR(
  (VALUE(REGEXEXTRACT($J$35:$J$54,""^[+-]?[0-9]*\.?[0-9]+""))&lt;
   VALUE(REGEXEXTRACT(L$35:L$54,""^[+-]?[0-9]*\.?[0-9]+"")))*1,0)))"),"15/0/5")</f>
        <v>15/0/5</v>
      </c>
      <c r="M55" s="20" t="str">
        <f>IFERROR(__xludf.DUMMYFUNCTION("SUM(ARRAYFORMULA(IFERROR(
  (VALUE(REGEXEXTRACT($J$35:$J$54,""^[+-]?[0-9]*\.?[0-9]+""))&gt;
   VALUE(REGEXEXTRACT(M$35:M$54,""^[+-]?[0-9]*\.?[0-9]+"")))*1,0)))
&amp;""/""&amp;
SUM(ARRAYFORMULA(IFERROR(
  (VALUE(REGEXEXTRACT($J$35:$J$54,""^[+-]?[0-9]*\.?[0-9]+""))=
 "&amp;"  VALUE(REGEXEXTRACT(M$35:M$54,""^[+-]?[0-9]*\.?[0-9]+"")))*1,0)))
&amp;""/""&amp;
SUM(ARRAYFORMULA(IFERROR(
  (VALUE(REGEXEXTRACT($J$35:$J$54,""^[+-]?[0-9]*\.?[0-9]+""))&lt;
   VALUE(REGEXEXTRACT(M$35:M$54,""^[+-]?[0-9]*\.?[0-9]+"")))*1,0)))"),"11/0/9")</f>
        <v>11/0/9</v>
      </c>
      <c r="N55" s="20" t="str">
        <f>IFERROR(__xludf.DUMMYFUNCTION("SUM(ARRAYFORMULA(IFERROR(
  (VALUE(REGEXEXTRACT($J$35:$J$54,""^[+-]?[0-9]*\.?[0-9]+""))&gt;
   VALUE(REGEXEXTRACT(N$35:N$54,""^[+-]?[0-9]*\.?[0-9]+"")))*1,0)))
&amp;""/""&amp;
SUM(ARRAYFORMULA(IFERROR(
  (VALUE(REGEXEXTRACT($J$35:$J$54,""^[+-]?[0-9]*\.?[0-9]+""))=
 "&amp;"  VALUE(REGEXEXTRACT(N$35:N$54,""^[+-]?[0-9]*\.?[0-9]+"")))*1,0)))
&amp;""/""&amp;
SUM(ARRAYFORMULA(IFERROR(
  (VALUE(REGEXEXTRACT($J$35:$J$54,""^[+-]?[0-9]*\.?[0-9]+""))&lt;
   VALUE(REGEXEXTRACT(N$35:N$54,""^[+-]?[0-9]*\.?[0-9]+"")))*1,0)))"),"12/0/8")</f>
        <v>12/0/8</v>
      </c>
      <c r="O55" s="20" t="str">
        <f>IFERROR(__xludf.DUMMYFUNCTION("SUM(ARRAYFORMULA(IFERROR(
  (VALUE(REGEXEXTRACT($J$35:$J$54,""^[+-]?[0-9]*\.?[0-9]+""))&gt;
   VALUE(REGEXEXTRACT(O$35:O$54,""^[+-]?[0-9]*\.?[0-9]+"")))*1,0)))
&amp;""/""&amp;
SUM(ARRAYFORMULA(IFERROR(
  (VALUE(REGEXEXTRACT($J$35:$J$54,""^[+-]?[0-9]*\.?[0-9]+""))=
 "&amp;"  VALUE(REGEXEXTRACT(O$35:O$54,""^[+-]?[0-9]*\.?[0-9]+"")))*1,0)))
&amp;""/""&amp;
SUM(ARRAYFORMULA(IFERROR(
  (VALUE(REGEXEXTRACT($J$35:$J$54,""^[+-]?[0-9]*\.?[0-9]+""))&lt;
   VALUE(REGEXEXTRACT(O$35:O$54,""^[+-]?[0-9]*\.?[0-9]+"")))*1,0)))"),"14/0/6")</f>
        <v>14/0/6</v>
      </c>
      <c r="P55" s="20" t="str">
        <f>IFERROR(__xludf.DUMMYFUNCTION("SUM(ARRAYFORMULA(IFERROR(
  (VALUE(REGEXEXTRACT($J$35:$J$54,""^[+-]?[0-9]*\.?[0-9]+""))&gt;
   VALUE(REGEXEXTRACT(P$35:P$54,""^[+-]?[0-9]*\.?[0-9]+"")))*1,0)))
&amp;""/""&amp;
SUM(ARRAYFORMULA(IFERROR(
  (VALUE(REGEXEXTRACT($J$35:$J$54,""^[+-]?[0-9]*\.?[0-9]+""))=
 "&amp;"  VALUE(REGEXEXTRACT(P$35:P$54,""^[+-]?[0-9]*\.?[0-9]+"")))*1,0)))
&amp;""/""&amp;
SUM(ARRAYFORMULA(IFERROR(
  (VALUE(REGEXEXTRACT($J$35:$J$54,""^[+-]?[0-9]*\.?[0-9]+""))&lt;
   VALUE(REGEXEXTRACT(P$35:P$54,""^[+-]?[0-9]*\.?[0-9]+"")))*1,0)))"),"16/0/4")</f>
        <v>16/0/4</v>
      </c>
    </row>
    <row r="56">
      <c r="A56" s="6" t="s">
        <v>489</v>
      </c>
      <c r="B56" s="14" t="s">
        <v>3835</v>
      </c>
      <c r="C56" s="14" t="s">
        <v>3836</v>
      </c>
      <c r="D56" s="14" t="s">
        <v>3837</v>
      </c>
      <c r="E56" s="14" t="s">
        <v>3838</v>
      </c>
      <c r="F56" s="14" t="s">
        <v>3839</v>
      </c>
      <c r="G56" s="14" t="s">
        <v>3840</v>
      </c>
      <c r="H56" s="14" t="s">
        <v>3841</v>
      </c>
      <c r="I56" s="8" t="str">
        <f t="shared" si="3"/>
        <v>Average (%)</v>
      </c>
      <c r="J56" s="9">
        <f>IFERROR(__xludf.DUMMYFUNCTION("ROUND(AVERAGE(ARRAYFORMULA(IFERROR(VALUE(REGEXEXTRACT(J$35:J$54,""^[+-]?[0-9]*\.?[0-9]+"")),""""))),2)"),27.29)</f>
        <v>27.29</v>
      </c>
      <c r="K56" s="9">
        <f>IFERROR(__xludf.DUMMYFUNCTION("ROUND(AVERAGE(ARRAYFORMULA(IFERROR(VALUE(REGEXEXTRACT(K$35:K$54,""^[+-]?[0-9]*\.?[0-9]+"")),""""))),2)"),21.7)</f>
        <v>21.7</v>
      </c>
      <c r="L56" s="9">
        <f>IFERROR(__xludf.DUMMYFUNCTION("ROUND(AVERAGE(ARRAYFORMULA(IFERROR(VALUE(REGEXEXTRACT(L$35:L$54,""^[+-]?[0-9]*\.?[0-9]+"")),""""))),2)"),14.41)</f>
        <v>14.41</v>
      </c>
      <c r="M56" s="9">
        <f>IFERROR(__xludf.DUMMYFUNCTION("ROUND(AVERAGE(ARRAYFORMULA(IFERROR(VALUE(REGEXEXTRACT(M$35:M$54,""^[+-]?[0-9]*\.?[0-9]+"")),""""))),2)"),25.99)</f>
        <v>25.99</v>
      </c>
      <c r="N56" s="9">
        <f>IFERROR(__xludf.DUMMYFUNCTION("ROUND(AVERAGE(ARRAYFORMULA(IFERROR(VALUE(REGEXEXTRACT(N$35:N$54,""^[+-]?[0-9]*\.?[0-9]+"")),""""))),2)"),23.83)</f>
        <v>23.83</v>
      </c>
      <c r="O56" s="9">
        <f>IFERROR(__xludf.DUMMYFUNCTION("ROUND(AVERAGE(ARRAYFORMULA(IFERROR(VALUE(REGEXEXTRACT(O$35:O$54,""^[+-]?[0-9]*\.?[0-9]+"")),""""))),2)"),25.38)</f>
        <v>25.38</v>
      </c>
      <c r="P56" s="9">
        <f>IFERROR(__xludf.DUMMYFUNCTION("ROUND(AVERAGE(ARRAYFORMULA(IFERROR(VALUE(REGEXEXTRACT(P$35:P$54,""^[+-]?[0-9]*\.?[0-9]+"")),""""))),2)"),18.71)</f>
        <v>18.71</v>
      </c>
    </row>
    <row r="57">
      <c r="A57" s="4" t="s">
        <v>1013</v>
      </c>
      <c r="B57" s="1"/>
      <c r="C57" s="1"/>
      <c r="D57" s="1"/>
      <c r="E57" s="1"/>
      <c r="F57" s="1"/>
      <c r="G57" s="1"/>
      <c r="H57" s="1"/>
      <c r="I57" s="4" t="s">
        <v>1013</v>
      </c>
    </row>
    <row r="58">
      <c r="A58" s="6" t="s">
        <v>1014</v>
      </c>
      <c r="B58" s="16" t="s">
        <v>3842</v>
      </c>
      <c r="C58" s="16" t="s">
        <v>3843</v>
      </c>
      <c r="D58" s="16" t="s">
        <v>3844</v>
      </c>
      <c r="E58" s="16" t="s">
        <v>3845</v>
      </c>
      <c r="F58" s="16" t="s">
        <v>3846</v>
      </c>
      <c r="G58" s="16" t="s">
        <v>3847</v>
      </c>
      <c r="H58" s="16" t="s">
        <v>3848</v>
      </c>
      <c r="I58" s="8" t="str">
        <f t="shared" ref="I58:I81" si="4">A58</f>
        <v>EQ→JDT</v>
      </c>
      <c r="J58" s="10" t="str">
        <f>IFERROR(__xludf.DUMMYFUNCTION("TEXT(VALUE(REGEXEXTRACT(B58,""^[+-]?[0-9]*\.?[0-9]+""))*100,""0.00"")&amp;"" +/- ""&amp;TEXT(VALUE(REGEXEXTRACT(B58,""[0-9]*\.?[0-9]+$""))*100,""0.00"")"),"28.81 +/- 1.27")</f>
        <v>28.81 +/- 1.27</v>
      </c>
      <c r="K58" s="9" t="str">
        <f>IFERROR(__xludf.DUMMYFUNCTION("TEXT(VALUE(REGEXEXTRACT(C58,""^[+-]?[0-9]*\.?[0-9]+""))*100,""0.00"")&amp;"" +/- ""&amp;TEXT(VALUE(REGEXEXTRACT(C58,""[0-9]*\.?[0-9]+$""))*100,""0.00"")"),"24.03 +/- 0.00")</f>
        <v>24.03 +/- 0.00</v>
      </c>
      <c r="L58" s="9" t="str">
        <f>IFERROR(__xludf.DUMMYFUNCTION("TEXT(VALUE(REGEXEXTRACT(D58,""^[+-]?[0-9]*\.?[0-9]+""))*100,""0.00"")&amp;"" +/- ""&amp;TEXT(VALUE(REGEXEXTRACT(D58,""[0-9]*\.?[0-9]+$""))*100,""0.00"")"),"3.63 +/- 0.00")</f>
        <v>3.63 +/- 0.00</v>
      </c>
      <c r="M58" s="9" t="str">
        <f>IFERROR(__xludf.DUMMYFUNCTION("TEXT(VALUE(REGEXEXTRACT(E58,""^[+-]?[0-9]*\.?[0-9]+""))*100,""0.00"")&amp;"" +/- ""&amp;TEXT(VALUE(REGEXEXTRACT(E58,""[0-9]*\.?[0-9]+$""))*100,""0.00"")"),"21.29 +/- 1.81")</f>
        <v>21.29 +/- 1.81</v>
      </c>
      <c r="N58" s="9" t="str">
        <f>IFERROR(__xludf.DUMMYFUNCTION("TEXT(VALUE(REGEXEXTRACT(F58,""^[+-]?[0-9]*\.?[0-9]+""))*100,""0.00"")&amp;"" +/- ""&amp;TEXT(VALUE(REGEXEXTRACT(F58,""[0-9]*\.?[0-9]+$""))*100,""0.00"")"),"21.72 +/- 1.31")</f>
        <v>21.72 +/- 1.31</v>
      </c>
      <c r="O58" s="9" t="str">
        <f>IFERROR(__xludf.DUMMYFUNCTION("TEXT(VALUE(REGEXEXTRACT(G58,""^[+-]?[0-9]*\.?[0-9]+""))*100,""0.00"")&amp;"" +/- ""&amp;TEXT(VALUE(REGEXEXTRACT(G58,""[0-9]*\.?[0-9]+$""))*100,""0.00"")"),"21.98 +/- 2.02")</f>
        <v>21.98 +/- 2.02</v>
      </c>
      <c r="P58" s="9" t="str">
        <f>IFERROR(__xludf.DUMMYFUNCTION("TEXT(VALUE(REGEXEXTRACT(H58,""^[+-]?[0-9]*\.?[0-9]+""))*100,""0.00"")&amp;"" +/- ""&amp;TEXT(VALUE(REGEXEXTRACT(H58,""[0-9]*\.?[0-9]+$""))*100,""0.00"")"),"20.54 +/- 1.58")</f>
        <v>20.54 +/- 1.58</v>
      </c>
    </row>
    <row r="59">
      <c r="A59" s="6" t="s">
        <v>1026</v>
      </c>
      <c r="B59" s="16" t="s">
        <v>3849</v>
      </c>
      <c r="C59" s="16" t="s">
        <v>3850</v>
      </c>
      <c r="D59" s="16" t="s">
        <v>3851</v>
      </c>
      <c r="E59" s="16" t="s">
        <v>3852</v>
      </c>
      <c r="F59" s="16" t="s">
        <v>3853</v>
      </c>
      <c r="G59" s="16" t="s">
        <v>3854</v>
      </c>
      <c r="H59" s="16" t="s">
        <v>3855</v>
      </c>
      <c r="I59" s="8" t="str">
        <f t="shared" si="4"/>
        <v>EQ→LC</v>
      </c>
      <c r="J59" s="9" t="str">
        <f>IFERROR(__xludf.DUMMYFUNCTION("TEXT(VALUE(REGEXEXTRACT(B59,""^[+-]?[0-9]*\.?[0-9]+""))*100,""0.00"")&amp;"" +/- ""&amp;TEXT(VALUE(REGEXEXTRACT(B59,""[0-9]*\.?[0-9]+$""))*100,""0.00"")"),"18.94 +/- 0.92")</f>
        <v>18.94 +/- 0.92</v>
      </c>
      <c r="K59" s="10" t="str">
        <f>IFERROR(__xludf.DUMMYFUNCTION("TEXT(VALUE(REGEXEXTRACT(C59,""^[+-]?[0-9]*\.?[0-9]+""))*100,""0.00"")&amp;"" +/- ""&amp;TEXT(VALUE(REGEXEXTRACT(C59,""[0-9]*\.?[0-9]+$""))*100,""0.00"")"),"19.22 +/- 0.00")</f>
        <v>19.22 +/- 0.00</v>
      </c>
      <c r="L59" s="9" t="str">
        <f>IFERROR(__xludf.DUMMYFUNCTION("TEXT(VALUE(REGEXEXTRACT(D59,""^[+-]?[0-9]*\.?[0-9]+""))*100,""0.00"")&amp;"" +/- ""&amp;TEXT(VALUE(REGEXEXTRACT(D59,""[0-9]*\.?[0-9]+$""))*100,""0.00"")"),"-15.48 +/- 0.00")</f>
        <v>-15.48 +/- 0.00</v>
      </c>
      <c r="M59" s="9" t="str">
        <f>IFERROR(__xludf.DUMMYFUNCTION("TEXT(VALUE(REGEXEXTRACT(E59,""^[+-]?[0-9]*\.?[0-9]+""))*100,""0.00"")&amp;"" +/- ""&amp;TEXT(VALUE(REGEXEXTRACT(E59,""[0-9]*\.?[0-9]+$""))*100,""0.00"")"),"16.29 +/- 1.81")</f>
        <v>16.29 +/- 1.81</v>
      </c>
      <c r="N59" s="9" t="str">
        <f>IFERROR(__xludf.DUMMYFUNCTION("TEXT(VALUE(REGEXEXTRACT(F59,""^[+-]?[0-9]*\.?[0-9]+""))*100,""0.00"")&amp;"" +/- ""&amp;TEXT(VALUE(REGEXEXTRACT(F59,""[0-9]*\.?[0-9]+$""))*100,""0.00"")"),"13.20 +/- 1.12")</f>
        <v>13.20 +/- 1.12</v>
      </c>
      <c r="O59" s="9" t="str">
        <f>IFERROR(__xludf.DUMMYFUNCTION("TEXT(VALUE(REGEXEXTRACT(G59,""^[+-]?[0-9]*\.?[0-9]+""))*100,""0.00"")&amp;"" +/- ""&amp;TEXT(VALUE(REGEXEXTRACT(G59,""[0-9]*\.?[0-9]+$""))*100,""0.00"")"),"15.46 +/- 1.34")</f>
        <v>15.46 +/- 1.34</v>
      </c>
      <c r="P59" s="9" t="str">
        <f>IFERROR(__xludf.DUMMYFUNCTION("TEXT(VALUE(REGEXEXTRACT(H59,""^[+-]?[0-9]*\.?[0-9]+""))*100,""0.00"")&amp;"" +/- ""&amp;TEXT(VALUE(REGEXEXTRACT(H59,""[0-9]*\.?[0-9]+$""))*100,""0.00"")"),"14.18 +/- 1.88")</f>
        <v>14.18 +/- 1.88</v>
      </c>
    </row>
    <row r="60">
      <c r="A60" s="6" t="s">
        <v>1036</v>
      </c>
      <c r="B60" s="16" t="s">
        <v>3856</v>
      </c>
      <c r="C60" s="16" t="s">
        <v>3857</v>
      </c>
      <c r="D60" s="16" t="s">
        <v>3858</v>
      </c>
      <c r="E60" s="16" t="s">
        <v>3859</v>
      </c>
      <c r="F60" s="16" t="s">
        <v>3860</v>
      </c>
      <c r="G60" s="16" t="s">
        <v>3861</v>
      </c>
      <c r="H60" s="16" t="s">
        <v>3862</v>
      </c>
      <c r="I60" s="8" t="str">
        <f t="shared" si="4"/>
        <v>EQ→ML</v>
      </c>
      <c r="J60" s="9" t="str">
        <f>IFERROR(__xludf.DUMMYFUNCTION("TEXT(VALUE(REGEXEXTRACT(B60,""^[+-]?[0-9]*\.?[0-9]+""))*100,""0.00"")&amp;"" +/- ""&amp;TEXT(VALUE(REGEXEXTRACT(B60,""[0-9]*\.?[0-9]+$""))*100,""0.00"")"),"5.75 +/- 0.91")</f>
        <v>5.75 +/- 0.91</v>
      </c>
      <c r="K60" s="10" t="str">
        <f>IFERROR(__xludf.DUMMYFUNCTION("TEXT(VALUE(REGEXEXTRACT(C60,""^[+-]?[0-9]*\.?[0-9]+""))*100,""0.00"")&amp;"" +/- ""&amp;TEXT(VALUE(REGEXEXTRACT(C60,""[0-9]*\.?[0-9]+$""))*100,""0.00"")"),"6.15 +/- 0.00")</f>
        <v>6.15 +/- 0.00</v>
      </c>
      <c r="L60" s="9" t="str">
        <f>IFERROR(__xludf.DUMMYFUNCTION("TEXT(VALUE(REGEXEXTRACT(D60,""^[+-]?[0-9]*\.?[0-9]+""))*100,""0.00"")&amp;"" +/- ""&amp;TEXT(VALUE(REGEXEXTRACT(D60,""[0-9]*\.?[0-9]+$""))*100,""0.00"")"),"-9.67 +/- 0.00")</f>
        <v>-9.67 +/- 0.00</v>
      </c>
      <c r="M60" s="9" t="str">
        <f>IFERROR(__xludf.DUMMYFUNCTION("TEXT(VALUE(REGEXEXTRACT(E60,""^[+-]?[0-9]*\.?[0-9]+""))*100,""0.00"")&amp;"" +/- ""&amp;TEXT(VALUE(REGEXEXTRACT(E60,""[0-9]*\.?[0-9]+$""))*100,""0.00"")"),"2.68 +/- 1.07")</f>
        <v>2.68 +/- 1.07</v>
      </c>
      <c r="N60" s="9" t="str">
        <f>IFERROR(__xludf.DUMMYFUNCTION("TEXT(VALUE(REGEXEXTRACT(F60,""^[+-]?[0-9]*\.?[0-9]+""))*100,""0.00"")&amp;"" +/- ""&amp;TEXT(VALUE(REGEXEXTRACT(F60,""[0-9]*\.?[0-9]+$""))*100,""0.00"")"),"-1.70 +/- 0.80")</f>
        <v>-1.70 +/- 0.80</v>
      </c>
      <c r="O60" s="9" t="str">
        <f>IFERROR(__xludf.DUMMYFUNCTION("TEXT(VALUE(REGEXEXTRACT(G60,""^[+-]?[0-9]*\.?[0-9]+""))*100,""0.00"")&amp;"" +/- ""&amp;TEXT(VALUE(REGEXEXTRACT(G60,""[0-9]*\.?[0-9]+$""))*100,""0.00"")"),"1.42 +/- 1.04")</f>
        <v>1.42 +/- 1.04</v>
      </c>
      <c r="P60" s="9" t="str">
        <f>IFERROR(__xludf.DUMMYFUNCTION("TEXT(VALUE(REGEXEXTRACT(H60,""^[+-]?[0-9]*\.?[0-9]+""))*100,""0.00"")&amp;"" +/- ""&amp;TEXT(VALUE(REGEXEXTRACT(H60,""[0-9]*\.?[0-9]+$""))*100,""0.00"")"),"3.61 +/- 1.19")</f>
        <v>3.61 +/- 1.19</v>
      </c>
    </row>
    <row r="61">
      <c r="A61" s="6" t="s">
        <v>1044</v>
      </c>
      <c r="B61" s="16" t="s">
        <v>3863</v>
      </c>
      <c r="C61" s="16" t="s">
        <v>2443</v>
      </c>
      <c r="D61" s="16" t="s">
        <v>3864</v>
      </c>
      <c r="E61" s="16" t="s">
        <v>3865</v>
      </c>
      <c r="F61" s="16" t="s">
        <v>3866</v>
      </c>
      <c r="G61" s="16" t="s">
        <v>3867</v>
      </c>
      <c r="H61" s="16" t="s">
        <v>3868</v>
      </c>
      <c r="I61" s="8" t="str">
        <f t="shared" si="4"/>
        <v>EQ→PDE</v>
      </c>
      <c r="J61" s="9" t="str">
        <f>IFERROR(__xludf.DUMMYFUNCTION("TEXT(VALUE(REGEXEXTRACT(B61,""^[+-]?[0-9]*\.?[0-9]+""))*100,""0.00"")&amp;"" +/- ""&amp;TEXT(VALUE(REGEXEXTRACT(B61,""[0-9]*\.?[0-9]+$""))*100,""0.00"")"),"21.94 +/- 0.97")</f>
        <v>21.94 +/- 0.97</v>
      </c>
      <c r="K61" s="10" t="str">
        <f>IFERROR(__xludf.DUMMYFUNCTION("TEXT(VALUE(REGEXEXTRACT(C61,""^[+-]?[0-9]*\.?[0-9]+""))*100,""0.00"")&amp;"" +/- ""&amp;TEXT(VALUE(REGEXEXTRACT(C61,""[0-9]*\.?[0-9]+$""))*100,""0.00"")"),"22.22 +/- 0.00")</f>
        <v>22.22 +/- 0.00</v>
      </c>
      <c r="L61" s="9" t="str">
        <f>IFERROR(__xludf.DUMMYFUNCTION("TEXT(VALUE(REGEXEXTRACT(D61,""^[+-]?[0-9]*\.?[0-9]+""))*100,""0.00"")&amp;"" +/- ""&amp;TEXT(VALUE(REGEXEXTRACT(D61,""[0-9]*\.?[0-9]+$""))*100,""0.00"")"),"-14.01 +/- 0.00")</f>
        <v>-14.01 +/- 0.00</v>
      </c>
      <c r="M61" s="9" t="str">
        <f>IFERROR(__xludf.DUMMYFUNCTION("TEXT(VALUE(REGEXEXTRACT(E61,""^[+-]?[0-9]*\.?[0-9]+""))*100,""0.00"")&amp;"" +/- ""&amp;TEXT(VALUE(REGEXEXTRACT(E61,""[0-9]*\.?[0-9]+$""))*100,""0.00"")"),"20.69 +/- 1.61")</f>
        <v>20.69 +/- 1.61</v>
      </c>
      <c r="N61" s="9" t="str">
        <f>IFERROR(__xludf.DUMMYFUNCTION("TEXT(VALUE(REGEXEXTRACT(F61,""^[+-]?[0-9]*\.?[0-9]+""))*100,""0.00"")&amp;"" +/- ""&amp;TEXT(VALUE(REGEXEXTRACT(F61,""[0-9]*\.?[0-9]+$""))*100,""0.00"")"),"17.95 +/- 0.91")</f>
        <v>17.95 +/- 0.91</v>
      </c>
      <c r="O61" s="9" t="str">
        <f>IFERROR(__xludf.DUMMYFUNCTION("TEXT(VALUE(REGEXEXTRACT(G61,""^[+-]?[0-9]*\.?[0-9]+""))*100,""0.00"")&amp;"" +/- ""&amp;TEXT(VALUE(REGEXEXTRACT(G61,""[0-9]*\.?[0-9]+$""))*100,""0.00"")"),"20.14 +/- 1.11")</f>
        <v>20.14 +/- 1.11</v>
      </c>
      <c r="P61" s="9" t="str">
        <f>IFERROR(__xludf.DUMMYFUNCTION("TEXT(VALUE(REGEXEXTRACT(H61,""^[+-]?[0-9]*\.?[0-9]+""))*100,""0.00"")&amp;"" +/- ""&amp;TEXT(VALUE(REGEXEXTRACT(H61,""[0-9]*\.?[0-9]+$""))*100,""0.00"")"),"14.39 +/- 1.27")</f>
        <v>14.39 +/- 1.27</v>
      </c>
    </row>
    <row r="62">
      <c r="A62" s="6" t="s">
        <v>1051</v>
      </c>
      <c r="B62" s="16" t="s">
        <v>3869</v>
      </c>
      <c r="C62" s="16" t="s">
        <v>3870</v>
      </c>
      <c r="D62" s="16" t="s">
        <v>3602</v>
      </c>
      <c r="E62" s="16" t="s">
        <v>3871</v>
      </c>
      <c r="F62" s="16" t="s">
        <v>3872</v>
      </c>
      <c r="G62" s="16" t="s">
        <v>3873</v>
      </c>
      <c r="H62" s="16" t="s">
        <v>3874</v>
      </c>
      <c r="I62" s="8" t="str">
        <f t="shared" si="4"/>
        <v>JDT→EQ</v>
      </c>
      <c r="J62" s="9" t="str">
        <f>IFERROR(__xludf.DUMMYFUNCTION("TEXT(VALUE(REGEXEXTRACT(B62,""^[+-]?[0-9]*\.?[0-9]+""))*100,""0.00"")&amp;"" +/- ""&amp;TEXT(VALUE(REGEXEXTRACT(B62,""[0-9]*\.?[0-9]+$""))*100,""0.00"")"),"32.77 +/- 1.54")</f>
        <v>32.77 +/- 1.54</v>
      </c>
      <c r="K62" s="9" t="str">
        <f>IFERROR(__xludf.DUMMYFUNCTION("TEXT(VALUE(REGEXEXTRACT(C62,""^[+-]?[0-9]*\.?[0-9]+""))*100,""0.00"")&amp;"" +/- ""&amp;TEXT(VALUE(REGEXEXTRACT(C62,""[0-9]*\.?[0-9]+$""))*100,""0.00"")"),"32.43 +/- 0.00")</f>
        <v>32.43 +/- 0.00</v>
      </c>
      <c r="L62" s="10" t="str">
        <f>IFERROR(__xludf.DUMMYFUNCTION("TEXT(VALUE(REGEXEXTRACT(D62,""^[+-]?[0-9]*\.?[0-9]+""))*100,""0.00"")&amp;"" +/- ""&amp;TEXT(VALUE(REGEXEXTRACT(D62,""[0-9]*\.?[0-9]+$""))*100,""0.00"")"),"40.30 +/- 0.00")</f>
        <v>40.30 +/- 0.00</v>
      </c>
      <c r="M62" s="9" t="str">
        <f>IFERROR(__xludf.DUMMYFUNCTION("TEXT(VALUE(REGEXEXTRACT(E62,""^[+-]?[0-9]*\.?[0-9]+""))*100,""0.00"")&amp;"" +/- ""&amp;TEXT(VALUE(REGEXEXTRACT(E62,""[0-9]*\.?[0-9]+$""))*100,""0.00"")"),"32.33 +/- 2.14")</f>
        <v>32.33 +/- 2.14</v>
      </c>
      <c r="N62" s="9" t="str">
        <f>IFERROR(__xludf.DUMMYFUNCTION("TEXT(VALUE(REGEXEXTRACT(F62,""^[+-]?[0-9]*\.?[0-9]+""))*100,""0.00"")&amp;"" +/- ""&amp;TEXT(VALUE(REGEXEXTRACT(F62,""[0-9]*\.?[0-9]+$""))*100,""0.00"")"),"35.11 +/- 1.55")</f>
        <v>35.11 +/- 1.55</v>
      </c>
      <c r="O62" s="9" t="str">
        <f>IFERROR(__xludf.DUMMYFUNCTION("TEXT(VALUE(REGEXEXTRACT(G62,""^[+-]?[0-9]*\.?[0-9]+""))*100,""0.00"")&amp;"" +/- ""&amp;TEXT(VALUE(REGEXEXTRACT(G62,""[0-9]*\.?[0-9]+$""))*100,""0.00"")"),"36.26 +/- 2.05")</f>
        <v>36.26 +/- 2.05</v>
      </c>
      <c r="P62" s="9" t="str">
        <f>IFERROR(__xludf.DUMMYFUNCTION("TEXT(VALUE(REGEXEXTRACT(H62,""^[+-]?[0-9]*\.?[0-9]+""))*100,""0.00"")&amp;"" +/- ""&amp;TEXT(VALUE(REGEXEXTRACT(H62,""[0-9]*\.?[0-9]+$""))*100,""0.00"")"),"32.94 +/- 1.28")</f>
        <v>32.94 +/- 1.28</v>
      </c>
    </row>
    <row r="63">
      <c r="A63" s="6" t="s">
        <v>1059</v>
      </c>
      <c r="B63" s="16" t="s">
        <v>3875</v>
      </c>
      <c r="C63" s="16" t="s">
        <v>3876</v>
      </c>
      <c r="D63" s="16" t="s">
        <v>3877</v>
      </c>
      <c r="E63" s="16" t="s">
        <v>3878</v>
      </c>
      <c r="F63" s="16" t="s">
        <v>3879</v>
      </c>
      <c r="G63" s="16" t="s">
        <v>3880</v>
      </c>
      <c r="H63" s="16" t="s">
        <v>3881</v>
      </c>
      <c r="I63" s="8" t="str">
        <f t="shared" si="4"/>
        <v>JDT→LC</v>
      </c>
      <c r="J63" s="9" t="str">
        <f>IFERROR(__xludf.DUMMYFUNCTION("TEXT(VALUE(REGEXEXTRACT(B63,""^[+-]?[0-9]*\.?[0-9]+""))*100,""0.00"")&amp;"" +/- ""&amp;TEXT(VALUE(REGEXEXTRACT(B63,""[0-9]*\.?[0-9]+$""))*100,""0.00"")"),"20.61 +/- 0.81")</f>
        <v>20.61 +/- 0.81</v>
      </c>
      <c r="K63" s="9" t="str">
        <f>IFERROR(__xludf.DUMMYFUNCTION("TEXT(VALUE(REGEXEXTRACT(C63,""^[+-]?[0-9]*\.?[0-9]+""))*100,""0.00"")&amp;"" +/- ""&amp;TEXT(VALUE(REGEXEXTRACT(C63,""[0-9]*\.?[0-9]+$""))*100,""0.00"")"),"23.15 +/- 0.00")</f>
        <v>23.15 +/- 0.00</v>
      </c>
      <c r="L63" s="10" t="str">
        <f>IFERROR(__xludf.DUMMYFUNCTION("TEXT(VALUE(REGEXEXTRACT(D63,""^[+-]?[0-9]*\.?[0-9]+""))*100,""0.00"")&amp;"" +/- ""&amp;TEXT(VALUE(REGEXEXTRACT(D63,""[0-9]*\.?[0-9]+$""))*100,""0.00"")"),"27.58 +/- 0.00")</f>
        <v>27.58 +/- 0.00</v>
      </c>
      <c r="M63" s="9" t="str">
        <f>IFERROR(__xludf.DUMMYFUNCTION("TEXT(VALUE(REGEXEXTRACT(E63,""^[+-]?[0-9]*\.?[0-9]+""))*100,""0.00"")&amp;"" +/- ""&amp;TEXT(VALUE(REGEXEXTRACT(E63,""[0-9]*\.?[0-9]+$""))*100,""0.00"")"),"17.01 +/- 1.77")</f>
        <v>17.01 +/- 1.77</v>
      </c>
      <c r="N63" s="9" t="str">
        <f>IFERROR(__xludf.DUMMYFUNCTION("TEXT(VALUE(REGEXEXTRACT(F63,""^[+-]?[0-9]*\.?[0-9]+""))*100,""0.00"")&amp;"" +/- ""&amp;TEXT(VALUE(REGEXEXTRACT(F63,""[0-9]*\.?[0-9]+$""))*100,""0.00"")"),"13.47 +/- 1.21")</f>
        <v>13.47 +/- 1.21</v>
      </c>
      <c r="O63" s="9" t="str">
        <f>IFERROR(__xludf.DUMMYFUNCTION("TEXT(VALUE(REGEXEXTRACT(G63,""^[+-]?[0-9]*\.?[0-9]+""))*100,""0.00"")&amp;"" +/- ""&amp;TEXT(VALUE(REGEXEXTRACT(G63,""[0-9]*\.?[0-9]+$""))*100,""0.00"")"),"17.36 +/- 1.46")</f>
        <v>17.36 +/- 1.46</v>
      </c>
      <c r="P63" s="9" t="str">
        <f>IFERROR(__xludf.DUMMYFUNCTION("TEXT(VALUE(REGEXEXTRACT(H63,""^[+-]?[0-9]*\.?[0-9]+""))*100,""0.00"")&amp;"" +/- ""&amp;TEXT(VALUE(REGEXEXTRACT(H63,""[0-9]*\.?[0-9]+$""))*100,""0.00"")"),"20.60 +/- 1.15")</f>
        <v>20.60 +/- 1.15</v>
      </c>
    </row>
    <row r="64">
      <c r="A64" s="6" t="s">
        <v>1088</v>
      </c>
      <c r="B64" s="16" t="s">
        <v>3882</v>
      </c>
      <c r="C64" s="16" t="s">
        <v>3883</v>
      </c>
      <c r="D64" s="16" t="s">
        <v>3884</v>
      </c>
      <c r="E64" s="16" t="s">
        <v>3885</v>
      </c>
      <c r="F64" s="16" t="s">
        <v>3886</v>
      </c>
      <c r="G64" s="16" t="s">
        <v>3887</v>
      </c>
      <c r="H64" s="16" t="s">
        <v>3888</v>
      </c>
      <c r="I64" s="8" t="str">
        <f t="shared" si="4"/>
        <v>JDT→ML</v>
      </c>
      <c r="J64" s="10" t="str">
        <f>IFERROR(__xludf.DUMMYFUNCTION("TEXT(VALUE(REGEXEXTRACT(B64,""^[+-]?[0-9]*\.?[0-9]+""))*100,""0.00"")&amp;"" +/- ""&amp;TEXT(VALUE(REGEXEXTRACT(B64,""[0-9]*\.?[0-9]+$""))*100,""0.00"")"),"22.27 +/- 0.61")</f>
        <v>22.27 +/- 0.61</v>
      </c>
      <c r="K64" s="9" t="str">
        <f>IFERROR(__xludf.DUMMYFUNCTION("TEXT(VALUE(REGEXEXTRACT(C64,""^[+-]?[0-9]*\.?[0-9]+""))*100,""0.00"")&amp;"" +/- ""&amp;TEXT(VALUE(REGEXEXTRACT(C64,""[0-9]*\.?[0-9]+$""))*100,""0.00"")"),"20.44 +/- 0.00")</f>
        <v>20.44 +/- 0.00</v>
      </c>
      <c r="L64" s="9" t="str">
        <f>IFERROR(__xludf.DUMMYFUNCTION("TEXT(VALUE(REGEXEXTRACT(D64,""^[+-]?[0-9]*\.?[0-9]+""))*100,""0.00"")&amp;"" +/- ""&amp;TEXT(VALUE(REGEXEXTRACT(D64,""[0-9]*\.?[0-9]+$""))*100,""0.00"")"),"23.54 +/- 0.00")</f>
        <v>23.54 +/- 0.00</v>
      </c>
      <c r="M64" s="9" t="str">
        <f>IFERROR(__xludf.DUMMYFUNCTION("TEXT(VALUE(REGEXEXTRACT(E64,""^[+-]?[0-9]*\.?[0-9]+""))*100,""0.00"")&amp;"" +/- ""&amp;TEXT(VALUE(REGEXEXTRACT(E64,""[0-9]*\.?[0-9]+$""))*100,""0.00"")"),"20.43 +/- 1.53")</f>
        <v>20.43 +/- 1.53</v>
      </c>
      <c r="N64" s="9" t="str">
        <f>IFERROR(__xludf.DUMMYFUNCTION("TEXT(VALUE(REGEXEXTRACT(F64,""^[+-]?[0-9]*\.?[0-9]+""))*100,""0.00"")&amp;"" +/- ""&amp;TEXT(VALUE(REGEXEXTRACT(F64,""[0-9]*\.?[0-9]+$""))*100,""0.00"")"),"18.33 +/- 0.89")</f>
        <v>18.33 +/- 0.89</v>
      </c>
      <c r="O64" s="9" t="str">
        <f>IFERROR(__xludf.DUMMYFUNCTION("TEXT(VALUE(REGEXEXTRACT(G64,""^[+-]?[0-9]*\.?[0-9]+""))*100,""0.00"")&amp;"" +/- ""&amp;TEXT(VALUE(REGEXEXTRACT(G64,""[0-9]*\.?[0-9]+$""))*100,""0.00"")"),"20.27 +/- 1.21")</f>
        <v>20.27 +/- 1.21</v>
      </c>
      <c r="P64" s="9" t="str">
        <f>IFERROR(__xludf.DUMMYFUNCTION("TEXT(VALUE(REGEXEXTRACT(H64,""^[+-]?[0-9]*\.?[0-9]+""))*100,""0.00"")&amp;"" +/- ""&amp;TEXT(VALUE(REGEXEXTRACT(H64,""[0-9]*\.?[0-9]+$""))*100,""0.00"")"),"11.75 +/- 0.79")</f>
        <v>11.75 +/- 0.79</v>
      </c>
    </row>
    <row r="65">
      <c r="A65" s="6" t="s">
        <v>1097</v>
      </c>
      <c r="B65" s="16" t="s">
        <v>3889</v>
      </c>
      <c r="C65" s="16" t="s">
        <v>3890</v>
      </c>
      <c r="D65" s="16" t="s">
        <v>3891</v>
      </c>
      <c r="E65" s="16" t="s">
        <v>3892</v>
      </c>
      <c r="F65" s="16" t="s">
        <v>3893</v>
      </c>
      <c r="G65" s="16" t="s">
        <v>3894</v>
      </c>
      <c r="H65" s="16" t="s">
        <v>3895</v>
      </c>
      <c r="I65" s="8" t="str">
        <f t="shared" si="4"/>
        <v>JDT→PDE</v>
      </c>
      <c r="J65" s="9" t="str">
        <f>IFERROR(__xludf.DUMMYFUNCTION("TEXT(VALUE(REGEXEXTRACT(B65,""^[+-]?[0-9]*\.?[0-9]+""))*100,""0.00"")&amp;"" +/- ""&amp;TEXT(VALUE(REGEXEXTRACT(B65,""[0-9]*\.?[0-9]+$""))*100,""0.00"")"),"27.37 +/- 0.58")</f>
        <v>27.37 +/- 0.58</v>
      </c>
      <c r="K65" s="9" t="str">
        <f>IFERROR(__xludf.DUMMYFUNCTION("TEXT(VALUE(REGEXEXTRACT(C65,""^[+-]?[0-9]*\.?[0-9]+""))*100,""0.00"")&amp;"" +/- ""&amp;TEXT(VALUE(REGEXEXTRACT(C65,""[0-9]*\.?[0-9]+$""))*100,""0.00"")"),"23.25 +/- 0.00")</f>
        <v>23.25 +/- 0.00</v>
      </c>
      <c r="L65" s="10" t="str">
        <f>IFERROR(__xludf.DUMMYFUNCTION("TEXT(VALUE(REGEXEXTRACT(D65,""^[+-]?[0-9]*\.?[0-9]+""))*100,""0.00"")&amp;"" +/- ""&amp;TEXT(VALUE(REGEXEXTRACT(D65,""[0-9]*\.?[0-9]+$""))*100,""0.00"")"),"26.51 +/- 0.00")</f>
        <v>26.51 +/- 0.00</v>
      </c>
      <c r="M65" s="9" t="str">
        <f>IFERROR(__xludf.DUMMYFUNCTION("TEXT(VALUE(REGEXEXTRACT(E65,""^[+-]?[0-9]*\.?[0-9]+""))*100,""0.00"")&amp;"" +/- ""&amp;TEXT(VALUE(REGEXEXTRACT(E65,""[0-9]*\.?[0-9]+$""))*100,""0.00"")"),"23.12 +/- 1.28")</f>
        <v>23.12 +/- 1.28</v>
      </c>
      <c r="N65" s="9" t="str">
        <f>IFERROR(__xludf.DUMMYFUNCTION("TEXT(VALUE(REGEXEXTRACT(F65,""^[+-]?[0-9]*\.?[0-9]+""))*100,""0.00"")&amp;"" +/- ""&amp;TEXT(VALUE(REGEXEXTRACT(F65,""[0-9]*\.?[0-9]+$""))*100,""0.00"")"),"23.22 +/- 0.61")</f>
        <v>23.22 +/- 0.61</v>
      </c>
      <c r="O65" s="9" t="str">
        <f>IFERROR(__xludf.DUMMYFUNCTION("TEXT(VALUE(REGEXEXTRACT(G65,""^[+-]?[0-9]*\.?[0-9]+""))*100,""0.00"")&amp;"" +/- ""&amp;TEXT(VALUE(REGEXEXTRACT(G65,""[0-9]*\.?[0-9]+$""))*100,""0.00"")"),"24.49 +/- 0.80")</f>
        <v>24.49 +/- 0.80</v>
      </c>
      <c r="P65" s="9" t="str">
        <f>IFERROR(__xludf.DUMMYFUNCTION("TEXT(VALUE(REGEXEXTRACT(H65,""^[+-]?[0-9]*\.?[0-9]+""))*100,""0.00"")&amp;"" +/- ""&amp;TEXT(VALUE(REGEXEXTRACT(H65,""[0-9]*\.?[0-9]+$""))*100,""0.00"")"),"17.12 +/- 0.65")</f>
        <v>17.12 +/- 0.65</v>
      </c>
    </row>
    <row r="66">
      <c r="A66" s="6" t="s">
        <v>1105</v>
      </c>
      <c r="B66" s="16" t="s">
        <v>3896</v>
      </c>
      <c r="C66" s="16" t="s">
        <v>3897</v>
      </c>
      <c r="D66" s="16" t="s">
        <v>3898</v>
      </c>
      <c r="E66" s="16" t="s">
        <v>3899</v>
      </c>
      <c r="F66" s="16" t="s">
        <v>3900</v>
      </c>
      <c r="G66" s="16" t="s">
        <v>3901</v>
      </c>
      <c r="H66" s="16" t="s">
        <v>3902</v>
      </c>
      <c r="I66" s="8" t="str">
        <f t="shared" si="4"/>
        <v>LC→EQ</v>
      </c>
      <c r="J66" s="10" t="str">
        <f>IFERROR(__xludf.DUMMYFUNCTION("TEXT(VALUE(REGEXEXTRACT(B66,""^[+-]?[0-9]*\.?[0-9]+""))*100,""0.00"")&amp;"" +/- ""&amp;TEXT(VALUE(REGEXEXTRACT(B66,""[0-9]*\.?[0-9]+$""))*100,""0.00"")"),"32.45 +/- 1.45")</f>
        <v>32.45 +/- 1.45</v>
      </c>
      <c r="K66" s="9" t="str">
        <f>IFERROR(__xludf.DUMMYFUNCTION("TEXT(VALUE(REGEXEXTRACT(C66,""^[+-]?[0-9]*\.?[0-9]+""))*100,""0.00"")&amp;"" +/- ""&amp;TEXT(VALUE(REGEXEXTRACT(C66,""[0-9]*\.?[0-9]+$""))*100,""0.00"")"),"24.17 +/- 0.00")</f>
        <v>24.17 +/- 0.00</v>
      </c>
      <c r="L66" s="9" t="str">
        <f>IFERROR(__xludf.DUMMYFUNCTION("TEXT(VALUE(REGEXEXTRACT(D66,""^[+-]?[0-9]*\.?[0-9]+""))*100,""0.00"")&amp;"" +/- ""&amp;TEXT(VALUE(REGEXEXTRACT(D66,""[0-9]*\.?[0-9]+$""))*100,""0.00"")"),"31.92 +/- 0.00")</f>
        <v>31.92 +/- 0.00</v>
      </c>
      <c r="M66" s="9" t="str">
        <f>IFERROR(__xludf.DUMMYFUNCTION("TEXT(VALUE(REGEXEXTRACT(E66,""^[+-]?[0-9]*\.?[0-9]+""))*100,""0.00"")&amp;"" +/- ""&amp;TEXT(VALUE(REGEXEXTRACT(E66,""[0-9]*\.?[0-9]+$""))*100,""0.00"")"),"32.98 +/- 1.64")</f>
        <v>32.98 +/- 1.64</v>
      </c>
      <c r="N66" s="9" t="str">
        <f>IFERROR(__xludf.DUMMYFUNCTION("TEXT(VALUE(REGEXEXTRACT(F66,""^[+-]?[0-9]*\.?[0-9]+""))*100,""0.00"")&amp;"" +/- ""&amp;TEXT(VALUE(REGEXEXTRACT(F66,""[0-9]*\.?[0-9]+$""))*100,""0.00"")"),"28.52 +/- 1.37")</f>
        <v>28.52 +/- 1.37</v>
      </c>
      <c r="O66" s="9" t="str">
        <f>IFERROR(__xludf.DUMMYFUNCTION("TEXT(VALUE(REGEXEXTRACT(G66,""^[+-]?[0-9]*\.?[0-9]+""))*100,""0.00"")&amp;"" +/- ""&amp;TEXT(VALUE(REGEXEXTRACT(G66,""[0-9]*\.?[0-9]+$""))*100,""0.00"")"),"31.59 +/- 2.00")</f>
        <v>31.59 +/- 2.00</v>
      </c>
      <c r="P66" s="9" t="str">
        <f>IFERROR(__xludf.DUMMYFUNCTION("TEXT(VALUE(REGEXEXTRACT(H66,""^[+-]?[0-9]*\.?[0-9]+""))*100,""0.00"")&amp;"" +/- ""&amp;TEXT(VALUE(REGEXEXTRACT(H66,""[0-9]*\.?[0-9]+$""))*100,""0.00"")"),"28.10 +/- 0.95")</f>
        <v>28.10 +/- 0.95</v>
      </c>
    </row>
    <row r="67">
      <c r="A67" s="6" t="s">
        <v>1115</v>
      </c>
      <c r="B67" s="16" t="s">
        <v>3903</v>
      </c>
      <c r="C67" s="16" t="s">
        <v>3904</v>
      </c>
      <c r="D67" s="16" t="s">
        <v>3905</v>
      </c>
      <c r="E67" s="16" t="s">
        <v>3906</v>
      </c>
      <c r="F67" s="16" t="s">
        <v>3907</v>
      </c>
      <c r="G67" s="16" t="s">
        <v>3908</v>
      </c>
      <c r="H67" s="16" t="s">
        <v>3909</v>
      </c>
      <c r="I67" s="8" t="str">
        <f t="shared" si="4"/>
        <v>LC→JDT</v>
      </c>
      <c r="J67" s="10" t="str">
        <f>IFERROR(__xludf.DUMMYFUNCTION("TEXT(VALUE(REGEXEXTRACT(B67,""^[+-]?[0-9]*\.?[0-9]+""))*100,""0.00"")&amp;"" +/- ""&amp;TEXT(VALUE(REGEXEXTRACT(B67,""[0-9]*\.?[0-9]+$""))*100,""0.00"")"),"46.57 +/- 0.95")</f>
        <v>46.57 +/- 0.95</v>
      </c>
      <c r="K67" s="9" t="str">
        <f>IFERROR(__xludf.DUMMYFUNCTION("TEXT(VALUE(REGEXEXTRACT(C67,""^[+-]?[0-9]*\.?[0-9]+""))*100,""0.00"")&amp;"" +/- ""&amp;TEXT(VALUE(REGEXEXTRACT(C67,""[0-9]*\.?[0-9]+$""))*100,""0.00"")"),"42.81 +/- 0.00")</f>
        <v>42.81 +/- 0.00</v>
      </c>
      <c r="L67" s="9" t="str">
        <f>IFERROR(__xludf.DUMMYFUNCTION("TEXT(VALUE(REGEXEXTRACT(D67,""^[+-]?[0-9]*\.?[0-9]+""))*100,""0.00"")&amp;"" +/- ""&amp;TEXT(VALUE(REGEXEXTRACT(D67,""[0-9]*\.?[0-9]+$""))*100,""0.00"")"),"10.03 +/- 0.00")</f>
        <v>10.03 +/- 0.00</v>
      </c>
      <c r="M67" s="9" t="str">
        <f>IFERROR(__xludf.DUMMYFUNCTION("TEXT(VALUE(REGEXEXTRACT(E67,""^[+-]?[0-9]*\.?[0-9]+""))*100,""0.00"")&amp;"" +/- ""&amp;TEXT(VALUE(REGEXEXTRACT(E67,""[0-9]*\.?[0-9]+$""))*100,""0.00"")"),"41.24 +/- 0.97")</f>
        <v>41.24 +/- 0.97</v>
      </c>
      <c r="N67" s="9" t="str">
        <f>IFERROR(__xludf.DUMMYFUNCTION("TEXT(VALUE(REGEXEXTRACT(F67,""^[+-]?[0-9]*\.?[0-9]+""))*100,""0.00"")&amp;"" +/- ""&amp;TEXT(VALUE(REGEXEXTRACT(F67,""[0-9]*\.?[0-9]+$""))*100,""0.00"")"),"38.25 +/- 1.04")</f>
        <v>38.25 +/- 1.04</v>
      </c>
      <c r="O67" s="9" t="str">
        <f>IFERROR(__xludf.DUMMYFUNCTION("TEXT(VALUE(REGEXEXTRACT(G67,""^[+-]?[0-9]*\.?[0-9]+""))*100,""0.00"")&amp;"" +/- ""&amp;TEXT(VALUE(REGEXEXTRACT(G67,""[0-9]*\.?[0-9]+$""))*100,""0.00"")"),"41.70 +/- 1.31")</f>
        <v>41.70 +/- 1.31</v>
      </c>
      <c r="P67" s="9" t="str">
        <f>IFERROR(__xludf.DUMMYFUNCTION("TEXT(VALUE(REGEXEXTRACT(H67,""^[+-]?[0-9]*\.?[0-9]+""))*100,""0.00"")&amp;"" +/- ""&amp;TEXT(VALUE(REGEXEXTRACT(H67,""[0-9]*\.?[0-9]+$""))*100,""0.00"")"),"32.55 +/- 0.75")</f>
        <v>32.55 +/- 0.75</v>
      </c>
    </row>
    <row r="68">
      <c r="A68" s="6" t="s">
        <v>1125</v>
      </c>
      <c r="B68" s="16" t="s">
        <v>3910</v>
      </c>
      <c r="C68" s="16" t="s">
        <v>3911</v>
      </c>
      <c r="D68" s="16" t="s">
        <v>3912</v>
      </c>
      <c r="E68" s="16" t="s">
        <v>3913</v>
      </c>
      <c r="F68" s="16" t="s">
        <v>3914</v>
      </c>
      <c r="G68" s="16" t="s">
        <v>3915</v>
      </c>
      <c r="H68" s="16" t="s">
        <v>3916</v>
      </c>
      <c r="I68" s="8" t="str">
        <f t="shared" si="4"/>
        <v>LC→ML</v>
      </c>
      <c r="J68" s="9" t="str">
        <f>IFERROR(__xludf.DUMMYFUNCTION("TEXT(VALUE(REGEXEXTRACT(B68,""^[+-]?[0-9]*\.?[0-9]+""))*100,""0.00"")&amp;"" +/- ""&amp;TEXT(VALUE(REGEXEXTRACT(B68,""[0-9]*\.?[0-9]+$""))*100,""0.00"")"),"15.20 +/- 0.92")</f>
        <v>15.20 +/- 0.92</v>
      </c>
      <c r="K68" s="10" t="str">
        <f>IFERROR(__xludf.DUMMYFUNCTION("TEXT(VALUE(REGEXEXTRACT(C68,""^[+-]?[0-9]*\.?[0-9]+""))*100,""0.00"")&amp;"" +/- ""&amp;TEXT(VALUE(REGEXEXTRACT(C68,""[0-9]*\.?[0-9]+$""))*100,""0.00"")"),"17.98 +/- 0.00")</f>
        <v>17.98 +/- 0.00</v>
      </c>
      <c r="L68" s="9" t="str">
        <f>IFERROR(__xludf.DUMMYFUNCTION("TEXT(VALUE(REGEXEXTRACT(D68,""^[+-]?[0-9]*\.?[0-9]+""))*100,""0.00"")&amp;"" +/- ""&amp;TEXT(VALUE(REGEXEXTRACT(D68,""[0-9]*\.?[0-9]+$""))*100,""0.00"")"),"17.41 +/- 0.00")</f>
        <v>17.41 +/- 0.00</v>
      </c>
      <c r="M68" s="9" t="str">
        <f>IFERROR(__xludf.DUMMYFUNCTION("TEXT(VALUE(REGEXEXTRACT(E68,""^[+-]?[0-9]*\.?[0-9]+""))*100,""0.00"")&amp;"" +/- ""&amp;TEXT(VALUE(REGEXEXTRACT(E68,""[0-9]*\.?[0-9]+$""))*100,""0.00"")"),"12.24 +/- 1.35")</f>
        <v>12.24 +/- 1.35</v>
      </c>
      <c r="N68" s="9" t="str">
        <f>IFERROR(__xludf.DUMMYFUNCTION("TEXT(VALUE(REGEXEXTRACT(F68,""^[+-]?[0-9]*\.?[0-9]+""))*100,""0.00"")&amp;"" +/- ""&amp;TEXT(VALUE(REGEXEXTRACT(F68,""[0-9]*\.?[0-9]+$""))*100,""0.00"")"),"8.79 +/- 0.48")</f>
        <v>8.79 +/- 0.48</v>
      </c>
      <c r="O68" s="9" t="str">
        <f>IFERROR(__xludf.DUMMYFUNCTION("TEXT(VALUE(REGEXEXTRACT(G68,""^[+-]?[0-9]*\.?[0-9]+""))*100,""0.00"")&amp;"" +/- ""&amp;TEXT(VALUE(REGEXEXTRACT(G68,""[0-9]*\.?[0-9]+$""))*100,""0.00"")"),"12.35 +/- 1.32")</f>
        <v>12.35 +/- 1.32</v>
      </c>
      <c r="P68" s="9" t="str">
        <f>IFERROR(__xludf.DUMMYFUNCTION("TEXT(VALUE(REGEXEXTRACT(H68,""^[+-]?[0-9]*\.?[0-9]+""))*100,""0.00"")&amp;"" +/- ""&amp;TEXT(VALUE(REGEXEXTRACT(H68,""[0-9]*\.?[0-9]+$""))*100,""0.00"")"),"14.58 +/- 0.92")</f>
        <v>14.58 +/- 0.92</v>
      </c>
    </row>
    <row r="69">
      <c r="A69" s="6" t="s">
        <v>1136</v>
      </c>
      <c r="B69" s="16" t="s">
        <v>3917</v>
      </c>
      <c r="C69" s="16" t="s">
        <v>3918</v>
      </c>
      <c r="D69" s="16" t="s">
        <v>3919</v>
      </c>
      <c r="E69" s="16" t="s">
        <v>3920</v>
      </c>
      <c r="F69" s="16" t="s">
        <v>3921</v>
      </c>
      <c r="G69" s="16" t="s">
        <v>3922</v>
      </c>
      <c r="H69" s="16" t="s">
        <v>3923</v>
      </c>
      <c r="I69" s="8" t="str">
        <f t="shared" si="4"/>
        <v>LC→PDE</v>
      </c>
      <c r="J69" s="9" t="str">
        <f>IFERROR(__xludf.DUMMYFUNCTION("TEXT(VALUE(REGEXEXTRACT(B69,""^[+-]?[0-9]*\.?[0-9]+""))*100,""0.00"")&amp;"" +/- ""&amp;TEXT(VALUE(REGEXEXTRACT(B69,""[0-9]*\.?[0-9]+$""))*100,""0.00"")"),"23.76 +/- 0.35")</f>
        <v>23.76 +/- 0.35</v>
      </c>
      <c r="K69" s="10" t="str">
        <f>IFERROR(__xludf.DUMMYFUNCTION("TEXT(VALUE(REGEXEXTRACT(C69,""^[+-]?[0-9]*\.?[0-9]+""))*100,""0.00"")&amp;"" +/- ""&amp;TEXT(VALUE(REGEXEXTRACT(C69,""[0-9]*\.?[0-9]+$""))*100,""0.00"")"),"28.88 +/- 0.00")</f>
        <v>28.88 +/- 0.00</v>
      </c>
      <c r="L69" s="9" t="str">
        <f>IFERROR(__xludf.DUMMYFUNCTION("TEXT(VALUE(REGEXEXTRACT(D69,""^[+-]?[0-9]*\.?[0-9]+""))*100,""0.00"")&amp;"" +/- ""&amp;TEXT(VALUE(REGEXEXTRACT(D69,""[0-9]*\.?[0-9]+$""))*100,""0.00"")"),"26.54 +/- 0.00")</f>
        <v>26.54 +/- 0.00</v>
      </c>
      <c r="M69" s="9" t="str">
        <f>IFERROR(__xludf.DUMMYFUNCTION("TEXT(VALUE(REGEXEXTRACT(E69,""^[+-]?[0-9]*\.?[0-9]+""))*100,""0.00"")&amp;"" +/- ""&amp;TEXT(VALUE(REGEXEXTRACT(E69,""[0-9]*\.?[0-9]+$""))*100,""0.00"")"),"20.57 +/- 1.10")</f>
        <v>20.57 +/- 1.10</v>
      </c>
      <c r="N69" s="9" t="str">
        <f>IFERROR(__xludf.DUMMYFUNCTION("TEXT(VALUE(REGEXEXTRACT(F69,""^[+-]?[0-9]*\.?[0-9]+""))*100,""0.00"")&amp;"" +/- ""&amp;TEXT(VALUE(REGEXEXTRACT(F69,""[0-9]*\.?[0-9]+$""))*100,""0.00"")"),"18.93 +/- 0.70")</f>
        <v>18.93 +/- 0.70</v>
      </c>
      <c r="O69" s="9" t="str">
        <f>IFERROR(__xludf.DUMMYFUNCTION("TEXT(VALUE(REGEXEXTRACT(G69,""^[+-]?[0-9]*\.?[0-9]+""))*100,""0.00"")&amp;"" +/- ""&amp;TEXT(VALUE(REGEXEXTRACT(G69,""[0-9]*\.?[0-9]+$""))*100,""0.00"")"),"20.64 +/- 0.95")</f>
        <v>20.64 +/- 0.95</v>
      </c>
      <c r="P69" s="9" t="str">
        <f>IFERROR(__xludf.DUMMYFUNCTION("TEXT(VALUE(REGEXEXTRACT(H69,""^[+-]?[0-9]*\.?[0-9]+""))*100,""0.00"")&amp;"" +/- ""&amp;TEXT(VALUE(REGEXEXTRACT(H69,""[0-9]*\.?[0-9]+$""))*100,""0.00"")"),"21.03 +/- 0.49")</f>
        <v>21.03 +/- 0.49</v>
      </c>
    </row>
    <row r="70">
      <c r="A70" s="6" t="s">
        <v>1235</v>
      </c>
      <c r="B70" s="16" t="s">
        <v>3924</v>
      </c>
      <c r="C70" s="16" t="s">
        <v>3925</v>
      </c>
      <c r="D70" s="16" t="s">
        <v>3926</v>
      </c>
      <c r="E70" s="16" t="s">
        <v>3927</v>
      </c>
      <c r="F70" s="16" t="s">
        <v>3928</v>
      </c>
      <c r="G70" s="16" t="s">
        <v>3929</v>
      </c>
      <c r="H70" s="16" t="s">
        <v>3930</v>
      </c>
      <c r="I70" s="8" t="str">
        <f t="shared" si="4"/>
        <v>ML→EQ</v>
      </c>
      <c r="J70" s="10" t="str">
        <f>IFERROR(__xludf.DUMMYFUNCTION("TEXT(VALUE(REGEXEXTRACT(B70,""^[+-]?[0-9]*\.?[0-9]+""))*100,""0.00"")&amp;"" +/- ""&amp;TEXT(VALUE(REGEXEXTRACT(B70,""[0-9]*\.?[0-9]+$""))*100,""0.00"")"),"27.90 +/- 1.35")</f>
        <v>27.90 +/- 1.35</v>
      </c>
      <c r="K70" s="9" t="str">
        <f>IFERROR(__xludf.DUMMYFUNCTION("TEXT(VALUE(REGEXEXTRACT(C70,""^[+-]?[0-9]*\.?[0-9]+""))*100,""0.00"")&amp;"" +/- ""&amp;TEXT(VALUE(REGEXEXTRACT(C70,""[0-9]*\.?[0-9]+$""))*100,""0.00"")"),"18.09 +/- 0.00")</f>
        <v>18.09 +/- 0.00</v>
      </c>
      <c r="L70" s="9" t="str">
        <f>IFERROR(__xludf.DUMMYFUNCTION("TEXT(VALUE(REGEXEXTRACT(D70,""^[+-]?[0-9]*\.?[0-9]+""))*100,""0.00"")&amp;"" +/- ""&amp;TEXT(VALUE(REGEXEXTRACT(D70,""[0-9]*\.?[0-9]+$""))*100,""0.00"")"),"16.09 +/- 0.00")</f>
        <v>16.09 +/- 0.00</v>
      </c>
      <c r="M70" s="9" t="str">
        <f>IFERROR(__xludf.DUMMYFUNCTION("TEXT(VALUE(REGEXEXTRACT(E70,""^[+-]?[0-9]*\.?[0-9]+""))*100,""0.00"")&amp;"" +/- ""&amp;TEXT(VALUE(REGEXEXTRACT(E70,""[0-9]*\.?[0-9]+$""))*100,""0.00"")"),"25.07 +/- 2.20")</f>
        <v>25.07 +/- 2.20</v>
      </c>
      <c r="N70" s="9" t="str">
        <f>IFERROR(__xludf.DUMMYFUNCTION("TEXT(VALUE(REGEXEXTRACT(F70,""^[+-]?[0-9]*\.?[0-9]+""))*100,""0.00"")&amp;"" +/- ""&amp;TEXT(VALUE(REGEXEXTRACT(F70,""[0-9]*\.?[0-9]+$""))*100,""0.00"")"),"17.33 +/- 1.04")</f>
        <v>17.33 +/- 1.04</v>
      </c>
      <c r="O70" s="9" t="str">
        <f>IFERROR(__xludf.DUMMYFUNCTION("TEXT(VALUE(REGEXEXTRACT(G70,""^[+-]?[0-9]*\.?[0-9]+""))*100,""0.00"")&amp;"" +/- ""&amp;TEXT(VALUE(REGEXEXTRACT(G70,""[0-9]*\.?[0-9]+$""))*100,""0.00"")"),"21.80 +/- 2.46")</f>
        <v>21.80 +/- 2.46</v>
      </c>
      <c r="P70" s="9" t="str">
        <f>IFERROR(__xludf.DUMMYFUNCTION("TEXT(VALUE(REGEXEXTRACT(H70,""^[+-]?[0-9]*\.?[0-9]+""))*100,""0.00"")&amp;"" +/- ""&amp;TEXT(VALUE(REGEXEXTRACT(H70,""[0-9]*\.?[0-9]+$""))*100,""0.00"")"),"20.50 +/- 1.08")</f>
        <v>20.50 +/- 1.08</v>
      </c>
    </row>
    <row r="71">
      <c r="A71" s="6" t="s">
        <v>1243</v>
      </c>
      <c r="B71" s="16" t="s">
        <v>3931</v>
      </c>
      <c r="C71" s="16" t="s">
        <v>3932</v>
      </c>
      <c r="D71" s="16" t="s">
        <v>3933</v>
      </c>
      <c r="E71" s="16" t="s">
        <v>3934</v>
      </c>
      <c r="F71" s="16" t="s">
        <v>3935</v>
      </c>
      <c r="G71" s="16" t="s">
        <v>3936</v>
      </c>
      <c r="H71" s="16" t="s">
        <v>3937</v>
      </c>
      <c r="I71" s="8" t="str">
        <f t="shared" si="4"/>
        <v>ML→JDT</v>
      </c>
      <c r="J71" s="9" t="str">
        <f>IFERROR(__xludf.DUMMYFUNCTION("TEXT(VALUE(REGEXEXTRACT(B71,""^[+-]?[0-9]*\.?[0-9]+""))*100,""0.00"")&amp;"" +/- ""&amp;TEXT(VALUE(REGEXEXTRACT(B71,""[0-9]*\.?[0-9]+$""))*100,""0.00"")"),"34.81 +/- 0.98")</f>
        <v>34.81 +/- 0.98</v>
      </c>
      <c r="K71" s="9" t="str">
        <f>IFERROR(__xludf.DUMMYFUNCTION("TEXT(VALUE(REGEXEXTRACT(C71,""^[+-]?[0-9]*\.?[0-9]+""))*100,""0.00"")&amp;"" +/- ""&amp;TEXT(VALUE(REGEXEXTRACT(C71,""[0-9]*\.?[0-9]+$""))*100,""0.00"")"),"26.87 +/- 0.00")</f>
        <v>26.87 +/- 0.00</v>
      </c>
      <c r="L71" s="10" t="str">
        <f>IFERROR(__xludf.DUMMYFUNCTION("TEXT(VALUE(REGEXEXTRACT(D71,""^[+-]?[0-9]*\.?[0-9]+""))*100,""0.00"")&amp;"" +/- ""&amp;TEXT(VALUE(REGEXEXTRACT(D71,""[0-9]*\.?[0-9]+$""))*100,""0.00"")"),"37.58 +/- 0.00")</f>
        <v>37.58 +/- 0.00</v>
      </c>
      <c r="M71" s="9" t="str">
        <f>IFERROR(__xludf.DUMMYFUNCTION("TEXT(VALUE(REGEXEXTRACT(E71,""^[+-]?[0-9]*\.?[0-9]+""))*100,""0.00"")&amp;"" +/- ""&amp;TEXT(VALUE(REGEXEXTRACT(E71,""[0-9]*\.?[0-9]+$""))*100,""0.00"")"),"26.86 +/- 1.13")</f>
        <v>26.86 +/- 1.13</v>
      </c>
      <c r="N71" s="9" t="str">
        <f>IFERROR(__xludf.DUMMYFUNCTION("TEXT(VALUE(REGEXEXTRACT(F71,""^[+-]?[0-9]*\.?[0-9]+""))*100,""0.00"")&amp;"" +/- ""&amp;TEXT(VALUE(REGEXEXTRACT(F71,""[0-9]*\.?[0-9]+$""))*100,""0.00"")"),"20.41 +/- 0.98")</f>
        <v>20.41 +/- 0.98</v>
      </c>
      <c r="O71" s="9" t="str">
        <f>IFERROR(__xludf.DUMMYFUNCTION("TEXT(VALUE(REGEXEXTRACT(G71,""^[+-]?[0-9]*\.?[0-9]+""))*100,""0.00"")&amp;"" +/- ""&amp;TEXT(VALUE(REGEXEXTRACT(G71,""[0-9]*\.?[0-9]+$""))*100,""0.00"")"),"24.23 +/- 1.27")</f>
        <v>24.23 +/- 1.27</v>
      </c>
      <c r="P71" s="9" t="str">
        <f>IFERROR(__xludf.DUMMYFUNCTION("TEXT(VALUE(REGEXEXTRACT(H71,""^[+-]?[0-9]*\.?[0-9]+""))*100,""0.00"")&amp;"" +/- ""&amp;TEXT(VALUE(REGEXEXTRACT(H71,""[0-9]*\.?[0-9]+$""))*100,""0.00"")"),"14.58 +/- 1.19")</f>
        <v>14.58 +/- 1.19</v>
      </c>
    </row>
    <row r="72">
      <c r="A72" s="6" t="s">
        <v>1258</v>
      </c>
      <c r="B72" s="16" t="s">
        <v>3938</v>
      </c>
      <c r="C72" s="16" t="s">
        <v>3939</v>
      </c>
      <c r="D72" s="16" t="s">
        <v>3940</v>
      </c>
      <c r="E72" s="16" t="s">
        <v>3941</v>
      </c>
      <c r="F72" s="16" t="s">
        <v>3942</v>
      </c>
      <c r="G72" s="16" t="s">
        <v>3943</v>
      </c>
      <c r="H72" s="16" t="s">
        <v>3944</v>
      </c>
      <c r="I72" s="8" t="str">
        <f t="shared" si="4"/>
        <v>ML→LC</v>
      </c>
      <c r="J72" s="9" t="str">
        <f>IFERROR(__xludf.DUMMYFUNCTION("TEXT(VALUE(REGEXEXTRACT(B72,""^[+-]?[0-9]*\.?[0-9]+""))*100,""0.00"")&amp;"" +/- ""&amp;TEXT(VALUE(REGEXEXTRACT(B72,""[0-9]*\.?[0-9]+$""))*100,""0.00"")"),"19.39 +/- 1.02")</f>
        <v>19.39 +/- 1.02</v>
      </c>
      <c r="K72" s="9" t="str">
        <f>IFERROR(__xludf.DUMMYFUNCTION("TEXT(VALUE(REGEXEXTRACT(C72,""^[+-]?[0-9]*\.?[0-9]+""))*100,""0.00"")&amp;"" +/- ""&amp;TEXT(VALUE(REGEXEXTRACT(C72,""[0-9]*\.?[0-9]+$""))*100,""0.00"")"),"22.47 +/- 0.00")</f>
        <v>22.47 +/- 0.00</v>
      </c>
      <c r="L72" s="10" t="str">
        <f>IFERROR(__xludf.DUMMYFUNCTION("TEXT(VALUE(REGEXEXTRACT(D72,""^[+-]?[0-9]*\.?[0-9]+""))*100,""0.00"")&amp;"" +/- ""&amp;TEXT(VALUE(REGEXEXTRACT(D72,""[0-9]*\.?[0-9]+$""))*100,""0.00"")"),"22.21 +/- 0.00")</f>
        <v>22.21 +/- 0.00</v>
      </c>
      <c r="M72" s="9" t="str">
        <f>IFERROR(__xludf.DUMMYFUNCTION("TEXT(VALUE(REGEXEXTRACT(E72,""^[+-]?[0-9]*\.?[0-9]+""))*100,""0.00"")&amp;"" +/- ""&amp;TEXT(VALUE(REGEXEXTRACT(E72,""[0-9]*\.?[0-9]+$""))*100,""0.00"")"),"15.75 +/- 1.86")</f>
        <v>15.75 +/- 1.86</v>
      </c>
      <c r="N72" s="9" t="str">
        <f>IFERROR(__xludf.DUMMYFUNCTION("TEXT(VALUE(REGEXEXTRACT(F72,""^[+-]?[0-9]*\.?[0-9]+""))*100,""0.00"")&amp;"" +/- ""&amp;TEXT(VALUE(REGEXEXTRACT(F72,""[0-9]*\.?[0-9]+$""))*100,""0.00"")"),"14.95 +/- 0.71")</f>
        <v>14.95 +/- 0.71</v>
      </c>
      <c r="O72" s="9" t="str">
        <f>IFERROR(__xludf.DUMMYFUNCTION("TEXT(VALUE(REGEXEXTRACT(G72,""^[+-]?[0-9]*\.?[0-9]+""))*100,""0.00"")&amp;"" +/- ""&amp;TEXT(VALUE(REGEXEXTRACT(G72,""[0-9]*\.?[0-9]+$""))*100,""0.00"")"),"14.14 +/- 1.73")</f>
        <v>14.14 +/- 1.73</v>
      </c>
      <c r="P72" s="9" t="str">
        <f>IFERROR(__xludf.DUMMYFUNCTION("TEXT(VALUE(REGEXEXTRACT(H72,""^[+-]?[0-9]*\.?[0-9]+""))*100,""0.00"")&amp;"" +/- ""&amp;TEXT(VALUE(REGEXEXTRACT(H72,""[0-9]*\.?[0-9]+$""))*100,""0.00"")"),"6.58 +/- 1.43")</f>
        <v>6.58 +/- 1.43</v>
      </c>
    </row>
    <row r="73">
      <c r="A73" s="6" t="s">
        <v>1273</v>
      </c>
      <c r="B73" s="16" t="s">
        <v>3945</v>
      </c>
      <c r="C73" s="16" t="s">
        <v>3946</v>
      </c>
      <c r="D73" s="16" t="s">
        <v>3947</v>
      </c>
      <c r="E73" s="16" t="s">
        <v>3948</v>
      </c>
      <c r="F73" s="16" t="s">
        <v>3949</v>
      </c>
      <c r="G73" s="16" t="s">
        <v>3950</v>
      </c>
      <c r="H73" s="16" t="s">
        <v>3951</v>
      </c>
      <c r="I73" s="8" t="str">
        <f t="shared" si="4"/>
        <v>ML→PDE</v>
      </c>
      <c r="J73" s="9" t="str">
        <f>IFERROR(__xludf.DUMMYFUNCTION("TEXT(VALUE(REGEXEXTRACT(B73,""^[+-]?[0-9]*\.?[0-9]+""))*100,""0.00"")&amp;"" +/- ""&amp;TEXT(VALUE(REGEXEXTRACT(B73,""[0-9]*\.?[0-9]+$""))*100,""0.00"")"),"23.35 +/- 0.53")</f>
        <v>23.35 +/- 0.53</v>
      </c>
      <c r="K73" s="9" t="str">
        <f>IFERROR(__xludf.DUMMYFUNCTION("TEXT(VALUE(REGEXEXTRACT(C73,""^[+-]?[0-9]*\.?[0-9]+""))*100,""0.00"")&amp;"" +/- ""&amp;TEXT(VALUE(REGEXEXTRACT(C73,""[0-9]*\.?[0-9]+$""))*100,""0.00"")"),"20.18 +/- 0.00")</f>
        <v>20.18 +/- 0.00</v>
      </c>
      <c r="L73" s="10" t="str">
        <f>IFERROR(__xludf.DUMMYFUNCTION("TEXT(VALUE(REGEXEXTRACT(D73,""^[+-]?[0-9]*\.?[0-9]+""))*100,""0.00"")&amp;"" +/- ""&amp;TEXT(VALUE(REGEXEXTRACT(D73,""[0-9]*\.?[0-9]+$""))*100,""0.00"")"),"25.38 +/- 0.00")</f>
        <v>25.38 +/- 0.00</v>
      </c>
      <c r="M73" s="9" t="str">
        <f>IFERROR(__xludf.DUMMYFUNCTION("TEXT(VALUE(REGEXEXTRACT(E73,""^[+-]?[0-9]*\.?[0-9]+""))*100,""0.00"")&amp;"" +/- ""&amp;TEXT(VALUE(REGEXEXTRACT(E73,""[0-9]*\.?[0-9]+$""))*100,""0.00"")"),"18.13 +/- 1.22")</f>
        <v>18.13 +/- 1.22</v>
      </c>
      <c r="N73" s="9" t="str">
        <f>IFERROR(__xludf.DUMMYFUNCTION("TEXT(VALUE(REGEXEXTRACT(F73,""^[+-]?[0-9]*\.?[0-9]+""))*100,""0.00"")&amp;"" +/- ""&amp;TEXT(VALUE(REGEXEXTRACT(F73,""[0-9]*\.?[0-9]+$""))*100,""0.00"")"),"12.69 +/- 0.63")</f>
        <v>12.69 +/- 0.63</v>
      </c>
      <c r="O73" s="9" t="str">
        <f>IFERROR(__xludf.DUMMYFUNCTION("TEXT(VALUE(REGEXEXTRACT(G73,""^[+-]?[0-9]*\.?[0-9]+""))*100,""0.00"")&amp;"" +/- ""&amp;TEXT(VALUE(REGEXEXTRACT(G73,""[0-9]*\.?[0-9]+$""))*100,""0.00"")"),"15.66 +/- 0.90")</f>
        <v>15.66 +/- 0.90</v>
      </c>
      <c r="P73" s="9" t="str">
        <f>IFERROR(__xludf.DUMMYFUNCTION("TEXT(VALUE(REGEXEXTRACT(H73,""^[+-]?[0-9]*\.?[0-9]+""))*100,""0.00"")&amp;"" +/- ""&amp;TEXT(VALUE(REGEXEXTRACT(H73,""[0-9]*\.?[0-9]+$""))*100,""0.00"")"),"14.46 +/- 0.48")</f>
        <v>14.46 +/- 0.48</v>
      </c>
    </row>
    <row r="74">
      <c r="A74" s="6" t="s">
        <v>1288</v>
      </c>
      <c r="B74" s="16" t="s">
        <v>3952</v>
      </c>
      <c r="C74" s="16" t="s">
        <v>3953</v>
      </c>
      <c r="D74" s="16" t="s">
        <v>3200</v>
      </c>
      <c r="E74" s="16" t="s">
        <v>3954</v>
      </c>
      <c r="F74" s="16" t="s">
        <v>3955</v>
      </c>
      <c r="G74" s="16" t="s">
        <v>3956</v>
      </c>
      <c r="H74" s="16" t="s">
        <v>3957</v>
      </c>
      <c r="I74" s="8" t="str">
        <f t="shared" si="4"/>
        <v>PDE→EQ</v>
      </c>
      <c r="J74" s="9" t="str">
        <f>IFERROR(__xludf.DUMMYFUNCTION("TEXT(VALUE(REGEXEXTRACT(B74,""^[+-]?[0-9]*\.?[0-9]+""))*100,""0.00"")&amp;"" +/- ""&amp;TEXT(VALUE(REGEXEXTRACT(B74,""[0-9]*\.?[0-9]+$""))*100,""0.00"")"),"25.04 +/- 1.08")</f>
        <v>25.04 +/- 1.08</v>
      </c>
      <c r="K74" s="9" t="str">
        <f>IFERROR(__xludf.DUMMYFUNCTION("TEXT(VALUE(REGEXEXTRACT(C74,""^[+-]?[0-9]*\.?[0-9]+""))*100,""0.00"")&amp;"" +/- ""&amp;TEXT(VALUE(REGEXEXTRACT(C74,""[0-9]*\.?[0-9]+$""))*100,""0.00"")"),"21.10 +/- 0.00")</f>
        <v>21.10 +/- 0.00</v>
      </c>
      <c r="L74" s="9" t="str">
        <f>IFERROR(__xludf.DUMMYFUNCTION("TEXT(VALUE(REGEXEXTRACT(D74,""^[+-]?[0-9]*\.?[0-9]+""))*100,""0.00"")&amp;"" +/- ""&amp;TEXT(VALUE(REGEXEXTRACT(D74,""[0-9]*\.?[0-9]+$""))*100,""0.00"")"),"26.62 +/- 0.00")</f>
        <v>26.62 +/- 0.00</v>
      </c>
      <c r="M74" s="9" t="str">
        <f>IFERROR(__xludf.DUMMYFUNCTION("TEXT(VALUE(REGEXEXTRACT(E74,""^[+-]?[0-9]*\.?[0-9]+""))*100,""0.00"")&amp;"" +/- ""&amp;TEXT(VALUE(REGEXEXTRACT(E74,""[0-9]*\.?[0-9]+$""))*100,""0.00"")"),"32.55 +/- 2.63")</f>
        <v>32.55 +/- 2.63</v>
      </c>
      <c r="N74" s="9" t="str">
        <f>IFERROR(__xludf.DUMMYFUNCTION("TEXT(VALUE(REGEXEXTRACT(F74,""^[+-]?[0-9]*\.?[0-9]+""))*100,""0.00"")&amp;"" +/- ""&amp;TEXT(VALUE(REGEXEXTRACT(F74,""[0-9]*\.?[0-9]+$""))*100,""0.00"")"),"29.22 +/- 1.52")</f>
        <v>29.22 +/- 1.52</v>
      </c>
      <c r="O74" s="9" t="str">
        <f>IFERROR(__xludf.DUMMYFUNCTION("TEXT(VALUE(REGEXEXTRACT(G74,""^[+-]?[0-9]*\.?[0-9]+""))*100,""0.00"")&amp;"" +/- ""&amp;TEXT(VALUE(REGEXEXTRACT(G74,""[0-9]*\.?[0-9]+$""))*100,""0.00"")"),"30.69 +/- 1.59")</f>
        <v>30.69 +/- 1.59</v>
      </c>
      <c r="P74" s="10" t="str">
        <f>IFERROR(__xludf.DUMMYFUNCTION("TEXT(VALUE(REGEXEXTRACT(H74,""^[+-]?[0-9]*\.?[0-9]+""))*100,""0.00"")&amp;"" +/- ""&amp;TEXT(VALUE(REGEXEXTRACT(H74,""[0-9]*\.?[0-9]+$""))*100,""0.00"")"),"27.15 +/- 1.35")</f>
        <v>27.15 +/- 1.35</v>
      </c>
    </row>
    <row r="75">
      <c r="A75" s="6" t="s">
        <v>1303</v>
      </c>
      <c r="B75" s="16" t="s">
        <v>3958</v>
      </c>
      <c r="C75" s="16" t="s">
        <v>3959</v>
      </c>
      <c r="D75" s="16" t="s">
        <v>3960</v>
      </c>
      <c r="E75" s="16" t="s">
        <v>3961</v>
      </c>
      <c r="F75" s="16" t="s">
        <v>3962</v>
      </c>
      <c r="G75" s="16" t="s">
        <v>3963</v>
      </c>
      <c r="H75" s="16" t="s">
        <v>3964</v>
      </c>
      <c r="I75" s="8" t="str">
        <f t="shared" si="4"/>
        <v>PDE→JDT</v>
      </c>
      <c r="J75" s="10" t="str">
        <f>IFERROR(__xludf.DUMMYFUNCTION("TEXT(VALUE(REGEXEXTRACT(B75,""^[+-]?[0-9]*\.?[0-9]+""))*100,""0.00"")&amp;"" +/- ""&amp;TEXT(VALUE(REGEXEXTRACT(B75,""[0-9]*\.?[0-9]+$""))*100,""0.00"")"),"44.22 +/- 1.14")</f>
        <v>44.22 +/- 1.14</v>
      </c>
      <c r="K75" s="9" t="str">
        <f>IFERROR(__xludf.DUMMYFUNCTION("TEXT(VALUE(REGEXEXTRACT(C75,""^[+-]?[0-9]*\.?[0-9]+""))*100,""0.00"")&amp;"" +/- ""&amp;TEXT(VALUE(REGEXEXTRACT(C75,""[0-9]*\.?[0-9]+$""))*100,""0.00"")"),"35.50 +/- 0.00")</f>
        <v>35.50 +/- 0.00</v>
      </c>
      <c r="L75" s="9" t="str">
        <f>IFERROR(__xludf.DUMMYFUNCTION("TEXT(VALUE(REGEXEXTRACT(D75,""^[+-]?[0-9]*\.?[0-9]+""))*100,""0.00"")&amp;"" +/- ""&amp;TEXT(VALUE(REGEXEXTRACT(D75,""[0-9]*\.?[0-9]+$""))*100,""0.00"")"),"44.17 +/- 0.00")</f>
        <v>44.17 +/- 0.00</v>
      </c>
      <c r="M75" s="9" t="str">
        <f>IFERROR(__xludf.DUMMYFUNCTION("TEXT(VALUE(REGEXEXTRACT(E75,""^[+-]?[0-9]*\.?[0-9]+""))*100,""0.00"")&amp;"" +/- ""&amp;TEXT(VALUE(REGEXEXTRACT(E75,""[0-9]*\.?[0-9]+$""))*100,""0.00"")"),"34.58 +/- 3.09")</f>
        <v>34.58 +/- 3.09</v>
      </c>
      <c r="N75" s="9" t="str">
        <f>IFERROR(__xludf.DUMMYFUNCTION("TEXT(VALUE(REGEXEXTRACT(F75,""^[+-]?[0-9]*\.?[0-9]+""))*100,""0.00"")&amp;"" +/- ""&amp;TEXT(VALUE(REGEXEXTRACT(F75,""[0-9]*\.?[0-9]+$""))*100,""0.00"")"),"33.11 +/- 1.15")</f>
        <v>33.11 +/- 1.15</v>
      </c>
      <c r="O75" s="9" t="str">
        <f>IFERROR(__xludf.DUMMYFUNCTION("TEXT(VALUE(REGEXEXTRACT(G75,""^[+-]?[0-9]*\.?[0-9]+""))*100,""0.00"")&amp;"" +/- ""&amp;TEXT(VALUE(REGEXEXTRACT(G75,""[0-9]*\.?[0-9]+$""))*100,""0.00"")"),"35.90 +/- 1.70")</f>
        <v>35.90 +/- 1.70</v>
      </c>
      <c r="P75" s="9" t="str">
        <f>IFERROR(__xludf.DUMMYFUNCTION("TEXT(VALUE(REGEXEXTRACT(H75,""^[+-]?[0-9]*\.?[0-9]+""))*100,""0.00"")&amp;"" +/- ""&amp;TEXT(VALUE(REGEXEXTRACT(H75,""[0-9]*\.?[0-9]+$""))*100,""0.00"")"),"23.32 +/- 1.55")</f>
        <v>23.32 +/- 1.55</v>
      </c>
    </row>
    <row r="76">
      <c r="A76" s="6" t="s">
        <v>1311</v>
      </c>
      <c r="B76" s="16" t="s">
        <v>3965</v>
      </c>
      <c r="C76" s="16" t="s">
        <v>3966</v>
      </c>
      <c r="D76" s="16" t="s">
        <v>3967</v>
      </c>
      <c r="E76" s="16" t="s">
        <v>3968</v>
      </c>
      <c r="F76" s="16" t="s">
        <v>3969</v>
      </c>
      <c r="G76" s="16" t="s">
        <v>3970</v>
      </c>
      <c r="H76" s="16" t="s">
        <v>3971</v>
      </c>
      <c r="I76" s="8" t="str">
        <f t="shared" si="4"/>
        <v>PDE→LC</v>
      </c>
      <c r="J76" s="10" t="str">
        <f>IFERROR(__xludf.DUMMYFUNCTION("TEXT(VALUE(REGEXEXTRACT(B76,""^[+-]?[0-9]*\.?[0-9]+""))*100,""0.00"")&amp;"" +/- ""&amp;TEXT(VALUE(REGEXEXTRACT(B76,""[0-9]*\.?[0-9]+$""))*100,""0.00"")"),"29.14 +/- 1.57")</f>
        <v>29.14 +/- 1.57</v>
      </c>
      <c r="K76" s="9" t="str">
        <f>IFERROR(__xludf.DUMMYFUNCTION("TEXT(VALUE(REGEXEXTRACT(C76,""^[+-]?[0-9]*\.?[0-9]+""))*100,""0.00"")&amp;"" +/- ""&amp;TEXT(VALUE(REGEXEXTRACT(C76,""[0-9]*\.?[0-9]+$""))*100,""0.00"")"),"33.60 +/- 0.00")</f>
        <v>33.60 +/- 0.00</v>
      </c>
      <c r="L76" s="9" t="str">
        <f>IFERROR(__xludf.DUMMYFUNCTION("TEXT(VALUE(REGEXEXTRACT(D76,""^[+-]?[0-9]*\.?[0-9]+""))*100,""0.00"")&amp;"" +/- ""&amp;TEXT(VALUE(REGEXEXTRACT(D76,""[0-9]*\.?[0-9]+$""))*100,""0.00"")"),"28.71 +/- 0.00")</f>
        <v>28.71 +/- 0.00</v>
      </c>
      <c r="M76" s="9" t="str">
        <f>IFERROR(__xludf.DUMMYFUNCTION("TEXT(VALUE(REGEXEXTRACT(E76,""^[+-]?[0-9]*\.?[0-9]+""))*100,""0.00"")&amp;"" +/- ""&amp;TEXT(VALUE(REGEXEXTRACT(E76,""[0-9]*\.?[0-9]+$""))*100,""0.00"")"),"20.96 +/- 1.78")</f>
        <v>20.96 +/- 1.78</v>
      </c>
      <c r="N76" s="9" t="str">
        <f>IFERROR(__xludf.DUMMYFUNCTION("TEXT(VALUE(REGEXEXTRACT(F76,""^[+-]?[0-9]*\.?[0-9]+""))*100,""0.00"")&amp;"" +/- ""&amp;TEXT(VALUE(REGEXEXTRACT(F76,""[0-9]*\.?[0-9]+$""))*100,""0.00"")"),"21.01 +/- 1.29")</f>
        <v>21.01 +/- 1.29</v>
      </c>
      <c r="O76" s="9" t="str">
        <f>IFERROR(__xludf.DUMMYFUNCTION("TEXT(VALUE(REGEXEXTRACT(G76,""^[+-]?[0-9]*\.?[0-9]+""))*100,""0.00"")&amp;"" +/- ""&amp;TEXT(VALUE(REGEXEXTRACT(G76,""[0-9]*\.?[0-9]+$""))*100,""0.00"")"),"21.93 +/- 1.60")</f>
        <v>21.93 +/- 1.60</v>
      </c>
      <c r="P76" s="9" t="str">
        <f>IFERROR(__xludf.DUMMYFUNCTION("TEXT(VALUE(REGEXEXTRACT(H76,""^[+-]?[0-9]*\.?[0-9]+""))*100,""0.00"")&amp;"" +/- ""&amp;TEXT(VALUE(REGEXEXTRACT(H76,""[0-9]*\.?[0-9]+$""))*100,""0.00"")"),"6.18 +/- 1.93")</f>
        <v>6.18 +/- 1.93</v>
      </c>
    </row>
    <row r="77">
      <c r="A77" s="6" t="s">
        <v>1319</v>
      </c>
      <c r="B77" s="16" t="s">
        <v>3972</v>
      </c>
      <c r="C77" s="16" t="s">
        <v>3973</v>
      </c>
      <c r="D77" s="16" t="s">
        <v>3974</v>
      </c>
      <c r="E77" s="16" t="s">
        <v>3975</v>
      </c>
      <c r="F77" s="16" t="s">
        <v>3976</v>
      </c>
      <c r="G77" s="16" t="s">
        <v>3977</v>
      </c>
      <c r="H77" s="16" t="s">
        <v>3978</v>
      </c>
      <c r="I77" s="8" t="str">
        <f t="shared" si="4"/>
        <v>PDE→ML</v>
      </c>
      <c r="J77" s="10" t="str">
        <f>IFERROR(__xludf.DUMMYFUNCTION("TEXT(VALUE(REGEXEXTRACT(B77,""^[+-]?[0-9]*\.?[0-9]+""))*100,""0.00"")&amp;"" +/- ""&amp;TEXT(VALUE(REGEXEXTRACT(B77,""[0-9]*\.?[0-9]+$""))*100,""0.00"")"),"19.45 +/- 0.59")</f>
        <v>19.45 +/- 0.59</v>
      </c>
      <c r="K77" s="9" t="str">
        <f>IFERROR(__xludf.DUMMYFUNCTION("TEXT(VALUE(REGEXEXTRACT(C77,""^[+-]?[0-9]*\.?[0-9]+""))*100,""0.00"")&amp;"" +/- ""&amp;TEXT(VALUE(REGEXEXTRACT(C77,""[0-9]*\.?[0-9]+$""))*100,""0.00"")"),"17.07 +/- 0.00")</f>
        <v>17.07 +/- 0.00</v>
      </c>
      <c r="L77" s="9" t="str">
        <f>IFERROR(__xludf.DUMMYFUNCTION("TEXT(VALUE(REGEXEXTRACT(D77,""^[+-]?[0-9]*\.?[0-9]+""))*100,""0.00"")&amp;"" +/- ""&amp;TEXT(VALUE(REGEXEXTRACT(D77,""[0-9]*\.?[0-9]+$""))*100,""0.00"")"),"15.33 +/- 0.00")</f>
        <v>15.33 +/- 0.00</v>
      </c>
      <c r="M77" s="9" t="str">
        <f>IFERROR(__xludf.DUMMYFUNCTION("TEXT(VALUE(REGEXEXTRACT(E77,""^[+-]?[0-9]*\.?[0-9]+""))*100,""0.00"")&amp;"" +/- ""&amp;TEXT(VALUE(REGEXEXTRACT(E77,""[0-9]*\.?[0-9]+$""))*100,""0.00"")"),"11.25 +/- 1.35")</f>
        <v>11.25 +/- 1.35</v>
      </c>
      <c r="N77" s="9" t="str">
        <f>IFERROR(__xludf.DUMMYFUNCTION("TEXT(VALUE(REGEXEXTRACT(F77,""^[+-]?[0-9]*\.?[0-9]+""))*100,""0.00"")&amp;"" +/- ""&amp;TEXT(VALUE(REGEXEXTRACT(F77,""[0-9]*\.?[0-9]+$""))*100,""0.00"")"),"10.85 +/- 1.10")</f>
        <v>10.85 +/- 1.10</v>
      </c>
      <c r="O77" s="9" t="str">
        <f>IFERROR(__xludf.DUMMYFUNCTION("TEXT(VALUE(REGEXEXTRACT(G77,""^[+-]?[0-9]*\.?[0-9]+""))*100,""0.00"")&amp;"" +/- ""&amp;TEXT(VALUE(REGEXEXTRACT(G77,""[0-9]*\.?[0-9]+$""))*100,""0.00"")"),"12.26 +/- 1.03")</f>
        <v>12.26 +/- 1.03</v>
      </c>
      <c r="P77" s="9" t="str">
        <f>IFERROR(__xludf.DUMMYFUNCTION("TEXT(VALUE(REGEXEXTRACT(H77,""^[+-]?[0-9]*\.?[0-9]+""))*100,""0.00"")&amp;"" +/- ""&amp;TEXT(VALUE(REGEXEXTRACT(H77,""[0-9]*\.?[0-9]+$""))*100,""0.00"")"),"6.90 +/- 0.59")</f>
        <v>6.90 +/- 0.59</v>
      </c>
    </row>
    <row r="78">
      <c r="A78" s="6" t="s">
        <v>371</v>
      </c>
      <c r="B78" s="14"/>
      <c r="C78" s="21" t="s">
        <v>992</v>
      </c>
      <c r="D78" s="21" t="s">
        <v>474</v>
      </c>
      <c r="E78" s="21" t="s">
        <v>473</v>
      </c>
      <c r="F78" s="21" t="s">
        <v>473</v>
      </c>
      <c r="G78" s="21" t="s">
        <v>473</v>
      </c>
      <c r="H78" s="21" t="s">
        <v>473</v>
      </c>
      <c r="I78" s="8" t="str">
        <f t="shared" si="4"/>
        <v>W/T/L</v>
      </c>
      <c r="K78" s="20" t="str">
        <f>IFERROR(__xludf.DUMMYFUNCTION("SUM(ARRAYFORMULA(IFERROR(
  (VALUE(REGEXEXTRACT($J$58:$J$77,""^[+-]?[0-9]*\.?[0-9]+""))&gt;
   VALUE(REGEXEXTRACT(K$58:K$77,""^[+-]?[0-9]*\.?[0-9]+"")))*1,0)))
&amp;""/""&amp;
SUM(ARRAYFORMULA(IFERROR(
  (VALUE(REGEXEXTRACT($J$58:$J$77,""^[+-]?[0-9]*\.?[0-9]+""))=
 "&amp;"  VALUE(REGEXEXTRACT(K$58:K$77,""^[+-]?[0-9]*\.?[0-9]+"")))*1,0)))
&amp;""/""&amp;
SUM(ARRAYFORMULA(IFERROR(
  (VALUE(REGEXEXTRACT($J$58:$J$77,""^[+-]?[0-9]*\.?[0-9]+""))&lt;
   VALUE(REGEXEXTRACT(K$58:K$77,""^[+-]?[0-9]*\.?[0-9]+"")))*1,0)))"),"12/0/8")</f>
        <v>12/0/8</v>
      </c>
      <c r="L78" s="20" t="str">
        <f>IFERROR(__xludf.DUMMYFUNCTION("SUM(ARRAYFORMULA(IFERROR(
  (VALUE(REGEXEXTRACT($J$58:$J$77,""^[+-]?[0-9]*\.?[0-9]+""))&gt;
   VALUE(REGEXEXTRACT(L$58:L$77,""^[+-]?[0-9]*\.?[0-9]+"")))*1,0)))
&amp;""/""&amp;
SUM(ARRAYFORMULA(IFERROR(
  (VALUE(REGEXEXTRACT($J$58:$J$77,""^[+-]?[0-9]*\.?[0-9]+""))=
 "&amp;"  VALUE(REGEXEXTRACT(L$58:L$77,""^[+-]?[0-9]*\.?[0-9]+"")))*1,0)))
&amp;""/""&amp;
SUM(ARRAYFORMULA(IFERROR(
  (VALUE(REGEXEXTRACT($J$58:$J$77,""^[+-]?[0-9]*\.?[0-9]+""))&lt;
   VALUE(REGEXEXTRACT(L$58:L$77,""^[+-]?[0-9]*\.?[0-9]+"")))*1,0)))"),"11/0/9")</f>
        <v>11/0/9</v>
      </c>
      <c r="M78" s="20" t="str">
        <f>IFERROR(__xludf.DUMMYFUNCTION("SUM(ARRAYFORMULA(IFERROR(
  (VALUE(REGEXEXTRACT($J$58:$J$77,""^[+-]?[0-9]*\.?[0-9]+""))&gt;
   VALUE(REGEXEXTRACT(M$58:M$77,""^[+-]?[0-9]*\.?[0-9]+"")))*1,0)))
&amp;""/""&amp;
SUM(ARRAYFORMULA(IFERROR(
  (VALUE(REGEXEXTRACT($J$58:$J$77,""^[+-]?[0-9]*\.?[0-9]+""))=
 "&amp;"  VALUE(REGEXEXTRACT(M$58:M$77,""^[+-]?[0-9]*\.?[0-9]+"")))*1,0)))
&amp;""/""&amp;
SUM(ARRAYFORMULA(IFERROR(
  (VALUE(REGEXEXTRACT($J$58:$J$77,""^[+-]?[0-9]*\.?[0-9]+""))&lt;
   VALUE(REGEXEXTRACT(M$58:M$77,""^[+-]?[0-9]*\.?[0-9]+"")))*1,0)))"),"18/0/2")</f>
        <v>18/0/2</v>
      </c>
      <c r="N78" s="20" t="str">
        <f>IFERROR(__xludf.DUMMYFUNCTION("SUM(ARRAYFORMULA(IFERROR(
  (VALUE(REGEXEXTRACT($J$58:$J$77,""^[+-]?[0-9]*\.?[0-9]+""))&gt;
   VALUE(REGEXEXTRACT(N$58:N$77,""^[+-]?[0-9]*\.?[0-9]+"")))*1,0)))
&amp;""/""&amp;
SUM(ARRAYFORMULA(IFERROR(
  (VALUE(REGEXEXTRACT($J$58:$J$77,""^[+-]?[0-9]*\.?[0-9]+""))=
 "&amp;"  VALUE(REGEXEXTRACT(N$58:N$77,""^[+-]?[0-9]*\.?[0-9]+"")))*1,0)))
&amp;""/""&amp;
SUM(ARRAYFORMULA(IFERROR(
  (VALUE(REGEXEXTRACT($J$58:$J$77,""^[+-]?[0-9]*\.?[0-9]+""))&lt;
   VALUE(REGEXEXTRACT(N$58:N$77,""^[+-]?[0-9]*\.?[0-9]+"")))*1,0)))"),"18/0/2")</f>
        <v>18/0/2</v>
      </c>
      <c r="O78" s="20" t="str">
        <f>IFERROR(__xludf.DUMMYFUNCTION("SUM(ARRAYFORMULA(IFERROR(
  (VALUE(REGEXEXTRACT($J$58:$J$77,""^[+-]?[0-9]*\.?[0-9]+""))&gt;
   VALUE(REGEXEXTRACT(O$58:O$77,""^[+-]?[0-9]*\.?[0-9]+"")))*1,0)))
&amp;""/""&amp;
SUM(ARRAYFORMULA(IFERROR(
  (VALUE(REGEXEXTRACT($J$58:$J$77,""^[+-]?[0-9]*\.?[0-9]+""))=
 "&amp;"  VALUE(REGEXEXTRACT(O$58:O$77,""^[+-]?[0-9]*\.?[0-9]+"")))*1,0)))
&amp;""/""&amp;
SUM(ARRAYFORMULA(IFERROR(
  (VALUE(REGEXEXTRACT($J$58:$J$77,""^[+-]?[0-9]*\.?[0-9]+""))&lt;
   VALUE(REGEXEXTRACT(O$58:O$77,""^[+-]?[0-9]*\.?[0-9]+"")))*1,0)))"),"18/0/2")</f>
        <v>18/0/2</v>
      </c>
      <c r="P78" s="20" t="str">
        <f>IFERROR(__xludf.DUMMYFUNCTION("SUM(ARRAYFORMULA(IFERROR(
  (VALUE(REGEXEXTRACT($J$58:$J$77,""^[+-]?[0-9]*\.?[0-9]+""))&gt;
   VALUE(REGEXEXTRACT(P$58:P$77,""^[+-]?[0-9]*\.?[0-9]+"")))*1,0)))
&amp;""/""&amp;
SUM(ARRAYFORMULA(IFERROR(
  (VALUE(REGEXEXTRACT($J$58:$J$77,""^[+-]?[0-9]*\.?[0-9]+""))=
 "&amp;"  VALUE(REGEXEXTRACT(P$58:P$77,""^[+-]?[0-9]*\.?[0-9]+"")))*1,0)))
&amp;""/""&amp;
SUM(ARRAYFORMULA(IFERROR(
  (VALUE(REGEXEXTRACT($J$58:$J$77,""^[+-]?[0-9]*\.?[0-9]+""))&lt;
   VALUE(REGEXEXTRACT(P$58:P$77,""^[+-]?[0-9]*\.?[0-9]+"")))*1,0)))"),"18/0/2")</f>
        <v>18/0/2</v>
      </c>
    </row>
    <row r="79">
      <c r="A79" s="6" t="s">
        <v>489</v>
      </c>
      <c r="B79" s="14" t="s">
        <v>3838</v>
      </c>
      <c r="C79" s="14" t="s">
        <v>3979</v>
      </c>
      <c r="D79" s="14" t="s">
        <v>3980</v>
      </c>
      <c r="E79" s="14" t="s">
        <v>3981</v>
      </c>
      <c r="F79" s="14" t="s">
        <v>3982</v>
      </c>
      <c r="G79" s="14" t="s">
        <v>3983</v>
      </c>
      <c r="H79" s="14" t="s">
        <v>3984</v>
      </c>
      <c r="I79" s="8" t="str">
        <f t="shared" si="4"/>
        <v>Average (%)</v>
      </c>
      <c r="J79" s="14">
        <f>IFERROR(__xludf.DUMMYFUNCTION("ROUND(AVERAGE(ARRAYFORMULA(IFERROR(VALUE(REGEXEXTRACT(J$58:J$77,""^[+-]?[0-9]*\.?[0-9]+"")),""""))),2)"),25.99)</f>
        <v>25.99</v>
      </c>
      <c r="K79" s="14">
        <f>IFERROR(__xludf.DUMMYFUNCTION("ROUND(AVERAGE(ARRAYFORMULA(IFERROR(VALUE(REGEXEXTRACT(K$58:K$77,""^[+-]?[0-9]*\.?[0-9]+"")),""""))),2)"),23.98)</f>
        <v>23.98</v>
      </c>
      <c r="L79" s="14">
        <f>IFERROR(__xludf.DUMMYFUNCTION("ROUND(AVERAGE(ARRAYFORMULA(IFERROR(VALUE(REGEXEXTRACT(L$58:L$77,""^[+-]?[0-9]*\.?[0-9]+"")),""""))),2)"),19.22)</f>
        <v>19.22</v>
      </c>
      <c r="M79" s="14">
        <f>IFERROR(__xludf.DUMMYFUNCTION("ROUND(AVERAGE(ARRAYFORMULA(IFERROR(VALUE(REGEXEXTRACT(M$58:M$77,""^[+-]?[0-9]*\.?[0-9]+"")),""""))),2)"),22.3)</f>
        <v>22.3</v>
      </c>
      <c r="N79" s="14">
        <f>IFERROR(__xludf.DUMMYFUNCTION("ROUND(AVERAGE(ARRAYFORMULA(IFERROR(VALUE(REGEXEXTRACT(N$58:N$77,""^[+-]?[0-9]*\.?[0-9]+"")),""""))),2)"),19.77)</f>
        <v>19.77</v>
      </c>
      <c r="O79" s="14">
        <f>IFERROR(__xludf.DUMMYFUNCTION("ROUND(AVERAGE(ARRAYFORMULA(IFERROR(VALUE(REGEXEXTRACT(O$58:O$77,""^[+-]?[0-9]*\.?[0-9]+"")),""""))),2)"),22.01)</f>
        <v>22.01</v>
      </c>
      <c r="P79" s="14">
        <f>IFERROR(__xludf.DUMMYFUNCTION("ROUND(AVERAGE(ARRAYFORMULA(IFERROR(VALUE(REGEXEXTRACT(P$58:P$77,""^[+-]?[0-9]*\.?[0-9]+"")),""""))),2)"),17.55)</f>
        <v>17.55</v>
      </c>
    </row>
    <row r="80">
      <c r="A80" s="6" t="s">
        <v>1334</v>
      </c>
      <c r="B80" s="14"/>
      <c r="C80" s="34" t="s">
        <v>3429</v>
      </c>
      <c r="D80" s="34" t="s">
        <v>2792</v>
      </c>
      <c r="E80" s="34" t="s">
        <v>1972</v>
      </c>
      <c r="F80" s="34" t="s">
        <v>2793</v>
      </c>
      <c r="G80" s="34" t="s">
        <v>2794</v>
      </c>
      <c r="H80" s="34" t="s">
        <v>3985</v>
      </c>
      <c r="I80" s="8" t="str">
        <f t="shared" si="4"/>
        <v>Overall W/T/L</v>
      </c>
      <c r="K80" s="34" t="str">
        <f>IFERROR(__xludf.DUMMYFUNCTION("SUM(ARRAYFORMULA(IFERROR(REGEXMATCH($A$3:$A$77,""→"")*(VALUE(REGEXEXTRACT($J$3:$J$77,""^[+-]?[0-9]*\.?[0-9]+""))&gt;VALUE(REGEXEXTRACT(K$3:K$77,""^[+-]?[0-9]*\.?[0-9]+""))),0)))
&amp;""/""&amp;
SUM(ARRAYFORMULA(IFERROR(REGEXMATCH($A$3:$A$77,""→"")*(VALUE(REGEXEXTRAC"&amp;"T($J$3:$J$77,""^[+-]?[0-9]*\.?[0-9]+""))=VALUE(REGEXEXTRACT(K$3:K$77,""^[+-]?[0-9]*\.?[0-9]+""))),0)))
&amp;""/""&amp;
SUM(ARRAYFORMULA(IFERROR(REGEXMATCH($A$3:$A$77,""→"")*(VALUE(REGEXEXTRACT($J$3:$J$77,""^[+-]?[0-9]*\.?[0-9]+""))&lt;VALUE(REGEXEXTRACT(K$3:K$77,""^"&amp;"[+-]?[0-9]*\.?[0-9]+""))),0)))"),"46/2/18")</f>
        <v>46/2/18</v>
      </c>
      <c r="L80" s="34" t="str">
        <f>IFERROR(__xludf.DUMMYFUNCTION("SUM(ARRAYFORMULA(IFERROR(REGEXMATCH($A$3:$A$77,""→"")*(VALUE(REGEXEXTRACT($J$3:$J$77,""^[+-]?[0-9]*\.?[0-9]+""))&gt;VALUE(REGEXEXTRACT(L$3:L$77,""^[+-]?[0-9]*\.?[0-9]+""))),0)))
&amp;""/""&amp;
SUM(ARRAYFORMULA(IFERROR(REGEXMATCH($A$3:$A$77,""→"")*(VALUE(REGEXEXTRAC"&amp;"T($J$3:$J$77,""^[+-]?[0-9]*\.?[0-9]+""))=VALUE(REGEXEXTRACT(L$3:L$77,""^[+-]?[0-9]*\.?[0-9]+""))),0)))
&amp;""/""&amp;
SUM(ARRAYFORMULA(IFERROR(REGEXMATCH($A$3:$A$77,""→"")*(VALUE(REGEXEXTRACT($J$3:$J$77,""^[+-]?[0-9]*\.?[0-9]+""))&lt;VALUE(REGEXEXTRACT(L$3:L$77,""^"&amp;"[+-]?[0-9]*\.?[0-9]+""))),0)))"),"45/0/21")</f>
        <v>45/0/21</v>
      </c>
      <c r="M80" s="34" t="str">
        <f>IFERROR(__xludf.DUMMYFUNCTION("SUM(ARRAYFORMULA(IFERROR(REGEXMATCH($A$3:$A$77,""→"")*(VALUE(REGEXEXTRACT($J$3:$J$77,""^[+-]?[0-9]*\.?[0-9]+""))&gt;VALUE(REGEXEXTRACT(M$3:M$77,""^[+-]?[0-9]*\.?[0-9]+""))),0)))
&amp;""/""&amp;
SUM(ARRAYFORMULA(IFERROR(REGEXMATCH($A$3:$A$77,""→"")*(VALUE(REGEXEXTRAC"&amp;"T($J$3:$J$77,""^[+-]?[0-9]*\.?[0-9]+""))=VALUE(REGEXEXTRACT(M$3:M$77,""^[+-]?[0-9]*\.?[0-9]+""))),0)))
&amp;""/""&amp;
SUM(ARRAYFORMULA(IFERROR(REGEXMATCH($A$3:$A$77,""→"")*(VALUE(REGEXEXTRACT($J$3:$J$77,""^[+-]?[0-9]*\.?[0-9]+""))&lt;VALUE(REGEXEXTRACT(M$3:M$77,""^"&amp;"[+-]?[0-9]*\.?[0-9]+""))),0)))"),"49/2/15")</f>
        <v>49/2/15</v>
      </c>
      <c r="N80" s="34" t="str">
        <f>IFERROR(__xludf.DUMMYFUNCTION("SUM(ARRAYFORMULA(IFERROR(REGEXMATCH($A$3:$A$77,""→"")*(VALUE(REGEXEXTRACT($J$3:$J$77,""^[+-]?[0-9]*\.?[0-9]+""))&gt;VALUE(REGEXEXTRACT(N$3:N$77,""^[+-]?[0-9]*\.?[0-9]+""))),0)))
&amp;""/""&amp;
SUM(ARRAYFORMULA(IFERROR(REGEXMATCH($A$3:$A$77,""→"")*(VALUE(REGEXEXTRAC"&amp;"T($J$3:$J$77,""^[+-]?[0-9]*\.?[0-9]+""))=VALUE(REGEXEXTRACT(N$3:N$77,""^[+-]?[0-9]*\.?[0-9]+""))),0)))
&amp;""/""&amp;
SUM(ARRAYFORMULA(IFERROR(REGEXMATCH($A$3:$A$77,""→"")*(VALUE(REGEXEXTRACT($J$3:$J$77,""^[+-]?[0-9]*\.?[0-9]+""))&lt;VALUE(REGEXEXTRACT(N$3:N$77,""^"&amp;"[+-]?[0-9]*\.?[0-9]+""))),0)))"),"51/2/13")</f>
        <v>51/2/13</v>
      </c>
      <c r="O80" s="34" t="str">
        <f>IFERROR(__xludf.DUMMYFUNCTION("SUM(ARRAYFORMULA(IFERROR(REGEXMATCH($A$3:$A$77,""→"")*(VALUE(REGEXEXTRACT($J$3:$J$77,""^[+-]?[0-9]*\.?[0-9]+""))&gt;VALUE(REGEXEXTRACT(O$3:O$77,""^[+-]?[0-9]*\.?[0-9]+""))),0)))
&amp;""/""&amp;
SUM(ARRAYFORMULA(IFERROR(REGEXMATCH($A$3:$A$77,""→"")*(VALUE(REGEXEXTRAC"&amp;"T($J$3:$J$77,""^[+-]?[0-9]*\.?[0-9]+""))=VALUE(REGEXEXTRACT(O$3:O$77,""^[+-]?[0-9]*\.?[0-9]+""))),0)))
&amp;""/""&amp;
SUM(ARRAYFORMULA(IFERROR(REGEXMATCH($A$3:$A$77,""→"")*(VALUE(REGEXEXTRACT($J$3:$J$77,""^[+-]?[0-9]*\.?[0-9]+""))&lt;VALUE(REGEXEXTRACT(O$3:O$77,""^"&amp;"[+-]?[0-9]*\.?[0-9]+""))),0)))"),"53/2/11")</f>
        <v>53/2/11</v>
      </c>
      <c r="P80" s="34" t="str">
        <f>IFERROR(__xludf.DUMMYFUNCTION("SUM(ARRAYFORMULA(IFERROR(REGEXMATCH($A$3:$A$77,""→"")*(VALUE(REGEXEXTRACT($J$3:$J$77,""^[+-]?[0-9]*\.?[0-9]+""))&gt;VALUE(REGEXEXTRACT(P$3:P$77,""^[+-]?[0-9]*\.?[0-9]+""))),0)))
&amp;""/""&amp;
SUM(ARRAYFORMULA(IFERROR(REGEXMATCH($A$3:$A$77,""→"")*(VALUE(REGEXEXTRAC"&amp;"T($J$3:$J$77,""^[+-]?[0-9]*\.?[0-9]+""))=VALUE(REGEXEXTRACT(P$3:P$77,""^[+-]?[0-9]*\.?[0-9]+""))),0)))
&amp;""/""&amp;
SUM(ARRAYFORMULA(IFERROR(REGEXMATCH($A$3:$A$77,""→"")*(VALUE(REGEXEXTRACT($J$3:$J$77,""^[+-]?[0-9]*\.?[0-9]+""))&lt;VALUE(REGEXEXTRACT(P$3:P$77,""^"&amp;"[+-]?[0-9]*\.?[0-9]+""))),0)))"),"54/2/10")</f>
        <v>54/2/10</v>
      </c>
    </row>
    <row r="81">
      <c r="A81" s="6" t="s">
        <v>1348</v>
      </c>
      <c r="B81" s="35">
        <v>23.12</v>
      </c>
      <c r="C81" s="35">
        <v>17.93</v>
      </c>
      <c r="D81" s="35">
        <v>15.39</v>
      </c>
      <c r="E81" s="35">
        <v>20.3</v>
      </c>
      <c r="F81" s="35">
        <v>18.56</v>
      </c>
      <c r="G81" s="35">
        <v>19.89</v>
      </c>
      <c r="H81" s="35">
        <v>15.87</v>
      </c>
      <c r="I81" s="8" t="str">
        <f t="shared" si="4"/>
        <v>Overall Average (%)</v>
      </c>
      <c r="J81" s="9">
        <f>IFERROR(__xludf.DUMMYFUNCTION("ROUND(AVERAGE(ARRAYFORMULA(IFERROR(VALUE(REGEXEXTRACT(FILTER(J$3:J$77,REGEXMATCH($A$3:$A$77,""→"")),""^[+-]?[0-9]*\.?[0-9]+"")),""""))),2)"),23.12)</f>
        <v>23.12</v>
      </c>
      <c r="K81" s="9">
        <f>IFERROR(__xludf.DUMMYFUNCTION("ROUND(AVERAGE(ARRAYFORMULA(IFERROR(VALUE(REGEXEXTRACT(FILTER(K$3:K$77,REGEXMATCH($A$3:$A$77,""→"")),""^[+-]?[0-9]*\.?[0-9]+"")),""""))),2)"),17.93)</f>
        <v>17.93</v>
      </c>
      <c r="L81" s="9">
        <f>IFERROR(__xludf.DUMMYFUNCTION("ROUND(AVERAGE(ARRAYFORMULA(IFERROR(VALUE(REGEXEXTRACT(FILTER(L$3:L$77,REGEXMATCH($A$3:$A$77,""→"")),""^[+-]?[0-9]*\.?[0-9]+"")),""""))),2)"),15.38)</f>
        <v>15.38</v>
      </c>
      <c r="M81" s="9">
        <f>IFERROR(__xludf.DUMMYFUNCTION("ROUND(AVERAGE(ARRAYFORMULA(IFERROR(VALUE(REGEXEXTRACT(FILTER(M$3:M$77,REGEXMATCH($A$3:$A$77,""→"")),""^[+-]?[0-9]*\.?[0-9]+"")),""""))),2)"),20.3)</f>
        <v>20.3</v>
      </c>
      <c r="N81" s="9">
        <f>IFERROR(__xludf.DUMMYFUNCTION("ROUND(AVERAGE(ARRAYFORMULA(IFERROR(VALUE(REGEXEXTRACT(FILTER(N$3:N$77,REGEXMATCH($A$3:$A$77,""→"")),""^[+-]?[0-9]*\.?[0-9]+"")),""""))),2)"),18.56)</f>
        <v>18.56</v>
      </c>
      <c r="O81" s="9">
        <f>IFERROR(__xludf.DUMMYFUNCTION("ROUND(AVERAGE(ARRAYFORMULA(IFERROR(VALUE(REGEXEXTRACT(FILTER(O$3:O$77,REGEXMATCH($A$3:$A$77,""→"")),""^[+-]?[0-9]*\.?[0-9]+"")),""""))),2)"),19.89)</f>
        <v>19.89</v>
      </c>
      <c r="P81" s="9">
        <f>IFERROR(__xludf.DUMMYFUNCTION("ROUND(AVERAGE(ARRAYFORMULA(IFERROR(VALUE(REGEXEXTRACT(FILTER(P$3:P$77,REGEXMATCH($A$3:$A$77,""→"")),""^[+-]?[0-9]*\.?[0-9]+"")),""""))),2)"),15.87)</f>
        <v>15.87</v>
      </c>
    </row>
    <row r="82">
      <c r="A82" s="31"/>
      <c r="B82" s="16"/>
      <c r="C82" s="46"/>
      <c r="D82" s="46"/>
      <c r="E82" s="46"/>
      <c r="F82" s="46"/>
      <c r="G82" s="46"/>
      <c r="H82" s="46"/>
      <c r="I82" s="38"/>
    </row>
    <row r="83">
      <c r="A83" s="10"/>
      <c r="I83" s="38"/>
    </row>
    <row r="84">
      <c r="A84" s="10"/>
      <c r="I84" s="10"/>
    </row>
    <row r="85">
      <c r="A85" s="10"/>
      <c r="I85" s="10"/>
    </row>
    <row r="86">
      <c r="A86" s="10"/>
      <c r="I86" s="10"/>
    </row>
    <row r="87">
      <c r="A87" s="10"/>
      <c r="I87" s="10"/>
    </row>
    <row r="88">
      <c r="A88" s="10"/>
      <c r="I88" s="10"/>
    </row>
    <row r="89">
      <c r="A89" s="10"/>
      <c r="I89" s="10"/>
    </row>
    <row r="90">
      <c r="A90" s="10"/>
      <c r="I90" s="10"/>
    </row>
    <row r="91">
      <c r="A91" s="10"/>
      <c r="I91" s="10"/>
    </row>
    <row r="92">
      <c r="A92" s="10"/>
      <c r="I92" s="10"/>
    </row>
    <row r="93">
      <c r="A93" s="10"/>
      <c r="I93" s="10"/>
    </row>
    <row r="94">
      <c r="A94" s="10"/>
      <c r="I94" s="10"/>
    </row>
    <row r="95">
      <c r="A95" s="10"/>
      <c r="I95" s="10"/>
    </row>
    <row r="96">
      <c r="A96" s="10"/>
      <c r="I96" s="10"/>
    </row>
    <row r="97">
      <c r="A97" s="10"/>
      <c r="I97" s="10"/>
    </row>
    <row r="98">
      <c r="A98" s="10"/>
      <c r="I98" s="10"/>
    </row>
    <row r="99">
      <c r="A99" s="10"/>
      <c r="I99" s="10"/>
    </row>
    <row r="100">
      <c r="A100" s="10"/>
      <c r="I100" s="10"/>
    </row>
    <row r="101">
      <c r="A101" s="10"/>
      <c r="I101" s="10"/>
    </row>
    <row r="102">
      <c r="A102" s="10"/>
      <c r="I102" s="10"/>
    </row>
    <row r="103">
      <c r="A103" s="10"/>
      <c r="I103" s="10"/>
    </row>
    <row r="104">
      <c r="A104" s="10"/>
      <c r="I104" s="10"/>
    </row>
    <row r="105">
      <c r="A105" s="10"/>
      <c r="I105" s="10"/>
    </row>
    <row r="106">
      <c r="A106" s="10"/>
      <c r="I106" s="10"/>
    </row>
    <row r="107">
      <c r="A107" s="10"/>
      <c r="I107" s="10"/>
    </row>
    <row r="108">
      <c r="A108" s="10"/>
      <c r="I108" s="10"/>
    </row>
    <row r="109">
      <c r="A109" s="10"/>
      <c r="I109" s="10"/>
    </row>
    <row r="110">
      <c r="A110" s="10"/>
      <c r="I110" s="10"/>
    </row>
    <row r="111">
      <c r="A111" s="10"/>
      <c r="I111" s="10"/>
    </row>
    <row r="112">
      <c r="A112" s="10"/>
      <c r="I112" s="10"/>
    </row>
    <row r="113">
      <c r="A113" s="10"/>
      <c r="I113" s="10"/>
    </row>
    <row r="114">
      <c r="A114" s="10"/>
      <c r="I114" s="10"/>
    </row>
    <row r="115">
      <c r="A115" s="10"/>
      <c r="I115" s="10"/>
    </row>
    <row r="116">
      <c r="A116" s="10"/>
      <c r="I116" s="10"/>
    </row>
    <row r="117">
      <c r="A117" s="10"/>
      <c r="I117" s="10"/>
    </row>
    <row r="118">
      <c r="A118" s="10"/>
      <c r="I118" s="10"/>
    </row>
    <row r="119">
      <c r="A119" s="10"/>
      <c r="I119" s="10"/>
    </row>
    <row r="120">
      <c r="A120" s="10"/>
      <c r="I120" s="10"/>
    </row>
    <row r="121">
      <c r="A121" s="10"/>
      <c r="I121" s="10"/>
    </row>
    <row r="122">
      <c r="A122" s="10"/>
      <c r="I122" s="10"/>
    </row>
    <row r="123">
      <c r="A123" s="10"/>
      <c r="I123" s="10"/>
    </row>
    <row r="124">
      <c r="A124" s="10"/>
      <c r="I124" s="10"/>
    </row>
    <row r="125">
      <c r="A125" s="10"/>
      <c r="I125" s="10"/>
    </row>
    <row r="126">
      <c r="A126" s="10"/>
      <c r="I126" s="10"/>
    </row>
    <row r="127">
      <c r="A127" s="10"/>
      <c r="I127" s="10"/>
    </row>
    <row r="128">
      <c r="A128" s="10"/>
      <c r="I128" s="10"/>
    </row>
    <row r="129">
      <c r="A129" s="10"/>
      <c r="I129" s="10"/>
    </row>
    <row r="130">
      <c r="A130" s="10"/>
      <c r="I130" s="10"/>
    </row>
    <row r="131">
      <c r="A131" s="10"/>
      <c r="I131" s="10"/>
    </row>
    <row r="132">
      <c r="A132" s="10"/>
      <c r="I132" s="10"/>
    </row>
    <row r="133">
      <c r="A133" s="10"/>
      <c r="I133" s="10"/>
    </row>
    <row r="134">
      <c r="A134" s="10"/>
      <c r="I134" s="10"/>
    </row>
    <row r="135">
      <c r="A135" s="10"/>
      <c r="I135" s="10"/>
    </row>
    <row r="136">
      <c r="A136" s="10"/>
      <c r="I136" s="10"/>
    </row>
    <row r="137">
      <c r="A137" s="10"/>
      <c r="I137" s="10"/>
    </row>
    <row r="138">
      <c r="A138" s="10"/>
      <c r="I138" s="10"/>
    </row>
    <row r="139">
      <c r="A139" s="10"/>
      <c r="I139" s="10"/>
    </row>
    <row r="140">
      <c r="A140" s="10"/>
      <c r="I140" s="10"/>
    </row>
    <row r="141">
      <c r="A141" s="10"/>
      <c r="I141" s="10"/>
    </row>
    <row r="142">
      <c r="A142" s="10"/>
      <c r="I142" s="10"/>
    </row>
    <row r="143">
      <c r="A143" s="10"/>
      <c r="I143" s="10"/>
    </row>
    <row r="144">
      <c r="A144" s="10"/>
      <c r="I144" s="10"/>
    </row>
    <row r="145">
      <c r="A145" s="10"/>
      <c r="I145" s="10"/>
    </row>
    <row r="146">
      <c r="A146" s="10"/>
      <c r="I146" s="10"/>
    </row>
    <row r="147">
      <c r="A147" s="10"/>
      <c r="I147" s="10"/>
    </row>
    <row r="148">
      <c r="A148" s="10"/>
      <c r="I148" s="10"/>
    </row>
    <row r="149">
      <c r="A149" s="10"/>
      <c r="I149" s="10"/>
    </row>
    <row r="150">
      <c r="A150" s="10"/>
      <c r="I150" s="10"/>
    </row>
    <row r="151">
      <c r="A151" s="10"/>
      <c r="I151" s="10"/>
    </row>
    <row r="152">
      <c r="A152" s="10"/>
      <c r="I152" s="10"/>
    </row>
    <row r="153">
      <c r="A153" s="10"/>
      <c r="I153" s="10"/>
    </row>
    <row r="154">
      <c r="A154" s="10"/>
      <c r="I154" s="10"/>
    </row>
    <row r="155">
      <c r="A155" s="10"/>
      <c r="I155" s="10"/>
    </row>
    <row r="156">
      <c r="A156" s="10"/>
      <c r="I156" s="10"/>
    </row>
    <row r="157">
      <c r="A157" s="10"/>
      <c r="I157" s="10"/>
    </row>
    <row r="158">
      <c r="A158" s="10"/>
      <c r="I158" s="10"/>
    </row>
    <row r="159">
      <c r="A159" s="10"/>
      <c r="I159" s="10"/>
    </row>
    <row r="160">
      <c r="A160" s="10"/>
      <c r="I160" s="10"/>
    </row>
    <row r="161">
      <c r="A161" s="10"/>
      <c r="I161" s="10"/>
    </row>
    <row r="162">
      <c r="A162" s="10"/>
      <c r="I162" s="10"/>
    </row>
    <row r="163">
      <c r="A163" s="10"/>
      <c r="I163" s="10"/>
    </row>
    <row r="164">
      <c r="A164" s="10"/>
      <c r="I164" s="10"/>
    </row>
    <row r="165">
      <c r="A165" s="10"/>
      <c r="I165" s="10"/>
    </row>
    <row r="166">
      <c r="A166" s="10"/>
      <c r="I166" s="10"/>
    </row>
    <row r="167">
      <c r="A167" s="10"/>
      <c r="I167" s="10"/>
    </row>
    <row r="168">
      <c r="A168" s="10"/>
      <c r="I168" s="10"/>
    </row>
    <row r="169">
      <c r="A169" s="10"/>
      <c r="I169" s="10"/>
    </row>
    <row r="170">
      <c r="A170" s="10"/>
      <c r="I170" s="10"/>
    </row>
    <row r="171">
      <c r="A171" s="10"/>
      <c r="I171" s="10"/>
    </row>
    <row r="172">
      <c r="A172" s="10"/>
      <c r="I172" s="10"/>
    </row>
    <row r="173">
      <c r="A173" s="10"/>
      <c r="I173" s="10"/>
    </row>
    <row r="174">
      <c r="A174" s="10"/>
      <c r="I174" s="10"/>
    </row>
    <row r="175">
      <c r="A175" s="10"/>
      <c r="I175" s="10"/>
    </row>
    <row r="176">
      <c r="A176" s="10"/>
      <c r="I176" s="10"/>
    </row>
    <row r="177">
      <c r="A177" s="10"/>
      <c r="I177" s="10"/>
    </row>
    <row r="178">
      <c r="A178" s="10"/>
      <c r="I178" s="10"/>
    </row>
    <row r="179">
      <c r="A179" s="10"/>
      <c r="I179" s="10"/>
    </row>
    <row r="180">
      <c r="A180" s="10"/>
      <c r="I180" s="10"/>
    </row>
    <row r="181">
      <c r="A181" s="10"/>
      <c r="I181" s="10"/>
    </row>
    <row r="182">
      <c r="A182" s="10"/>
      <c r="I182" s="10"/>
    </row>
    <row r="183">
      <c r="A183" s="10"/>
      <c r="I183" s="10"/>
    </row>
    <row r="184">
      <c r="A184" s="10"/>
      <c r="I184" s="10"/>
    </row>
    <row r="185">
      <c r="A185" s="10"/>
      <c r="I185" s="10"/>
    </row>
    <row r="186">
      <c r="A186" s="10"/>
      <c r="I186" s="10"/>
    </row>
    <row r="187">
      <c r="A187" s="10"/>
      <c r="I187" s="10"/>
    </row>
    <row r="188">
      <c r="A188" s="10"/>
      <c r="I188" s="10"/>
    </row>
    <row r="189">
      <c r="A189" s="10"/>
      <c r="I189" s="10"/>
    </row>
    <row r="190">
      <c r="A190" s="10"/>
      <c r="I190" s="10"/>
    </row>
    <row r="191">
      <c r="A191" s="10"/>
      <c r="I191" s="10"/>
    </row>
    <row r="192">
      <c r="A192" s="10"/>
      <c r="I192" s="10"/>
    </row>
    <row r="193">
      <c r="A193" s="10"/>
      <c r="I193" s="10"/>
    </row>
    <row r="194">
      <c r="A194" s="10"/>
      <c r="I194" s="10"/>
    </row>
    <row r="195">
      <c r="A195" s="10"/>
      <c r="I195" s="10"/>
    </row>
    <row r="196">
      <c r="A196" s="10"/>
      <c r="I196" s="10"/>
    </row>
    <row r="197">
      <c r="A197" s="10"/>
      <c r="I197" s="10"/>
    </row>
    <row r="198">
      <c r="A198" s="10"/>
      <c r="I198" s="10"/>
    </row>
    <row r="199">
      <c r="A199" s="10"/>
      <c r="I199" s="10"/>
    </row>
    <row r="200">
      <c r="A200" s="10"/>
      <c r="I200" s="10"/>
    </row>
    <row r="201">
      <c r="A201" s="10"/>
      <c r="I201" s="10"/>
    </row>
    <row r="202">
      <c r="A202" s="10"/>
      <c r="I202" s="10"/>
    </row>
    <row r="203">
      <c r="A203" s="10"/>
      <c r="I203" s="10"/>
    </row>
    <row r="204">
      <c r="A204" s="10"/>
      <c r="I204" s="10"/>
    </row>
    <row r="205">
      <c r="A205" s="10"/>
      <c r="I205" s="10"/>
    </row>
    <row r="206">
      <c r="A206" s="10"/>
      <c r="I206" s="10"/>
    </row>
    <row r="207">
      <c r="A207" s="10"/>
      <c r="I207" s="10"/>
    </row>
    <row r="208">
      <c r="A208" s="10"/>
      <c r="I208" s="10"/>
    </row>
    <row r="209">
      <c r="A209" s="10"/>
      <c r="I209" s="10"/>
    </row>
    <row r="210">
      <c r="A210" s="10"/>
      <c r="I210" s="10"/>
    </row>
    <row r="211">
      <c r="A211" s="10"/>
      <c r="I211" s="10"/>
    </row>
    <row r="212">
      <c r="A212" s="10"/>
      <c r="I212" s="10"/>
    </row>
    <row r="213">
      <c r="A213" s="10"/>
      <c r="I213" s="10"/>
    </row>
    <row r="214">
      <c r="A214" s="10"/>
      <c r="I214" s="10"/>
    </row>
    <row r="215">
      <c r="A215" s="10"/>
      <c r="I215" s="10"/>
    </row>
    <row r="216">
      <c r="A216" s="10"/>
      <c r="I216" s="10"/>
    </row>
    <row r="217">
      <c r="A217" s="10"/>
      <c r="I217" s="10"/>
    </row>
    <row r="218">
      <c r="A218" s="10"/>
      <c r="I218" s="10"/>
    </row>
    <row r="219">
      <c r="A219" s="10"/>
      <c r="I219" s="10"/>
    </row>
    <row r="220">
      <c r="A220" s="10"/>
      <c r="I220" s="10"/>
    </row>
    <row r="221">
      <c r="A221" s="10"/>
      <c r="I221" s="10"/>
    </row>
    <row r="222">
      <c r="A222" s="10"/>
      <c r="I222" s="10"/>
    </row>
    <row r="223">
      <c r="A223" s="10"/>
      <c r="I223" s="10"/>
    </row>
    <row r="224">
      <c r="A224" s="10"/>
      <c r="I224" s="10"/>
    </row>
    <row r="225">
      <c r="A225" s="10"/>
      <c r="I225" s="10"/>
    </row>
    <row r="226">
      <c r="A226" s="10"/>
      <c r="I226" s="10"/>
    </row>
    <row r="227">
      <c r="A227" s="10"/>
      <c r="I227" s="10"/>
    </row>
    <row r="228">
      <c r="A228" s="10"/>
      <c r="I228" s="10"/>
    </row>
    <row r="229">
      <c r="A229" s="10"/>
      <c r="I229" s="10"/>
    </row>
    <row r="230">
      <c r="A230" s="10"/>
      <c r="I230" s="10"/>
    </row>
    <row r="231">
      <c r="A231" s="10"/>
      <c r="I231" s="10"/>
    </row>
    <row r="232">
      <c r="A232" s="10"/>
      <c r="I232" s="10"/>
    </row>
    <row r="233">
      <c r="A233" s="10"/>
      <c r="I233" s="10"/>
    </row>
    <row r="234">
      <c r="A234" s="10"/>
      <c r="I234" s="10"/>
    </row>
    <row r="235">
      <c r="A235" s="10"/>
      <c r="I235" s="10"/>
    </row>
    <row r="236">
      <c r="A236" s="10"/>
      <c r="I236" s="10"/>
    </row>
    <row r="237">
      <c r="A237" s="10"/>
      <c r="I237" s="10"/>
    </row>
    <row r="238">
      <c r="A238" s="10"/>
      <c r="I238" s="10"/>
    </row>
    <row r="239">
      <c r="A239" s="10"/>
      <c r="I239" s="10"/>
    </row>
    <row r="240">
      <c r="A240" s="10"/>
      <c r="I240" s="10"/>
    </row>
    <row r="241">
      <c r="A241" s="10"/>
      <c r="I241" s="10"/>
    </row>
    <row r="242">
      <c r="A242" s="10"/>
      <c r="I242" s="10"/>
    </row>
    <row r="243">
      <c r="A243" s="10"/>
      <c r="I243" s="10"/>
    </row>
    <row r="244">
      <c r="A244" s="10"/>
      <c r="I244" s="10"/>
    </row>
    <row r="245">
      <c r="A245" s="10"/>
      <c r="I245" s="10"/>
    </row>
    <row r="246">
      <c r="A246" s="10"/>
      <c r="I246" s="10"/>
    </row>
    <row r="247">
      <c r="A247" s="10"/>
      <c r="I247" s="10"/>
    </row>
    <row r="248">
      <c r="A248" s="10"/>
      <c r="I248" s="10"/>
    </row>
    <row r="249">
      <c r="A249" s="10"/>
      <c r="I249" s="10"/>
    </row>
    <row r="250">
      <c r="A250" s="10"/>
      <c r="I250" s="10"/>
    </row>
    <row r="251">
      <c r="A251" s="10"/>
      <c r="I251" s="10"/>
    </row>
    <row r="252">
      <c r="A252" s="10"/>
      <c r="I252" s="10"/>
    </row>
    <row r="253">
      <c r="A253" s="10"/>
      <c r="I253" s="10"/>
    </row>
    <row r="254">
      <c r="A254" s="10"/>
      <c r="I254" s="10"/>
    </row>
    <row r="255">
      <c r="A255" s="10"/>
      <c r="I255" s="10"/>
    </row>
    <row r="256">
      <c r="A256" s="10"/>
      <c r="I256" s="10"/>
    </row>
    <row r="257">
      <c r="A257" s="10"/>
      <c r="I257" s="10"/>
    </row>
    <row r="258">
      <c r="A258" s="10"/>
      <c r="I258" s="10"/>
    </row>
    <row r="259">
      <c r="A259" s="10"/>
      <c r="I259" s="10"/>
    </row>
    <row r="260">
      <c r="A260" s="10"/>
      <c r="I260" s="10"/>
    </row>
    <row r="261">
      <c r="A261" s="10"/>
      <c r="I261" s="10"/>
    </row>
    <row r="262">
      <c r="A262" s="10"/>
      <c r="I262" s="10"/>
    </row>
    <row r="263">
      <c r="A263" s="10"/>
      <c r="I263" s="10"/>
    </row>
    <row r="264">
      <c r="A264" s="10"/>
      <c r="I264" s="10"/>
    </row>
    <row r="265">
      <c r="A265" s="10"/>
      <c r="I265" s="10"/>
    </row>
    <row r="266">
      <c r="A266" s="10"/>
      <c r="I266" s="10"/>
    </row>
    <row r="267">
      <c r="A267" s="10"/>
      <c r="I267" s="10"/>
    </row>
    <row r="268">
      <c r="A268" s="10"/>
      <c r="I268" s="10"/>
    </row>
    <row r="269">
      <c r="A269" s="10"/>
      <c r="I269" s="10"/>
    </row>
    <row r="270">
      <c r="A270" s="10"/>
      <c r="I270" s="10"/>
    </row>
    <row r="271">
      <c r="A271" s="10"/>
      <c r="I271" s="10"/>
    </row>
    <row r="272">
      <c r="A272" s="10"/>
      <c r="I272" s="10"/>
    </row>
    <row r="273">
      <c r="A273" s="10"/>
      <c r="I273" s="10"/>
    </row>
    <row r="274">
      <c r="A274" s="10"/>
      <c r="I274" s="10"/>
    </row>
    <row r="275">
      <c r="A275" s="10"/>
      <c r="I275" s="10"/>
    </row>
    <row r="276">
      <c r="A276" s="10"/>
      <c r="I276" s="10"/>
    </row>
    <row r="277">
      <c r="A277" s="10"/>
      <c r="I277" s="10"/>
    </row>
    <row r="278">
      <c r="A278" s="10"/>
      <c r="I278" s="10"/>
    </row>
    <row r="279">
      <c r="A279" s="10"/>
      <c r="I279" s="10"/>
    </row>
    <row r="280">
      <c r="A280" s="10"/>
      <c r="I280" s="10"/>
    </row>
    <row r="281">
      <c r="A281" s="10"/>
      <c r="I281" s="10"/>
    </row>
    <row r="282">
      <c r="A282" s="10"/>
      <c r="I282" s="10"/>
    </row>
    <row r="283">
      <c r="A283" s="10"/>
      <c r="I283" s="10"/>
    </row>
    <row r="284">
      <c r="A284" s="10"/>
      <c r="I284" s="10"/>
    </row>
    <row r="285">
      <c r="A285" s="10"/>
      <c r="I285" s="10"/>
    </row>
    <row r="286">
      <c r="A286" s="10"/>
      <c r="I286" s="10"/>
    </row>
    <row r="287">
      <c r="A287" s="10"/>
      <c r="I287" s="10"/>
    </row>
    <row r="288">
      <c r="A288" s="10"/>
      <c r="I288" s="10"/>
    </row>
    <row r="289">
      <c r="A289" s="10"/>
      <c r="I289" s="10"/>
    </row>
    <row r="290">
      <c r="A290" s="10"/>
      <c r="I290" s="10"/>
    </row>
    <row r="291">
      <c r="A291" s="10"/>
      <c r="I291" s="10"/>
    </row>
    <row r="292">
      <c r="A292" s="10"/>
      <c r="I292" s="10"/>
    </row>
    <row r="293">
      <c r="A293" s="10"/>
      <c r="I293" s="10"/>
    </row>
    <row r="294">
      <c r="A294" s="10"/>
      <c r="I294" s="10"/>
    </row>
    <row r="295">
      <c r="A295" s="10"/>
      <c r="I295" s="10"/>
    </row>
    <row r="296">
      <c r="A296" s="10"/>
      <c r="I296" s="10"/>
    </row>
    <row r="297">
      <c r="A297" s="10"/>
      <c r="I297" s="10"/>
    </row>
    <row r="298">
      <c r="A298" s="10"/>
      <c r="I298" s="10"/>
    </row>
    <row r="299">
      <c r="A299" s="10"/>
      <c r="I299" s="10"/>
    </row>
    <row r="300">
      <c r="A300" s="10"/>
      <c r="I300" s="10"/>
    </row>
    <row r="301">
      <c r="A301" s="10"/>
      <c r="I301" s="10"/>
    </row>
    <row r="302">
      <c r="A302" s="10"/>
      <c r="I302" s="10"/>
    </row>
    <row r="303">
      <c r="A303" s="10"/>
      <c r="I303" s="10"/>
    </row>
    <row r="304">
      <c r="A304" s="10"/>
      <c r="I304" s="10"/>
    </row>
    <row r="305">
      <c r="A305" s="10"/>
      <c r="I305" s="10"/>
    </row>
    <row r="306">
      <c r="A306" s="10"/>
      <c r="I306" s="10"/>
    </row>
    <row r="307">
      <c r="A307" s="10"/>
      <c r="I307" s="10"/>
    </row>
    <row r="308">
      <c r="A308" s="10"/>
      <c r="I308" s="10"/>
    </row>
    <row r="309">
      <c r="A309" s="10"/>
      <c r="I309" s="10"/>
    </row>
    <row r="310">
      <c r="A310" s="10"/>
      <c r="I310" s="10"/>
    </row>
    <row r="311">
      <c r="A311" s="10"/>
      <c r="I311" s="10"/>
    </row>
    <row r="312">
      <c r="A312" s="10"/>
      <c r="I312" s="10"/>
    </row>
    <row r="313">
      <c r="A313" s="10"/>
      <c r="I313" s="10"/>
    </row>
    <row r="314">
      <c r="A314" s="10"/>
      <c r="I314" s="10"/>
    </row>
    <row r="315">
      <c r="A315" s="10"/>
      <c r="I315" s="10"/>
    </row>
    <row r="316">
      <c r="A316" s="10"/>
      <c r="I316" s="10"/>
    </row>
    <row r="317">
      <c r="A317" s="10"/>
      <c r="I317" s="10"/>
    </row>
    <row r="318">
      <c r="A318" s="10"/>
      <c r="I318" s="10"/>
    </row>
    <row r="319">
      <c r="A319" s="10"/>
      <c r="I319" s="10"/>
    </row>
    <row r="320">
      <c r="A320" s="10"/>
      <c r="I320" s="10"/>
    </row>
    <row r="321">
      <c r="A321" s="10"/>
      <c r="I321" s="10"/>
    </row>
    <row r="322">
      <c r="A322" s="10"/>
      <c r="I322" s="10"/>
    </row>
    <row r="323">
      <c r="A323" s="10"/>
      <c r="I323" s="10"/>
    </row>
    <row r="324">
      <c r="A324" s="10"/>
      <c r="I324" s="10"/>
    </row>
    <row r="325">
      <c r="A325" s="10"/>
      <c r="I325" s="10"/>
    </row>
    <row r="326">
      <c r="A326" s="10"/>
      <c r="I326" s="10"/>
    </row>
    <row r="327">
      <c r="A327" s="10"/>
      <c r="I327" s="10"/>
    </row>
    <row r="328">
      <c r="A328" s="10"/>
      <c r="I328" s="10"/>
    </row>
    <row r="329">
      <c r="A329" s="10"/>
      <c r="I329" s="10"/>
    </row>
    <row r="330">
      <c r="A330" s="10"/>
      <c r="I330" s="10"/>
    </row>
    <row r="331">
      <c r="A331" s="10"/>
      <c r="I331" s="10"/>
    </row>
    <row r="332">
      <c r="A332" s="10"/>
      <c r="I332" s="10"/>
    </row>
    <row r="333">
      <c r="A333" s="10"/>
      <c r="I333" s="10"/>
    </row>
    <row r="334">
      <c r="A334" s="10"/>
      <c r="I334" s="10"/>
    </row>
    <row r="335">
      <c r="A335" s="10"/>
      <c r="I335" s="10"/>
    </row>
    <row r="336">
      <c r="A336" s="10"/>
      <c r="I336" s="10"/>
    </row>
    <row r="337">
      <c r="A337" s="10"/>
      <c r="I337" s="10"/>
    </row>
    <row r="338">
      <c r="A338" s="10"/>
      <c r="I338" s="10"/>
    </row>
    <row r="339">
      <c r="A339" s="10"/>
      <c r="I339" s="10"/>
    </row>
    <row r="340">
      <c r="A340" s="10"/>
      <c r="I340" s="10"/>
    </row>
    <row r="341">
      <c r="A341" s="10"/>
      <c r="I341" s="10"/>
    </row>
    <row r="342">
      <c r="A342" s="10"/>
      <c r="I342" s="10"/>
    </row>
    <row r="343">
      <c r="A343" s="10"/>
      <c r="I343" s="10"/>
    </row>
    <row r="344">
      <c r="A344" s="10"/>
      <c r="I344" s="10"/>
    </row>
    <row r="345">
      <c r="A345" s="10"/>
      <c r="I345" s="10"/>
    </row>
    <row r="346">
      <c r="A346" s="10"/>
      <c r="I346" s="10"/>
    </row>
    <row r="347">
      <c r="A347" s="10"/>
      <c r="I347" s="10"/>
    </row>
    <row r="348">
      <c r="A348" s="10"/>
      <c r="I348" s="10"/>
    </row>
    <row r="349">
      <c r="A349" s="10"/>
      <c r="I349" s="10"/>
    </row>
    <row r="350">
      <c r="A350" s="10"/>
      <c r="I350" s="10"/>
    </row>
    <row r="351">
      <c r="A351" s="10"/>
      <c r="I351" s="10"/>
    </row>
    <row r="352">
      <c r="A352" s="10"/>
      <c r="I352" s="10"/>
    </row>
    <row r="353">
      <c r="A353" s="10"/>
      <c r="I353" s="10"/>
    </row>
    <row r="354">
      <c r="A354" s="10"/>
      <c r="I354" s="10"/>
    </row>
    <row r="355">
      <c r="A355" s="10"/>
      <c r="I355" s="10"/>
    </row>
    <row r="356">
      <c r="A356" s="10"/>
      <c r="I356" s="10"/>
    </row>
    <row r="357">
      <c r="A357" s="10"/>
      <c r="I357" s="10"/>
    </row>
    <row r="358">
      <c r="A358" s="10"/>
      <c r="I358" s="10"/>
    </row>
    <row r="359">
      <c r="A359" s="10"/>
      <c r="I359" s="10"/>
    </row>
    <row r="360">
      <c r="A360" s="10"/>
      <c r="I360" s="10"/>
    </row>
    <row r="361">
      <c r="A361" s="10"/>
      <c r="I361" s="10"/>
    </row>
    <row r="362">
      <c r="A362" s="10"/>
      <c r="I362" s="10"/>
    </row>
    <row r="363">
      <c r="A363" s="10"/>
      <c r="I363" s="10"/>
    </row>
    <row r="364">
      <c r="A364" s="10"/>
      <c r="I364" s="10"/>
    </row>
    <row r="365">
      <c r="A365" s="10"/>
      <c r="I365" s="10"/>
    </row>
    <row r="366">
      <c r="A366" s="10"/>
      <c r="I366" s="10"/>
    </row>
    <row r="367">
      <c r="A367" s="10"/>
      <c r="I367" s="10"/>
    </row>
    <row r="368">
      <c r="A368" s="10"/>
      <c r="I368" s="10"/>
    </row>
    <row r="369">
      <c r="A369" s="10"/>
      <c r="I369" s="10"/>
    </row>
    <row r="370">
      <c r="A370" s="10"/>
      <c r="I370" s="10"/>
    </row>
    <row r="371">
      <c r="A371" s="10"/>
      <c r="I371" s="10"/>
    </row>
    <row r="372">
      <c r="A372" s="10"/>
      <c r="I372" s="10"/>
    </row>
    <row r="373">
      <c r="A373" s="10"/>
      <c r="I373" s="10"/>
    </row>
    <row r="374">
      <c r="A374" s="10"/>
      <c r="I374" s="10"/>
    </row>
    <row r="375">
      <c r="A375" s="10"/>
      <c r="I375" s="10"/>
    </row>
    <row r="376">
      <c r="A376" s="10"/>
      <c r="I376" s="10"/>
    </row>
    <row r="377">
      <c r="A377" s="10"/>
      <c r="I377" s="10"/>
    </row>
    <row r="378">
      <c r="A378" s="10"/>
      <c r="I378" s="10"/>
    </row>
    <row r="379">
      <c r="A379" s="10"/>
      <c r="I379" s="10"/>
    </row>
    <row r="380">
      <c r="A380" s="10"/>
      <c r="I380" s="10"/>
    </row>
    <row r="381">
      <c r="A381" s="10"/>
      <c r="I381" s="10"/>
    </row>
    <row r="382">
      <c r="A382" s="10"/>
      <c r="I382" s="10"/>
    </row>
    <row r="383">
      <c r="A383" s="10"/>
      <c r="I383" s="10"/>
    </row>
    <row r="384">
      <c r="A384" s="10"/>
      <c r="I384" s="10"/>
    </row>
    <row r="385">
      <c r="A385" s="10"/>
      <c r="I385" s="10"/>
    </row>
    <row r="386">
      <c r="A386" s="10"/>
      <c r="I386" s="10"/>
    </row>
    <row r="387">
      <c r="A387" s="10"/>
      <c r="I387" s="10"/>
    </row>
    <row r="388">
      <c r="A388" s="10"/>
      <c r="I388" s="10"/>
    </row>
    <row r="389">
      <c r="A389" s="10"/>
      <c r="I389" s="10"/>
    </row>
    <row r="390">
      <c r="A390" s="10"/>
      <c r="I390" s="10"/>
    </row>
    <row r="391">
      <c r="A391" s="10"/>
      <c r="I391" s="10"/>
    </row>
    <row r="392">
      <c r="A392" s="10"/>
      <c r="I392" s="10"/>
    </row>
    <row r="393">
      <c r="A393" s="10"/>
      <c r="I393" s="10"/>
    </row>
    <row r="394">
      <c r="A394" s="10"/>
      <c r="I394" s="10"/>
    </row>
    <row r="395">
      <c r="A395" s="10"/>
      <c r="I395" s="10"/>
    </row>
    <row r="396">
      <c r="A396" s="10"/>
      <c r="I396" s="10"/>
    </row>
    <row r="397">
      <c r="A397" s="10"/>
      <c r="I397" s="10"/>
    </row>
    <row r="398">
      <c r="A398" s="10"/>
      <c r="I398" s="10"/>
    </row>
    <row r="399">
      <c r="A399" s="10"/>
      <c r="I399" s="10"/>
    </row>
    <row r="400">
      <c r="A400" s="10"/>
      <c r="I400" s="10"/>
    </row>
    <row r="401">
      <c r="A401" s="10"/>
      <c r="I401" s="10"/>
    </row>
    <row r="402">
      <c r="A402" s="10"/>
      <c r="I402" s="10"/>
    </row>
    <row r="403">
      <c r="A403" s="10"/>
      <c r="I403" s="10"/>
    </row>
    <row r="404">
      <c r="A404" s="10"/>
      <c r="I404" s="10"/>
    </row>
    <row r="405">
      <c r="A405" s="10"/>
      <c r="I405" s="10"/>
    </row>
    <row r="406">
      <c r="A406" s="10"/>
      <c r="I406" s="10"/>
    </row>
    <row r="407">
      <c r="A407" s="10"/>
      <c r="I407" s="10"/>
    </row>
    <row r="408">
      <c r="A408" s="10"/>
      <c r="I408" s="10"/>
    </row>
    <row r="409">
      <c r="A409" s="10"/>
      <c r="I409" s="10"/>
    </row>
    <row r="410">
      <c r="A410" s="10"/>
      <c r="I410" s="10"/>
    </row>
    <row r="411">
      <c r="A411" s="10"/>
      <c r="I411" s="10"/>
    </row>
    <row r="412">
      <c r="A412" s="10"/>
      <c r="I412" s="10"/>
    </row>
    <row r="413">
      <c r="A413" s="10"/>
      <c r="I413" s="10"/>
    </row>
    <row r="414">
      <c r="A414" s="10"/>
      <c r="I414" s="10"/>
    </row>
    <row r="415">
      <c r="A415" s="10"/>
      <c r="I415" s="10"/>
    </row>
    <row r="416">
      <c r="A416" s="10"/>
      <c r="I416" s="10"/>
    </row>
    <row r="417">
      <c r="A417" s="10"/>
      <c r="I417" s="10"/>
    </row>
    <row r="418">
      <c r="A418" s="10"/>
      <c r="I418" s="10"/>
    </row>
    <row r="419">
      <c r="A419" s="10"/>
      <c r="I419" s="10"/>
    </row>
    <row r="420">
      <c r="A420" s="10"/>
      <c r="I420" s="10"/>
    </row>
    <row r="421">
      <c r="A421" s="10"/>
      <c r="I421" s="10"/>
    </row>
    <row r="422">
      <c r="A422" s="10"/>
      <c r="I422" s="10"/>
    </row>
    <row r="423">
      <c r="A423" s="10"/>
      <c r="I423" s="10"/>
    </row>
    <row r="424">
      <c r="A424" s="10"/>
      <c r="I424" s="10"/>
    </row>
    <row r="425">
      <c r="A425" s="10"/>
      <c r="I425" s="10"/>
    </row>
    <row r="426">
      <c r="A426" s="10"/>
      <c r="I426" s="10"/>
    </row>
    <row r="427">
      <c r="A427" s="10"/>
      <c r="I427" s="10"/>
    </row>
    <row r="428">
      <c r="A428" s="10"/>
      <c r="I428" s="10"/>
    </row>
    <row r="429">
      <c r="A429" s="10"/>
      <c r="I429" s="10"/>
    </row>
    <row r="430">
      <c r="A430" s="10"/>
      <c r="I430" s="10"/>
    </row>
    <row r="431">
      <c r="A431" s="10"/>
      <c r="I431" s="10"/>
    </row>
    <row r="432">
      <c r="A432" s="10"/>
      <c r="I432" s="10"/>
    </row>
    <row r="433">
      <c r="A433" s="10"/>
      <c r="I433" s="10"/>
    </row>
    <row r="434">
      <c r="A434" s="10"/>
      <c r="I434" s="10"/>
    </row>
    <row r="435">
      <c r="A435" s="10"/>
      <c r="I435" s="10"/>
    </row>
    <row r="436">
      <c r="A436" s="10"/>
      <c r="I436" s="10"/>
    </row>
    <row r="437">
      <c r="A437" s="10"/>
      <c r="I437" s="10"/>
    </row>
    <row r="438">
      <c r="A438" s="10"/>
      <c r="I438" s="10"/>
    </row>
    <row r="439">
      <c r="A439" s="10"/>
      <c r="I439" s="10"/>
    </row>
    <row r="440">
      <c r="A440" s="10"/>
      <c r="I440" s="10"/>
    </row>
    <row r="441">
      <c r="A441" s="10"/>
      <c r="I441" s="10"/>
    </row>
    <row r="442">
      <c r="A442" s="10"/>
      <c r="I442" s="10"/>
    </row>
    <row r="443">
      <c r="A443" s="10"/>
      <c r="I443" s="10"/>
    </row>
    <row r="444">
      <c r="A444" s="10"/>
      <c r="I444" s="10"/>
    </row>
    <row r="445">
      <c r="A445" s="10"/>
      <c r="I445" s="10"/>
    </row>
    <row r="446">
      <c r="A446" s="10"/>
      <c r="I446" s="10"/>
    </row>
    <row r="447">
      <c r="A447" s="10"/>
      <c r="I447" s="10"/>
    </row>
    <row r="448">
      <c r="A448" s="10"/>
      <c r="I448" s="10"/>
    </row>
    <row r="449">
      <c r="A449" s="10"/>
      <c r="I449" s="10"/>
    </row>
    <row r="450">
      <c r="A450" s="10"/>
      <c r="I450" s="10"/>
    </row>
    <row r="451">
      <c r="A451" s="10"/>
      <c r="I451" s="10"/>
    </row>
    <row r="452">
      <c r="A452" s="10"/>
      <c r="I452" s="10"/>
    </row>
    <row r="453">
      <c r="A453" s="10"/>
      <c r="I453" s="10"/>
    </row>
    <row r="454">
      <c r="A454" s="10"/>
      <c r="I454" s="10"/>
    </row>
    <row r="455">
      <c r="A455" s="10"/>
      <c r="I455" s="10"/>
    </row>
    <row r="456">
      <c r="A456" s="10"/>
      <c r="I456" s="10"/>
    </row>
    <row r="457">
      <c r="A457" s="10"/>
      <c r="I457" s="10"/>
    </row>
    <row r="458">
      <c r="A458" s="10"/>
      <c r="I458" s="10"/>
    </row>
    <row r="459">
      <c r="A459" s="10"/>
      <c r="I459" s="10"/>
    </row>
    <row r="460">
      <c r="A460" s="10"/>
      <c r="I460" s="10"/>
    </row>
    <row r="461">
      <c r="A461" s="10"/>
      <c r="I461" s="10"/>
    </row>
    <row r="462">
      <c r="A462" s="10"/>
      <c r="I462" s="10"/>
    </row>
    <row r="463">
      <c r="A463" s="10"/>
      <c r="I463" s="10"/>
    </row>
    <row r="464">
      <c r="A464" s="10"/>
      <c r="I464" s="10"/>
    </row>
    <row r="465">
      <c r="A465" s="10"/>
      <c r="I465" s="10"/>
    </row>
    <row r="466">
      <c r="A466" s="10"/>
      <c r="I466" s="10"/>
    </row>
    <row r="467">
      <c r="A467" s="10"/>
      <c r="I467" s="10"/>
    </row>
    <row r="468">
      <c r="A468" s="10"/>
      <c r="I468" s="10"/>
    </row>
    <row r="469">
      <c r="A469" s="10"/>
      <c r="I469" s="10"/>
    </row>
    <row r="470">
      <c r="A470" s="10"/>
      <c r="I470" s="10"/>
    </row>
    <row r="471">
      <c r="A471" s="10"/>
      <c r="I471" s="10"/>
    </row>
    <row r="472">
      <c r="A472" s="10"/>
      <c r="I472" s="10"/>
    </row>
    <row r="473">
      <c r="A473" s="10"/>
      <c r="I473" s="10"/>
    </row>
    <row r="474">
      <c r="A474" s="10"/>
      <c r="I474" s="10"/>
    </row>
    <row r="475">
      <c r="A475" s="10"/>
      <c r="I475" s="10"/>
    </row>
    <row r="476">
      <c r="A476" s="10"/>
      <c r="I476" s="10"/>
    </row>
    <row r="477">
      <c r="A477" s="10"/>
      <c r="I477" s="10"/>
    </row>
    <row r="478">
      <c r="A478" s="10"/>
      <c r="I478" s="10"/>
    </row>
    <row r="479">
      <c r="A479" s="10"/>
      <c r="I479" s="10"/>
    </row>
    <row r="480">
      <c r="A480" s="10"/>
      <c r="I480" s="10"/>
    </row>
    <row r="481">
      <c r="A481" s="10"/>
      <c r="I481" s="10"/>
    </row>
    <row r="482">
      <c r="A482" s="10"/>
      <c r="I482" s="10"/>
    </row>
    <row r="483">
      <c r="A483" s="10"/>
      <c r="I483" s="10"/>
    </row>
    <row r="484">
      <c r="A484" s="10"/>
      <c r="I484" s="10"/>
    </row>
    <row r="485">
      <c r="A485" s="10"/>
      <c r="I485" s="10"/>
    </row>
    <row r="486">
      <c r="A486" s="10"/>
      <c r="I486" s="10"/>
    </row>
    <row r="487">
      <c r="A487" s="10"/>
      <c r="I487" s="10"/>
    </row>
    <row r="488">
      <c r="A488" s="10"/>
      <c r="I488" s="10"/>
    </row>
    <row r="489">
      <c r="A489" s="10"/>
      <c r="I489" s="10"/>
    </row>
    <row r="490">
      <c r="A490" s="10"/>
      <c r="I490" s="10"/>
    </row>
    <row r="491">
      <c r="A491" s="10"/>
      <c r="I491" s="10"/>
    </row>
    <row r="492">
      <c r="A492" s="10"/>
      <c r="I492" s="10"/>
    </row>
    <row r="493">
      <c r="A493" s="10"/>
      <c r="I493" s="10"/>
    </row>
    <row r="494">
      <c r="A494" s="10"/>
      <c r="I494" s="10"/>
    </row>
    <row r="495">
      <c r="A495" s="10"/>
      <c r="I495" s="10"/>
    </row>
    <row r="496">
      <c r="A496" s="10"/>
      <c r="I496" s="10"/>
    </row>
    <row r="497">
      <c r="A497" s="10"/>
      <c r="I497" s="10"/>
    </row>
    <row r="498">
      <c r="A498" s="10"/>
      <c r="I498" s="10"/>
    </row>
    <row r="499">
      <c r="A499" s="10"/>
      <c r="I499" s="10"/>
    </row>
    <row r="500">
      <c r="A500" s="10"/>
      <c r="I500" s="10"/>
    </row>
    <row r="501">
      <c r="A501" s="10"/>
      <c r="I501" s="10"/>
    </row>
    <row r="502">
      <c r="A502" s="10"/>
      <c r="I502" s="10"/>
    </row>
    <row r="503">
      <c r="A503" s="10"/>
      <c r="I503" s="10"/>
    </row>
    <row r="504">
      <c r="A504" s="10"/>
      <c r="I504" s="10"/>
    </row>
    <row r="505">
      <c r="A505" s="10"/>
      <c r="I505" s="10"/>
    </row>
    <row r="506">
      <c r="A506" s="10"/>
      <c r="I506" s="10"/>
    </row>
    <row r="507">
      <c r="A507" s="10"/>
      <c r="I507" s="10"/>
    </row>
    <row r="508">
      <c r="A508" s="10"/>
      <c r="I508" s="10"/>
    </row>
    <row r="509">
      <c r="A509" s="10"/>
      <c r="I509" s="10"/>
    </row>
    <row r="510">
      <c r="A510" s="10"/>
      <c r="I510" s="10"/>
    </row>
    <row r="511">
      <c r="A511" s="10"/>
      <c r="I511" s="10"/>
    </row>
    <row r="512">
      <c r="A512" s="10"/>
      <c r="I512" s="10"/>
    </row>
    <row r="513">
      <c r="A513" s="10"/>
      <c r="I513" s="10"/>
    </row>
    <row r="514">
      <c r="A514" s="10"/>
      <c r="I514" s="10"/>
    </row>
    <row r="515">
      <c r="A515" s="10"/>
      <c r="I515" s="10"/>
    </row>
    <row r="516">
      <c r="A516" s="10"/>
      <c r="I516" s="10"/>
    </row>
    <row r="517">
      <c r="A517" s="10"/>
      <c r="I517" s="10"/>
    </row>
    <row r="518">
      <c r="A518" s="10"/>
      <c r="I518" s="10"/>
    </row>
    <row r="519">
      <c r="A519" s="10"/>
      <c r="I519" s="10"/>
    </row>
    <row r="520">
      <c r="A520" s="10"/>
      <c r="I520" s="10"/>
    </row>
    <row r="521">
      <c r="A521" s="10"/>
      <c r="I521" s="10"/>
    </row>
    <row r="522">
      <c r="A522" s="10"/>
      <c r="I522" s="10"/>
    </row>
    <row r="523">
      <c r="A523" s="10"/>
      <c r="I523" s="10"/>
    </row>
    <row r="524">
      <c r="A524" s="10"/>
      <c r="I524" s="10"/>
    </row>
    <row r="525">
      <c r="A525" s="10"/>
      <c r="I525" s="10"/>
    </row>
    <row r="526">
      <c r="A526" s="10"/>
      <c r="I526" s="10"/>
    </row>
    <row r="527">
      <c r="A527" s="10"/>
      <c r="I527" s="10"/>
    </row>
    <row r="528">
      <c r="A528" s="10"/>
      <c r="I528" s="10"/>
    </row>
    <row r="529">
      <c r="A529" s="10"/>
      <c r="I529" s="10"/>
    </row>
    <row r="530">
      <c r="A530" s="10"/>
      <c r="I530" s="10"/>
    </row>
    <row r="531">
      <c r="A531" s="10"/>
      <c r="I531" s="10"/>
    </row>
    <row r="532">
      <c r="A532" s="10"/>
      <c r="I532" s="10"/>
    </row>
    <row r="533">
      <c r="A533" s="10"/>
      <c r="I533" s="10"/>
    </row>
    <row r="534">
      <c r="A534" s="10"/>
      <c r="I534" s="10"/>
    </row>
    <row r="535">
      <c r="A535" s="10"/>
      <c r="I535" s="10"/>
    </row>
    <row r="536">
      <c r="A536" s="10"/>
      <c r="I536" s="10"/>
    </row>
    <row r="537">
      <c r="A537" s="10"/>
      <c r="I537" s="10"/>
    </row>
    <row r="538">
      <c r="A538" s="10"/>
      <c r="I538" s="10"/>
    </row>
    <row r="539">
      <c r="A539" s="10"/>
      <c r="I539" s="10"/>
    </row>
    <row r="540">
      <c r="A540" s="10"/>
      <c r="I540" s="10"/>
    </row>
    <row r="541">
      <c r="A541" s="10"/>
      <c r="I541" s="10"/>
    </row>
    <row r="542">
      <c r="A542" s="10"/>
      <c r="I542" s="10"/>
    </row>
    <row r="543">
      <c r="A543" s="10"/>
      <c r="I543" s="10"/>
    </row>
    <row r="544">
      <c r="A544" s="10"/>
      <c r="I544" s="10"/>
    </row>
    <row r="545">
      <c r="A545" s="10"/>
      <c r="I545" s="10"/>
    </row>
    <row r="546">
      <c r="A546" s="10"/>
      <c r="I546" s="10"/>
    </row>
    <row r="547">
      <c r="A547" s="10"/>
      <c r="I547" s="10"/>
    </row>
    <row r="548">
      <c r="A548" s="10"/>
      <c r="I548" s="10"/>
    </row>
    <row r="549">
      <c r="A549" s="10"/>
      <c r="I549" s="10"/>
    </row>
    <row r="550">
      <c r="A550" s="10"/>
      <c r="I550" s="10"/>
    </row>
    <row r="551">
      <c r="A551" s="10"/>
      <c r="I551" s="10"/>
    </row>
    <row r="552">
      <c r="A552" s="10"/>
      <c r="I552" s="10"/>
    </row>
    <row r="553">
      <c r="A553" s="10"/>
      <c r="I553" s="10"/>
    </row>
    <row r="554">
      <c r="A554" s="10"/>
      <c r="I554" s="10"/>
    </row>
    <row r="555">
      <c r="A555" s="10"/>
      <c r="I555" s="10"/>
    </row>
    <row r="556">
      <c r="A556" s="10"/>
      <c r="I556" s="10"/>
    </row>
    <row r="557">
      <c r="A557" s="10"/>
      <c r="I557" s="10"/>
    </row>
    <row r="558">
      <c r="A558" s="10"/>
      <c r="I558" s="10"/>
    </row>
    <row r="559">
      <c r="A559" s="10"/>
      <c r="I559" s="10"/>
    </row>
    <row r="560">
      <c r="A560" s="10"/>
      <c r="I560" s="10"/>
    </row>
    <row r="561">
      <c r="A561" s="10"/>
      <c r="I561" s="10"/>
    </row>
    <row r="562">
      <c r="A562" s="10"/>
      <c r="I562" s="10"/>
    </row>
    <row r="563">
      <c r="A563" s="10"/>
      <c r="I563" s="10"/>
    </row>
    <row r="564">
      <c r="A564" s="10"/>
      <c r="I564" s="10"/>
    </row>
    <row r="565">
      <c r="A565" s="10"/>
      <c r="I565" s="10"/>
    </row>
    <row r="566">
      <c r="A566" s="10"/>
      <c r="I566" s="10"/>
    </row>
    <row r="567">
      <c r="A567" s="10"/>
      <c r="I567" s="10"/>
    </row>
    <row r="568">
      <c r="A568" s="10"/>
      <c r="I568" s="10"/>
    </row>
    <row r="569">
      <c r="A569" s="10"/>
      <c r="I569" s="10"/>
    </row>
    <row r="570">
      <c r="A570" s="10"/>
      <c r="I570" s="10"/>
    </row>
    <row r="571">
      <c r="A571" s="10"/>
      <c r="I571" s="10"/>
    </row>
    <row r="572">
      <c r="A572" s="10"/>
      <c r="I572" s="10"/>
    </row>
    <row r="573">
      <c r="A573" s="10"/>
      <c r="I573" s="10"/>
    </row>
    <row r="574">
      <c r="A574" s="10"/>
      <c r="I574" s="10"/>
    </row>
    <row r="575">
      <c r="A575" s="10"/>
      <c r="I575" s="10"/>
    </row>
    <row r="576">
      <c r="A576" s="10"/>
      <c r="I576" s="10"/>
    </row>
    <row r="577">
      <c r="A577" s="10"/>
      <c r="I577" s="10"/>
    </row>
    <row r="578">
      <c r="A578" s="10"/>
      <c r="I578" s="10"/>
    </row>
    <row r="579">
      <c r="A579" s="10"/>
      <c r="I579" s="10"/>
    </row>
    <row r="580">
      <c r="A580" s="10"/>
      <c r="I580" s="10"/>
    </row>
    <row r="581">
      <c r="A581" s="10"/>
      <c r="I581" s="10"/>
    </row>
    <row r="582">
      <c r="A582" s="10"/>
      <c r="I582" s="10"/>
    </row>
    <row r="583">
      <c r="A583" s="10"/>
      <c r="I583" s="10"/>
    </row>
    <row r="584">
      <c r="A584" s="10"/>
      <c r="I584" s="10"/>
    </row>
    <row r="585">
      <c r="A585" s="10"/>
      <c r="I585" s="10"/>
    </row>
    <row r="586">
      <c r="A586" s="10"/>
      <c r="I586" s="10"/>
    </row>
    <row r="587">
      <c r="A587" s="10"/>
      <c r="I587" s="10"/>
    </row>
    <row r="588">
      <c r="A588" s="10"/>
      <c r="I588" s="10"/>
    </row>
    <row r="589">
      <c r="A589" s="10"/>
      <c r="I589" s="10"/>
    </row>
    <row r="590">
      <c r="A590" s="10"/>
      <c r="I590" s="10"/>
    </row>
    <row r="591">
      <c r="A591" s="10"/>
      <c r="I591" s="10"/>
    </row>
    <row r="592">
      <c r="A592" s="10"/>
      <c r="I592" s="10"/>
    </row>
    <row r="593">
      <c r="A593" s="10"/>
      <c r="I593" s="10"/>
    </row>
    <row r="594">
      <c r="A594" s="10"/>
      <c r="I594" s="10"/>
    </row>
    <row r="595">
      <c r="A595" s="10"/>
      <c r="I595" s="10"/>
    </row>
    <row r="596">
      <c r="A596" s="10"/>
      <c r="I596" s="10"/>
    </row>
    <row r="597">
      <c r="A597" s="10"/>
      <c r="I597" s="10"/>
    </row>
    <row r="598">
      <c r="A598" s="10"/>
      <c r="I598" s="10"/>
    </row>
    <row r="599">
      <c r="A599" s="10"/>
      <c r="I599" s="10"/>
    </row>
    <row r="600">
      <c r="A600" s="10"/>
      <c r="I600" s="10"/>
    </row>
    <row r="601">
      <c r="A601" s="10"/>
      <c r="I601" s="10"/>
    </row>
    <row r="602">
      <c r="A602" s="10"/>
      <c r="I602" s="10"/>
    </row>
    <row r="603">
      <c r="A603" s="10"/>
      <c r="I603" s="10"/>
    </row>
    <row r="604">
      <c r="A604" s="10"/>
      <c r="I604" s="10"/>
    </row>
    <row r="605">
      <c r="A605" s="10"/>
      <c r="I605" s="10"/>
    </row>
    <row r="606">
      <c r="A606" s="10"/>
      <c r="I606" s="10"/>
    </row>
    <row r="607">
      <c r="A607" s="10"/>
      <c r="I607" s="10"/>
    </row>
    <row r="608">
      <c r="A608" s="10"/>
      <c r="I608" s="10"/>
    </row>
    <row r="609">
      <c r="A609" s="10"/>
      <c r="I609" s="10"/>
    </row>
    <row r="610">
      <c r="A610" s="10"/>
      <c r="I610" s="10"/>
    </row>
    <row r="611">
      <c r="A611" s="10"/>
      <c r="I611" s="10"/>
    </row>
    <row r="612">
      <c r="A612" s="10"/>
      <c r="I612" s="10"/>
    </row>
    <row r="613">
      <c r="A613" s="10"/>
      <c r="I613" s="10"/>
    </row>
    <row r="614">
      <c r="A614" s="10"/>
      <c r="I614" s="10"/>
    </row>
    <row r="615">
      <c r="A615" s="10"/>
      <c r="I615" s="10"/>
    </row>
    <row r="616">
      <c r="A616" s="10"/>
      <c r="I616" s="10"/>
    </row>
    <row r="617">
      <c r="A617" s="10"/>
      <c r="I617" s="10"/>
    </row>
    <row r="618">
      <c r="A618" s="10"/>
      <c r="I618" s="10"/>
    </row>
    <row r="619">
      <c r="A619" s="10"/>
      <c r="I619" s="10"/>
    </row>
    <row r="620">
      <c r="A620" s="10"/>
      <c r="I620" s="10"/>
    </row>
    <row r="621">
      <c r="A621" s="10"/>
      <c r="I621" s="10"/>
    </row>
    <row r="622">
      <c r="A622" s="10"/>
      <c r="I622" s="10"/>
    </row>
    <row r="623">
      <c r="A623" s="10"/>
      <c r="I623" s="10"/>
    </row>
    <row r="624">
      <c r="A624" s="10"/>
      <c r="I624" s="10"/>
    </row>
    <row r="625">
      <c r="A625" s="10"/>
      <c r="I625" s="10"/>
    </row>
    <row r="626">
      <c r="A626" s="10"/>
      <c r="I626" s="10"/>
    </row>
    <row r="627">
      <c r="A627" s="10"/>
      <c r="I627" s="10"/>
    </row>
    <row r="628">
      <c r="A628" s="10"/>
      <c r="I628" s="10"/>
    </row>
    <row r="629">
      <c r="A629" s="10"/>
      <c r="I629" s="10"/>
    </row>
    <row r="630">
      <c r="A630" s="10"/>
      <c r="I630" s="10"/>
    </row>
    <row r="631">
      <c r="A631" s="10"/>
      <c r="I631" s="10"/>
    </row>
    <row r="632">
      <c r="A632" s="10"/>
      <c r="I632" s="10"/>
    </row>
    <row r="633">
      <c r="A633" s="10"/>
      <c r="I633" s="10"/>
    </row>
    <row r="634">
      <c r="A634" s="10"/>
      <c r="I634" s="10"/>
    </row>
    <row r="635">
      <c r="A635" s="10"/>
      <c r="I635" s="10"/>
    </row>
    <row r="636">
      <c r="A636" s="10"/>
      <c r="I636" s="10"/>
    </row>
    <row r="637">
      <c r="A637" s="10"/>
      <c r="I637" s="10"/>
    </row>
    <row r="638">
      <c r="A638" s="10"/>
      <c r="I638" s="10"/>
    </row>
    <row r="639">
      <c r="A639" s="10"/>
      <c r="I639" s="10"/>
    </row>
    <row r="640">
      <c r="A640" s="10"/>
      <c r="I640" s="10"/>
    </row>
    <row r="641">
      <c r="A641" s="10"/>
      <c r="I641" s="10"/>
    </row>
    <row r="642">
      <c r="A642" s="10"/>
      <c r="I642" s="10"/>
    </row>
    <row r="643">
      <c r="A643" s="10"/>
      <c r="I643" s="10"/>
    </row>
    <row r="644">
      <c r="A644" s="10"/>
      <c r="I644" s="10"/>
    </row>
    <row r="645">
      <c r="A645" s="10"/>
      <c r="I645" s="10"/>
    </row>
    <row r="646">
      <c r="A646" s="10"/>
      <c r="I646" s="10"/>
    </row>
    <row r="647">
      <c r="A647" s="10"/>
      <c r="I647" s="10"/>
    </row>
    <row r="648">
      <c r="A648" s="10"/>
      <c r="I648" s="10"/>
    </row>
    <row r="649">
      <c r="A649" s="10"/>
      <c r="I649" s="10"/>
    </row>
    <row r="650">
      <c r="A650" s="10"/>
      <c r="I650" s="10"/>
    </row>
    <row r="651">
      <c r="A651" s="10"/>
      <c r="I651" s="10"/>
    </row>
    <row r="652">
      <c r="A652" s="10"/>
      <c r="I652" s="10"/>
    </row>
    <row r="653">
      <c r="A653" s="10"/>
      <c r="I653" s="10"/>
    </row>
    <row r="654">
      <c r="A654" s="10"/>
      <c r="I654" s="10"/>
    </row>
    <row r="655">
      <c r="A655" s="10"/>
      <c r="I655" s="10"/>
    </row>
    <row r="656">
      <c r="A656" s="10"/>
      <c r="I656" s="10"/>
    </row>
    <row r="657">
      <c r="A657" s="10"/>
      <c r="I657" s="10"/>
    </row>
    <row r="658">
      <c r="A658" s="10"/>
      <c r="I658" s="10"/>
    </row>
    <row r="659">
      <c r="A659" s="10"/>
      <c r="I659" s="10"/>
    </row>
    <row r="660">
      <c r="A660" s="10"/>
      <c r="I660" s="10"/>
    </row>
    <row r="661">
      <c r="A661" s="10"/>
      <c r="I661" s="10"/>
    </row>
    <row r="662">
      <c r="A662" s="10"/>
      <c r="I662" s="10"/>
    </row>
    <row r="663">
      <c r="A663" s="10"/>
      <c r="I663" s="10"/>
    </row>
    <row r="664">
      <c r="A664" s="10"/>
      <c r="I664" s="10"/>
    </row>
    <row r="665">
      <c r="A665" s="10"/>
      <c r="I665" s="10"/>
    </row>
    <row r="666">
      <c r="A666" s="10"/>
      <c r="I666" s="10"/>
    </row>
    <row r="667">
      <c r="A667" s="10"/>
      <c r="I667" s="10"/>
    </row>
    <row r="668">
      <c r="A668" s="10"/>
      <c r="I668" s="10"/>
    </row>
    <row r="669">
      <c r="A669" s="10"/>
      <c r="I669" s="10"/>
    </row>
    <row r="670">
      <c r="A670" s="10"/>
      <c r="I670" s="10"/>
    </row>
    <row r="671">
      <c r="A671" s="10"/>
      <c r="I671" s="10"/>
    </row>
    <row r="672">
      <c r="A672" s="10"/>
      <c r="I672" s="10"/>
    </row>
    <row r="673">
      <c r="A673" s="10"/>
      <c r="I673" s="10"/>
    </row>
    <row r="674">
      <c r="A674" s="10"/>
      <c r="I674" s="10"/>
    </row>
    <row r="675">
      <c r="A675" s="10"/>
      <c r="I675" s="10"/>
    </row>
    <row r="676">
      <c r="A676" s="10"/>
      <c r="I676" s="10"/>
    </row>
    <row r="677">
      <c r="A677" s="10"/>
      <c r="I677" s="10"/>
    </row>
    <row r="678">
      <c r="A678" s="10"/>
      <c r="I678" s="10"/>
    </row>
    <row r="679">
      <c r="A679" s="10"/>
      <c r="I679" s="10"/>
    </row>
    <row r="680">
      <c r="A680" s="10"/>
      <c r="I680" s="10"/>
    </row>
    <row r="681">
      <c r="A681" s="10"/>
      <c r="I681" s="10"/>
    </row>
    <row r="682">
      <c r="A682" s="10"/>
      <c r="I682" s="10"/>
    </row>
    <row r="683">
      <c r="A683" s="10"/>
      <c r="I683" s="10"/>
    </row>
    <row r="684">
      <c r="A684" s="10"/>
      <c r="I684" s="10"/>
    </row>
    <row r="685">
      <c r="A685" s="10"/>
      <c r="I685" s="10"/>
    </row>
    <row r="686">
      <c r="A686" s="10"/>
      <c r="I686" s="10"/>
    </row>
    <row r="687">
      <c r="A687" s="10"/>
      <c r="I687" s="10"/>
    </row>
    <row r="688">
      <c r="A688" s="10"/>
      <c r="I688" s="10"/>
    </row>
    <row r="689">
      <c r="A689" s="10"/>
      <c r="I689" s="10"/>
    </row>
    <row r="690">
      <c r="A690" s="10"/>
      <c r="I690" s="10"/>
    </row>
    <row r="691">
      <c r="A691" s="10"/>
      <c r="I691" s="10"/>
    </row>
    <row r="692">
      <c r="A692" s="10"/>
      <c r="I692" s="10"/>
    </row>
    <row r="693">
      <c r="A693" s="10"/>
      <c r="I693" s="10"/>
    </row>
    <row r="694">
      <c r="A694" s="10"/>
      <c r="I694" s="10"/>
    </row>
    <row r="695">
      <c r="A695" s="10"/>
      <c r="I695" s="10"/>
    </row>
    <row r="696">
      <c r="A696" s="10"/>
      <c r="I696" s="10"/>
    </row>
    <row r="697">
      <c r="A697" s="10"/>
      <c r="I697" s="10"/>
    </row>
    <row r="698">
      <c r="A698" s="10"/>
      <c r="I698" s="10"/>
    </row>
    <row r="699">
      <c r="A699" s="10"/>
      <c r="I699" s="10"/>
    </row>
    <row r="700">
      <c r="A700" s="10"/>
      <c r="I700" s="10"/>
    </row>
    <row r="701">
      <c r="A701" s="10"/>
      <c r="I701" s="10"/>
    </row>
    <row r="702">
      <c r="A702" s="10"/>
      <c r="I702" s="10"/>
    </row>
    <row r="703">
      <c r="A703" s="10"/>
      <c r="I703" s="10"/>
    </row>
    <row r="704">
      <c r="A704" s="10"/>
      <c r="I704" s="10"/>
    </row>
    <row r="705">
      <c r="A705" s="10"/>
      <c r="I705" s="10"/>
    </row>
    <row r="706">
      <c r="A706" s="10"/>
      <c r="I706" s="10"/>
    </row>
    <row r="707">
      <c r="A707" s="10"/>
      <c r="I707" s="10"/>
    </row>
    <row r="708">
      <c r="A708" s="10"/>
      <c r="I708" s="10"/>
    </row>
    <row r="709">
      <c r="A709" s="10"/>
      <c r="I709" s="10"/>
    </row>
    <row r="710">
      <c r="A710" s="10"/>
      <c r="I710" s="10"/>
    </row>
    <row r="711">
      <c r="A711" s="10"/>
      <c r="I711" s="10"/>
    </row>
    <row r="712">
      <c r="A712" s="10"/>
      <c r="I712" s="10"/>
    </row>
    <row r="713">
      <c r="A713" s="10"/>
      <c r="I713" s="10"/>
    </row>
    <row r="714">
      <c r="A714" s="10"/>
      <c r="I714" s="10"/>
    </row>
    <row r="715">
      <c r="A715" s="10"/>
      <c r="I715" s="10"/>
    </row>
    <row r="716">
      <c r="A716" s="10"/>
      <c r="I716" s="10"/>
    </row>
    <row r="717">
      <c r="A717" s="10"/>
      <c r="I717" s="10"/>
    </row>
    <row r="718">
      <c r="A718" s="10"/>
      <c r="I718" s="10"/>
    </row>
    <row r="719">
      <c r="A719" s="10"/>
      <c r="I719" s="10"/>
    </row>
    <row r="720">
      <c r="A720" s="10"/>
      <c r="I720" s="10"/>
    </row>
    <row r="721">
      <c r="A721" s="10"/>
      <c r="I721" s="10"/>
    </row>
    <row r="722">
      <c r="A722" s="10"/>
      <c r="I722" s="10"/>
    </row>
    <row r="723">
      <c r="A723" s="10"/>
      <c r="I723" s="10"/>
    </row>
    <row r="724">
      <c r="A724" s="10"/>
      <c r="I724" s="10"/>
    </row>
    <row r="725">
      <c r="A725" s="10"/>
      <c r="I725" s="10"/>
    </row>
    <row r="726">
      <c r="A726" s="10"/>
      <c r="I726" s="10"/>
    </row>
    <row r="727">
      <c r="A727" s="10"/>
      <c r="I727" s="10"/>
    </row>
    <row r="728">
      <c r="A728" s="10"/>
      <c r="I728" s="10"/>
    </row>
    <row r="729">
      <c r="A729" s="10"/>
      <c r="I729" s="10"/>
    </row>
    <row r="730">
      <c r="A730" s="10"/>
      <c r="I730" s="10"/>
    </row>
    <row r="731">
      <c r="A731" s="10"/>
      <c r="I731" s="10"/>
    </row>
    <row r="732">
      <c r="A732" s="10"/>
      <c r="I732" s="10"/>
    </row>
    <row r="733">
      <c r="A733" s="10"/>
      <c r="I733" s="10"/>
    </row>
    <row r="734">
      <c r="A734" s="10"/>
      <c r="I734" s="10"/>
    </row>
    <row r="735">
      <c r="A735" s="10"/>
      <c r="I735" s="10"/>
    </row>
    <row r="736">
      <c r="A736" s="10"/>
      <c r="I736" s="10"/>
    </row>
    <row r="737">
      <c r="A737" s="10"/>
      <c r="I737" s="10"/>
    </row>
    <row r="738">
      <c r="A738" s="10"/>
      <c r="I738" s="10"/>
    </row>
    <row r="739">
      <c r="A739" s="10"/>
      <c r="I739" s="10"/>
    </row>
    <row r="740">
      <c r="A740" s="10"/>
      <c r="I740" s="10"/>
    </row>
    <row r="741">
      <c r="A741" s="10"/>
      <c r="I741" s="10"/>
    </row>
    <row r="742">
      <c r="A742" s="10"/>
      <c r="I742" s="10"/>
    </row>
    <row r="743">
      <c r="A743" s="10"/>
      <c r="I743" s="10"/>
    </row>
    <row r="744">
      <c r="A744" s="10"/>
      <c r="I744" s="10"/>
    </row>
    <row r="745">
      <c r="A745" s="10"/>
      <c r="I745" s="10"/>
    </row>
    <row r="746">
      <c r="A746" s="10"/>
      <c r="I746" s="10"/>
    </row>
    <row r="747">
      <c r="A747" s="10"/>
      <c r="I747" s="10"/>
    </row>
    <row r="748">
      <c r="A748" s="10"/>
      <c r="I748" s="10"/>
    </row>
    <row r="749">
      <c r="A749" s="10"/>
      <c r="I749" s="10"/>
    </row>
    <row r="750">
      <c r="A750" s="10"/>
      <c r="I750" s="10"/>
    </row>
    <row r="751">
      <c r="A751" s="10"/>
      <c r="I751" s="10"/>
    </row>
    <row r="752">
      <c r="A752" s="10"/>
      <c r="I752" s="10"/>
    </row>
    <row r="753">
      <c r="A753" s="10"/>
      <c r="I753" s="10"/>
    </row>
    <row r="754">
      <c r="A754" s="10"/>
      <c r="I754" s="10"/>
    </row>
    <row r="755">
      <c r="A755" s="10"/>
      <c r="I755" s="10"/>
    </row>
    <row r="756">
      <c r="A756" s="10"/>
      <c r="I756" s="10"/>
    </row>
    <row r="757">
      <c r="A757" s="10"/>
      <c r="I757" s="10"/>
    </row>
    <row r="758">
      <c r="A758" s="10"/>
      <c r="I758" s="10"/>
    </row>
    <row r="759">
      <c r="A759" s="10"/>
      <c r="I759" s="10"/>
    </row>
    <row r="760">
      <c r="A760" s="10"/>
      <c r="I760" s="10"/>
    </row>
    <row r="761">
      <c r="A761" s="10"/>
      <c r="I761" s="10"/>
    </row>
    <row r="762">
      <c r="A762" s="10"/>
      <c r="I762" s="10"/>
    </row>
    <row r="763">
      <c r="A763" s="10"/>
      <c r="I763" s="10"/>
    </row>
    <row r="764">
      <c r="A764" s="10"/>
      <c r="I764" s="10"/>
    </row>
    <row r="765">
      <c r="A765" s="10"/>
      <c r="I765" s="10"/>
    </row>
    <row r="766">
      <c r="A766" s="10"/>
      <c r="I766" s="10"/>
    </row>
    <row r="767">
      <c r="A767" s="10"/>
      <c r="I767" s="10"/>
    </row>
    <row r="768">
      <c r="A768" s="10"/>
      <c r="I768" s="10"/>
    </row>
    <row r="769">
      <c r="A769" s="10"/>
      <c r="I769" s="10"/>
    </row>
    <row r="770">
      <c r="A770" s="10"/>
      <c r="I770" s="10"/>
    </row>
    <row r="771">
      <c r="A771" s="10"/>
      <c r="I771" s="10"/>
    </row>
    <row r="772">
      <c r="A772" s="10"/>
      <c r="I772" s="10"/>
    </row>
    <row r="773">
      <c r="A773" s="10"/>
      <c r="I773" s="10"/>
    </row>
    <row r="774">
      <c r="A774" s="10"/>
      <c r="I774" s="10"/>
    </row>
    <row r="775">
      <c r="A775" s="10"/>
      <c r="I775" s="10"/>
    </row>
    <row r="776">
      <c r="A776" s="10"/>
      <c r="I776" s="10"/>
    </row>
    <row r="777">
      <c r="A777" s="10"/>
      <c r="I777" s="10"/>
    </row>
    <row r="778">
      <c r="A778" s="10"/>
      <c r="I778" s="10"/>
    </row>
    <row r="779">
      <c r="A779" s="10"/>
      <c r="I779" s="10"/>
    </row>
    <row r="780">
      <c r="A780" s="10"/>
      <c r="I780" s="10"/>
    </row>
    <row r="781">
      <c r="A781" s="10"/>
      <c r="I781" s="10"/>
    </row>
    <row r="782">
      <c r="A782" s="10"/>
      <c r="I782" s="10"/>
    </row>
    <row r="783">
      <c r="A783" s="10"/>
      <c r="I783" s="10"/>
    </row>
    <row r="784">
      <c r="A784" s="10"/>
      <c r="I784" s="10"/>
    </row>
    <row r="785">
      <c r="A785" s="10"/>
      <c r="I785" s="10"/>
    </row>
    <row r="786">
      <c r="A786" s="10"/>
      <c r="I786" s="10"/>
    </row>
    <row r="787">
      <c r="A787" s="10"/>
      <c r="I787" s="10"/>
    </row>
    <row r="788">
      <c r="A788" s="10"/>
      <c r="I788" s="10"/>
    </row>
    <row r="789">
      <c r="A789" s="10"/>
      <c r="I789" s="10"/>
    </row>
    <row r="790">
      <c r="A790" s="10"/>
      <c r="I790" s="10"/>
    </row>
    <row r="791">
      <c r="A791" s="10"/>
      <c r="I791" s="10"/>
    </row>
    <row r="792">
      <c r="A792" s="10"/>
      <c r="I792" s="10"/>
    </row>
    <row r="793">
      <c r="A793" s="10"/>
      <c r="I793" s="10"/>
    </row>
    <row r="794">
      <c r="A794" s="10"/>
      <c r="I794" s="10"/>
    </row>
    <row r="795">
      <c r="A795" s="10"/>
      <c r="I795" s="10"/>
    </row>
    <row r="796">
      <c r="A796" s="10"/>
      <c r="I796" s="10"/>
    </row>
    <row r="797">
      <c r="A797" s="10"/>
      <c r="I797" s="10"/>
    </row>
    <row r="798">
      <c r="A798" s="10"/>
      <c r="I798" s="10"/>
    </row>
    <row r="799">
      <c r="A799" s="10"/>
      <c r="I799" s="10"/>
    </row>
    <row r="800">
      <c r="A800" s="10"/>
      <c r="I800" s="10"/>
    </row>
    <row r="801">
      <c r="A801" s="10"/>
      <c r="I801" s="10"/>
    </row>
    <row r="802">
      <c r="A802" s="10"/>
      <c r="I802" s="10"/>
    </row>
    <row r="803">
      <c r="A803" s="10"/>
      <c r="I803" s="10"/>
    </row>
    <row r="804">
      <c r="A804" s="10"/>
      <c r="I804" s="10"/>
    </row>
    <row r="805">
      <c r="A805" s="10"/>
      <c r="I805" s="10"/>
    </row>
    <row r="806">
      <c r="A806" s="10"/>
      <c r="I806" s="10"/>
    </row>
    <row r="807">
      <c r="A807" s="10"/>
      <c r="I807" s="10"/>
    </row>
    <row r="808">
      <c r="A808" s="10"/>
      <c r="I808" s="10"/>
    </row>
    <row r="809">
      <c r="A809" s="10"/>
      <c r="I809" s="10"/>
    </row>
    <row r="810">
      <c r="A810" s="10"/>
      <c r="I810" s="10"/>
    </row>
    <row r="811">
      <c r="A811" s="10"/>
      <c r="I811" s="10"/>
    </row>
    <row r="812">
      <c r="A812" s="10"/>
      <c r="I812" s="10"/>
    </row>
    <row r="813">
      <c r="A813" s="10"/>
      <c r="I813" s="10"/>
    </row>
    <row r="814">
      <c r="A814" s="10"/>
      <c r="I814" s="10"/>
    </row>
    <row r="815">
      <c r="A815" s="10"/>
      <c r="I815" s="10"/>
    </row>
    <row r="816">
      <c r="A816" s="10"/>
      <c r="I816" s="10"/>
    </row>
    <row r="817">
      <c r="A817" s="10"/>
      <c r="I817" s="10"/>
    </row>
    <row r="818">
      <c r="A818" s="10"/>
      <c r="I818" s="10"/>
    </row>
    <row r="819">
      <c r="A819" s="10"/>
      <c r="I819" s="10"/>
    </row>
    <row r="820">
      <c r="A820" s="10"/>
      <c r="I820" s="10"/>
    </row>
    <row r="821">
      <c r="A821" s="10"/>
      <c r="I821" s="10"/>
    </row>
    <row r="822">
      <c r="A822" s="10"/>
      <c r="I822" s="10"/>
    </row>
    <row r="823">
      <c r="A823" s="10"/>
      <c r="I823" s="10"/>
    </row>
    <row r="824">
      <c r="A824" s="10"/>
      <c r="I824" s="10"/>
    </row>
    <row r="825">
      <c r="A825" s="10"/>
      <c r="I825" s="10"/>
    </row>
    <row r="826">
      <c r="A826" s="10"/>
      <c r="I826" s="10"/>
    </row>
    <row r="827">
      <c r="A827" s="10"/>
      <c r="I827" s="10"/>
    </row>
    <row r="828">
      <c r="A828" s="10"/>
      <c r="I828" s="10"/>
    </row>
    <row r="829">
      <c r="A829" s="10"/>
      <c r="I829" s="10"/>
    </row>
    <row r="830">
      <c r="A830" s="10"/>
      <c r="I830" s="10"/>
    </row>
    <row r="831">
      <c r="A831" s="10"/>
      <c r="I831" s="10"/>
    </row>
    <row r="832">
      <c r="A832" s="10"/>
      <c r="I832" s="10"/>
    </row>
    <row r="833">
      <c r="A833" s="10"/>
      <c r="I833" s="10"/>
    </row>
    <row r="834">
      <c r="A834" s="10"/>
      <c r="I834" s="10"/>
    </row>
    <row r="835">
      <c r="A835" s="10"/>
      <c r="I835" s="10"/>
    </row>
    <row r="836">
      <c r="A836" s="10"/>
      <c r="I836" s="10"/>
    </row>
    <row r="837">
      <c r="A837" s="10"/>
      <c r="I837" s="10"/>
    </row>
    <row r="838">
      <c r="A838" s="10"/>
      <c r="I838" s="10"/>
    </row>
    <row r="839">
      <c r="A839" s="10"/>
      <c r="I839" s="10"/>
    </row>
    <row r="840">
      <c r="A840" s="10"/>
      <c r="I840" s="10"/>
    </row>
    <row r="841">
      <c r="A841" s="10"/>
      <c r="I841" s="10"/>
    </row>
    <row r="842">
      <c r="A842" s="10"/>
      <c r="I842" s="10"/>
    </row>
    <row r="843">
      <c r="A843" s="10"/>
      <c r="I843" s="10"/>
    </row>
    <row r="844">
      <c r="A844" s="10"/>
      <c r="I844" s="10"/>
    </row>
    <row r="845">
      <c r="A845" s="10"/>
      <c r="I845" s="10"/>
    </row>
    <row r="846">
      <c r="A846" s="10"/>
      <c r="I846" s="10"/>
    </row>
    <row r="847">
      <c r="A847" s="10"/>
      <c r="I847" s="10"/>
    </row>
    <row r="848">
      <c r="A848" s="10"/>
      <c r="I848" s="10"/>
    </row>
    <row r="849">
      <c r="A849" s="10"/>
      <c r="I849" s="10"/>
    </row>
    <row r="850">
      <c r="A850" s="10"/>
      <c r="I850" s="10"/>
    </row>
    <row r="851">
      <c r="A851" s="10"/>
      <c r="I851" s="10"/>
    </row>
    <row r="852">
      <c r="A852" s="10"/>
      <c r="I852" s="10"/>
    </row>
    <row r="853">
      <c r="A853" s="10"/>
      <c r="I853" s="10"/>
    </row>
    <row r="854">
      <c r="A854" s="10"/>
      <c r="I854" s="10"/>
    </row>
    <row r="855">
      <c r="A855" s="10"/>
      <c r="I855" s="10"/>
    </row>
    <row r="856">
      <c r="A856" s="10"/>
      <c r="I856" s="10"/>
    </row>
    <row r="857">
      <c r="A857" s="10"/>
      <c r="I857" s="10"/>
    </row>
    <row r="858">
      <c r="A858" s="10"/>
      <c r="I858" s="10"/>
    </row>
    <row r="859">
      <c r="A859" s="10"/>
      <c r="I859" s="10"/>
    </row>
    <row r="860">
      <c r="A860" s="10"/>
      <c r="I860" s="10"/>
    </row>
    <row r="861">
      <c r="A861" s="10"/>
      <c r="I861" s="10"/>
    </row>
    <row r="862">
      <c r="A862" s="10"/>
      <c r="I862" s="10"/>
    </row>
    <row r="863">
      <c r="A863" s="10"/>
      <c r="I863" s="10"/>
    </row>
    <row r="864">
      <c r="A864" s="10"/>
      <c r="I864" s="10"/>
    </row>
    <row r="865">
      <c r="A865" s="10"/>
      <c r="I865" s="10"/>
    </row>
    <row r="866">
      <c r="A866" s="10"/>
      <c r="I866" s="10"/>
    </row>
    <row r="867">
      <c r="A867" s="10"/>
      <c r="I867" s="10"/>
    </row>
    <row r="868">
      <c r="A868" s="10"/>
      <c r="I868" s="10"/>
    </row>
    <row r="869">
      <c r="A869" s="10"/>
      <c r="I869" s="10"/>
    </row>
    <row r="870">
      <c r="A870" s="10"/>
      <c r="I870" s="10"/>
    </row>
    <row r="871">
      <c r="A871" s="10"/>
      <c r="I871" s="10"/>
    </row>
    <row r="872">
      <c r="A872" s="10"/>
      <c r="I872" s="10"/>
    </row>
    <row r="873">
      <c r="A873" s="10"/>
      <c r="I873" s="10"/>
    </row>
    <row r="874">
      <c r="A874" s="10"/>
      <c r="I874" s="10"/>
    </row>
    <row r="875">
      <c r="A875" s="10"/>
      <c r="I875" s="10"/>
    </row>
    <row r="876">
      <c r="A876" s="10"/>
      <c r="I876" s="10"/>
    </row>
    <row r="877">
      <c r="A877" s="10"/>
      <c r="I877" s="10"/>
    </row>
    <row r="878">
      <c r="A878" s="10"/>
      <c r="I878" s="10"/>
    </row>
    <row r="879">
      <c r="A879" s="10"/>
      <c r="I879" s="10"/>
    </row>
    <row r="880">
      <c r="A880" s="10"/>
      <c r="I880" s="10"/>
    </row>
    <row r="881">
      <c r="A881" s="10"/>
      <c r="I881" s="10"/>
    </row>
    <row r="882">
      <c r="A882" s="10"/>
      <c r="I882" s="10"/>
    </row>
    <row r="883">
      <c r="A883" s="10"/>
      <c r="I883" s="10"/>
    </row>
    <row r="884">
      <c r="A884" s="10"/>
      <c r="I884" s="10"/>
    </row>
    <row r="885">
      <c r="A885" s="10"/>
      <c r="I885" s="10"/>
    </row>
    <row r="886">
      <c r="A886" s="10"/>
      <c r="I886" s="10"/>
    </row>
    <row r="887">
      <c r="A887" s="10"/>
      <c r="I887" s="10"/>
    </row>
    <row r="888">
      <c r="A888" s="10"/>
      <c r="I888" s="10"/>
    </row>
    <row r="889">
      <c r="A889" s="10"/>
      <c r="I889" s="10"/>
    </row>
    <row r="890">
      <c r="A890" s="10"/>
      <c r="I890" s="10"/>
    </row>
    <row r="891">
      <c r="A891" s="10"/>
      <c r="I891" s="10"/>
    </row>
    <row r="892">
      <c r="A892" s="10"/>
      <c r="I892" s="10"/>
    </row>
    <row r="893">
      <c r="A893" s="10"/>
      <c r="I893" s="10"/>
    </row>
    <row r="894">
      <c r="A894" s="10"/>
      <c r="I894" s="10"/>
    </row>
    <row r="895">
      <c r="A895" s="10"/>
      <c r="I895" s="10"/>
    </row>
    <row r="896">
      <c r="A896" s="10"/>
      <c r="I896" s="10"/>
    </row>
    <row r="897">
      <c r="A897" s="10"/>
      <c r="I897" s="10"/>
    </row>
    <row r="898">
      <c r="A898" s="10"/>
      <c r="I898" s="10"/>
    </row>
    <row r="899">
      <c r="A899" s="10"/>
      <c r="I899" s="10"/>
    </row>
    <row r="900">
      <c r="A900" s="10"/>
      <c r="I900" s="10"/>
    </row>
    <row r="901">
      <c r="A901" s="10"/>
      <c r="I901" s="10"/>
    </row>
    <row r="902">
      <c r="A902" s="10"/>
      <c r="I902" s="10"/>
    </row>
    <row r="903">
      <c r="A903" s="10"/>
      <c r="I903" s="10"/>
    </row>
    <row r="904">
      <c r="A904" s="10"/>
      <c r="I904" s="10"/>
    </row>
    <row r="905">
      <c r="A905" s="10"/>
      <c r="I905" s="10"/>
    </row>
    <row r="906">
      <c r="A906" s="10"/>
      <c r="I906" s="10"/>
    </row>
    <row r="907">
      <c r="A907" s="10"/>
      <c r="I907" s="10"/>
    </row>
    <row r="908">
      <c r="A908" s="10"/>
      <c r="I908" s="10"/>
    </row>
    <row r="909">
      <c r="A909" s="10"/>
      <c r="I909" s="10"/>
    </row>
    <row r="910">
      <c r="A910" s="10"/>
      <c r="I910" s="10"/>
    </row>
    <row r="911">
      <c r="A911" s="10"/>
      <c r="I911" s="10"/>
    </row>
    <row r="912">
      <c r="A912" s="10"/>
      <c r="I912" s="10"/>
    </row>
    <row r="913">
      <c r="A913" s="10"/>
      <c r="I913" s="10"/>
    </row>
    <row r="914">
      <c r="A914" s="10"/>
      <c r="I914" s="10"/>
    </row>
    <row r="915">
      <c r="A915" s="10"/>
      <c r="I915" s="10"/>
    </row>
    <row r="916">
      <c r="A916" s="10"/>
      <c r="I916" s="10"/>
    </row>
    <row r="917">
      <c r="A917" s="10"/>
      <c r="I917" s="10"/>
    </row>
    <row r="918">
      <c r="A918" s="10"/>
      <c r="I918" s="10"/>
    </row>
    <row r="919">
      <c r="A919" s="10"/>
      <c r="I919" s="10"/>
    </row>
    <row r="920">
      <c r="A920" s="10"/>
      <c r="I920" s="10"/>
    </row>
    <row r="921">
      <c r="A921" s="10"/>
      <c r="I921" s="10"/>
    </row>
    <row r="922">
      <c r="A922" s="10"/>
      <c r="I922" s="10"/>
    </row>
    <row r="923">
      <c r="A923" s="10"/>
      <c r="I923" s="10"/>
    </row>
    <row r="924">
      <c r="A924" s="10"/>
      <c r="I924" s="10"/>
    </row>
    <row r="925">
      <c r="A925" s="10"/>
      <c r="I925" s="10"/>
    </row>
    <row r="926">
      <c r="A926" s="10"/>
      <c r="I926" s="10"/>
    </row>
    <row r="927">
      <c r="A927" s="10"/>
      <c r="I927" s="10"/>
    </row>
    <row r="928">
      <c r="A928" s="10"/>
      <c r="I928" s="10"/>
    </row>
    <row r="929">
      <c r="A929" s="10"/>
      <c r="I929" s="10"/>
    </row>
    <row r="930">
      <c r="A930" s="10"/>
      <c r="I930" s="10"/>
    </row>
    <row r="931">
      <c r="A931" s="10"/>
      <c r="I931" s="10"/>
    </row>
    <row r="932">
      <c r="A932" s="10"/>
      <c r="I932" s="10"/>
    </row>
    <row r="933">
      <c r="A933" s="10"/>
      <c r="I933" s="10"/>
    </row>
    <row r="934">
      <c r="A934" s="10"/>
      <c r="I934" s="10"/>
    </row>
    <row r="935">
      <c r="A935" s="10"/>
      <c r="I935" s="10"/>
    </row>
    <row r="936">
      <c r="A936" s="10"/>
      <c r="I936" s="10"/>
    </row>
    <row r="937">
      <c r="A937" s="10"/>
      <c r="I937" s="10"/>
    </row>
    <row r="938">
      <c r="A938" s="10"/>
      <c r="I938" s="10"/>
    </row>
    <row r="939">
      <c r="A939" s="10"/>
      <c r="I939" s="10"/>
    </row>
    <row r="940">
      <c r="A940" s="10"/>
      <c r="I940" s="10"/>
    </row>
    <row r="941">
      <c r="A941" s="10"/>
      <c r="I941" s="10"/>
    </row>
    <row r="942">
      <c r="A942" s="10"/>
      <c r="I942" s="10"/>
    </row>
    <row r="943">
      <c r="A943" s="10"/>
      <c r="I943" s="10"/>
    </row>
    <row r="944">
      <c r="A944" s="10"/>
      <c r="I944" s="10"/>
    </row>
    <row r="945">
      <c r="A945" s="10"/>
      <c r="I945" s="10"/>
    </row>
    <row r="946">
      <c r="A946" s="10"/>
      <c r="I946" s="10"/>
    </row>
    <row r="947">
      <c r="A947" s="10"/>
      <c r="I947" s="10"/>
    </row>
    <row r="948">
      <c r="A948" s="10"/>
      <c r="I948" s="10"/>
    </row>
    <row r="949">
      <c r="A949" s="10"/>
      <c r="I949" s="10"/>
    </row>
    <row r="950">
      <c r="A950" s="10"/>
      <c r="I950" s="10"/>
    </row>
    <row r="951">
      <c r="A951" s="10"/>
      <c r="I951" s="10"/>
    </row>
    <row r="952">
      <c r="A952" s="10"/>
      <c r="I952" s="10"/>
    </row>
    <row r="953">
      <c r="A953" s="10"/>
      <c r="I953" s="10"/>
    </row>
    <row r="954">
      <c r="A954" s="10"/>
      <c r="I954" s="10"/>
    </row>
    <row r="955">
      <c r="A955" s="10"/>
      <c r="I955" s="10"/>
    </row>
    <row r="956">
      <c r="A956" s="10"/>
      <c r="I956" s="10"/>
    </row>
    <row r="957">
      <c r="A957" s="10"/>
      <c r="I957" s="10"/>
    </row>
    <row r="958">
      <c r="A958" s="10"/>
      <c r="I958" s="10"/>
    </row>
    <row r="959">
      <c r="A959" s="10"/>
      <c r="I959" s="10"/>
    </row>
    <row r="960">
      <c r="A960" s="10"/>
      <c r="I960" s="10"/>
    </row>
    <row r="961">
      <c r="A961" s="10"/>
      <c r="I961" s="10"/>
    </row>
    <row r="962">
      <c r="A962" s="10"/>
      <c r="I962" s="10"/>
    </row>
    <row r="963">
      <c r="A963" s="10"/>
      <c r="I963" s="10"/>
    </row>
    <row r="964">
      <c r="A964" s="10"/>
      <c r="I964" s="10"/>
    </row>
    <row r="965">
      <c r="A965" s="10"/>
      <c r="I965" s="10"/>
    </row>
    <row r="966">
      <c r="A966" s="10"/>
      <c r="I966" s="10"/>
    </row>
    <row r="967">
      <c r="A967" s="10"/>
      <c r="I967" s="10"/>
    </row>
    <row r="968">
      <c r="A968" s="10"/>
      <c r="I968" s="10"/>
    </row>
    <row r="969">
      <c r="A969" s="10"/>
      <c r="I969" s="10"/>
    </row>
    <row r="970">
      <c r="A970" s="10"/>
      <c r="I970" s="10"/>
    </row>
    <row r="971">
      <c r="A971" s="10"/>
      <c r="I971" s="10"/>
    </row>
    <row r="972">
      <c r="A972" s="10"/>
      <c r="I972" s="10"/>
    </row>
    <row r="973">
      <c r="A973" s="10"/>
      <c r="I973" s="10"/>
    </row>
    <row r="974">
      <c r="A974" s="10"/>
      <c r="I974" s="10"/>
    </row>
    <row r="975">
      <c r="A975" s="10"/>
      <c r="I975" s="10"/>
    </row>
    <row r="976">
      <c r="A976" s="10"/>
      <c r="I976" s="10"/>
    </row>
    <row r="977">
      <c r="A977" s="10"/>
      <c r="I977" s="10"/>
    </row>
    <row r="978">
      <c r="A978" s="10"/>
      <c r="I978" s="10"/>
    </row>
    <row r="979">
      <c r="A979" s="10"/>
      <c r="I979" s="10"/>
    </row>
    <row r="980">
      <c r="A980" s="10"/>
      <c r="I980" s="10"/>
    </row>
    <row r="981">
      <c r="A981" s="10"/>
      <c r="I981" s="10"/>
    </row>
    <row r="982">
      <c r="A982" s="10"/>
      <c r="I982" s="10"/>
    </row>
    <row r="983">
      <c r="A983" s="10"/>
      <c r="I983" s="10"/>
    </row>
    <row r="984">
      <c r="A984" s="10"/>
      <c r="I984" s="10"/>
    </row>
    <row r="985">
      <c r="A985" s="10"/>
      <c r="I985" s="10"/>
    </row>
    <row r="986">
      <c r="A986" s="10"/>
      <c r="I986" s="10"/>
    </row>
    <row r="987">
      <c r="A987" s="10"/>
      <c r="I987" s="10"/>
    </row>
    <row r="988">
      <c r="A988" s="10"/>
      <c r="I988" s="10"/>
    </row>
    <row r="989">
      <c r="A989" s="10"/>
      <c r="I989" s="10"/>
    </row>
    <row r="990">
      <c r="A990" s="10"/>
      <c r="I990" s="10"/>
    </row>
    <row r="991">
      <c r="A991" s="10"/>
      <c r="I991" s="10"/>
    </row>
    <row r="992">
      <c r="A992" s="10"/>
      <c r="I992" s="10"/>
    </row>
    <row r="993">
      <c r="A993" s="10"/>
      <c r="I993" s="10"/>
    </row>
    <row r="994">
      <c r="A994" s="10"/>
      <c r="I994" s="10"/>
    </row>
    <row r="995">
      <c r="A995" s="10"/>
      <c r="I995" s="10"/>
    </row>
    <row r="996">
      <c r="A996" s="10"/>
      <c r="I996" s="10"/>
    </row>
    <row r="997">
      <c r="A997" s="10"/>
      <c r="I997" s="10"/>
    </row>
    <row r="998">
      <c r="A998" s="10"/>
      <c r="I998" s="10"/>
    </row>
    <row r="999">
      <c r="A999" s="10"/>
      <c r="I999" s="10"/>
    </row>
    <row r="1000">
      <c r="A1000" s="10"/>
      <c r="I1000" s="10"/>
    </row>
    <row r="1001">
      <c r="A1001" s="10"/>
      <c r="I1001" s="10"/>
    </row>
    <row r="1002">
      <c r="A1002" s="10"/>
      <c r="I1002" s="10"/>
    </row>
    <row r="1003">
      <c r="A1003" s="10"/>
      <c r="I1003" s="10"/>
    </row>
    <row r="1004">
      <c r="A1004" s="10"/>
      <c r="I1004" s="10"/>
    </row>
    <row r="1005">
      <c r="A1005" s="10"/>
      <c r="I1005" s="10"/>
    </row>
    <row r="1006">
      <c r="A1006" s="10"/>
      <c r="I1006" s="10"/>
    </row>
    <row r="1007">
      <c r="A1007" s="10"/>
      <c r="I1007" s="10"/>
    </row>
    <row r="1008">
      <c r="A1008" s="10"/>
      <c r="I1008" s="10"/>
    </row>
    <row r="1009">
      <c r="A1009" s="10"/>
      <c r="I1009" s="10"/>
    </row>
    <row r="1010">
      <c r="A1010" s="10"/>
      <c r="I1010" s="10"/>
    </row>
    <row r="1011">
      <c r="A1011" s="10"/>
      <c r="I1011" s="10"/>
    </row>
    <row r="1012">
      <c r="A1012" s="10"/>
      <c r="I1012" s="10"/>
    </row>
    <row r="1013">
      <c r="A1013" s="10"/>
      <c r="I1013" s="10"/>
    </row>
    <row r="1014">
      <c r="A1014" s="10"/>
      <c r="I1014" s="10"/>
    </row>
    <row r="1015">
      <c r="A1015" s="10"/>
      <c r="I1015" s="10"/>
    </row>
    <row r="1016">
      <c r="A1016" s="10"/>
      <c r="I1016" s="10"/>
    </row>
    <row r="1017">
      <c r="A1017" s="10"/>
      <c r="I1017" s="10"/>
    </row>
    <row r="1018">
      <c r="A1018" s="10"/>
      <c r="I1018" s="10"/>
    </row>
    <row r="1019">
      <c r="A1019" s="10"/>
      <c r="I1019" s="10"/>
    </row>
    <row r="1020">
      <c r="A1020" s="10"/>
      <c r="I1020" s="10"/>
    </row>
    <row r="1021">
      <c r="A1021" s="10"/>
      <c r="I1021" s="10"/>
    </row>
    <row r="1022">
      <c r="A1022" s="10"/>
      <c r="I1022" s="10"/>
    </row>
    <row r="1023">
      <c r="A1023" s="10"/>
      <c r="I1023" s="10"/>
    </row>
    <row r="1024">
      <c r="A1024" s="10"/>
      <c r="I1024" s="10"/>
    </row>
    <row r="1025">
      <c r="A1025" s="10"/>
      <c r="I1025" s="10"/>
    </row>
    <row r="1026">
      <c r="A1026" s="10"/>
      <c r="I1026" s="10"/>
    </row>
    <row r="1027">
      <c r="A1027" s="10"/>
      <c r="I1027" s="10"/>
    </row>
    <row r="1028">
      <c r="A1028" s="10"/>
      <c r="I1028" s="10"/>
    </row>
    <row r="1029">
      <c r="A1029" s="10"/>
      <c r="I1029" s="10"/>
    </row>
    <row r="1030">
      <c r="A1030" s="10"/>
      <c r="I1030" s="10"/>
    </row>
    <row r="1031">
      <c r="A1031" s="10"/>
      <c r="I1031" s="10"/>
    </row>
    <row r="1032">
      <c r="A1032" s="10"/>
      <c r="I1032" s="10"/>
    </row>
    <row r="1033">
      <c r="A1033" s="10"/>
      <c r="I1033" s="10"/>
    </row>
    <row r="1034">
      <c r="A1034" s="10"/>
      <c r="I1034" s="10"/>
    </row>
    <row r="1035">
      <c r="A1035" s="10"/>
      <c r="I1035" s="10"/>
    </row>
    <row r="1036">
      <c r="A1036" s="10"/>
      <c r="I1036" s="10"/>
    </row>
    <row r="1037">
      <c r="A1037" s="10"/>
      <c r="I1037" s="10"/>
    </row>
    <row r="1038">
      <c r="A1038" s="10"/>
      <c r="I1038" s="10"/>
    </row>
    <row r="1039">
      <c r="A1039" s="10"/>
      <c r="I1039" s="10"/>
    </row>
    <row r="1040">
      <c r="A1040" s="10"/>
      <c r="I1040" s="10"/>
    </row>
    <row r="1041">
      <c r="A1041" s="10"/>
      <c r="I1041" s="10"/>
    </row>
    <row r="1042">
      <c r="A1042" s="10"/>
      <c r="I1042" s="10"/>
    </row>
    <row r="1043">
      <c r="A1043" s="10"/>
      <c r="I1043" s="10"/>
    </row>
    <row r="1044">
      <c r="A1044" s="10"/>
      <c r="I1044" s="10"/>
    </row>
    <row r="1045">
      <c r="A1045" s="10"/>
      <c r="I1045" s="10"/>
    </row>
    <row r="1046">
      <c r="A1046" s="10"/>
      <c r="I1046" s="10"/>
    </row>
    <row r="1047">
      <c r="A1047" s="10"/>
      <c r="I1047" s="10"/>
    </row>
    <row r="1048">
      <c r="A1048" s="10"/>
      <c r="I1048" s="10"/>
    </row>
    <row r="1049">
      <c r="A1049" s="10"/>
      <c r="I1049" s="10"/>
    </row>
    <row r="1050">
      <c r="A1050" s="10"/>
      <c r="I1050" s="10"/>
    </row>
    <row r="1051">
      <c r="A1051" s="10"/>
      <c r="I1051" s="10"/>
    </row>
    <row r="1052">
      <c r="A1052" s="10"/>
      <c r="I1052" s="10"/>
    </row>
    <row r="1053">
      <c r="A1053" s="39"/>
      <c r="I1053" s="10"/>
    </row>
    <row r="1054">
      <c r="A1054" s="39"/>
      <c r="I1054" s="10"/>
    </row>
    <row r="1055">
      <c r="A1055" s="39"/>
      <c r="I1055" s="10"/>
    </row>
    <row r="1056">
      <c r="A1056" s="39"/>
      <c r="I1056" s="10"/>
    </row>
  </sheetData>
  <mergeCells count="4">
    <mergeCell ref="I2:P2"/>
    <mergeCell ref="I25:P25"/>
    <mergeCell ref="I34:P34"/>
    <mergeCell ref="I57:P5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25"/>
  </cols>
  <sheetData>
    <row r="1">
      <c r="A1" s="31" t="s">
        <v>3430</v>
      </c>
      <c r="B1" s="11" t="s">
        <v>3431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</row>
    <row r="2">
      <c r="A2" s="47" t="s">
        <v>3432</v>
      </c>
    </row>
    <row r="3">
      <c r="A3" s="31" t="s">
        <v>9</v>
      </c>
      <c r="B3" s="48" t="s">
        <v>371</v>
      </c>
      <c r="C3" s="24" t="s">
        <v>3433</v>
      </c>
      <c r="D3" s="48" t="str">
        <f>RF_F1!K23</f>
        <v>20/0/0</v>
      </c>
      <c r="E3" s="48" t="str">
        <f>RF_F1!L23</f>
        <v>20/0/0</v>
      </c>
      <c r="F3" s="48" t="str">
        <f>RF_F1!M23</f>
        <v>17/0/3</v>
      </c>
      <c r="G3" s="48" t="str">
        <f>RF_F1!N23</f>
        <v>11/0/9</v>
      </c>
      <c r="H3" s="48" t="str">
        <f>RF_F1!O23</f>
        <v>11/0/9</v>
      </c>
      <c r="I3" s="48" t="str">
        <f>RF_F1!P23</f>
        <v>13/0/7</v>
      </c>
    </row>
    <row r="4">
      <c r="B4" s="48" t="s">
        <v>3434</v>
      </c>
      <c r="C4" s="48">
        <f>RF_F1!J24</f>
        <v>28.97</v>
      </c>
      <c r="D4" s="48">
        <f>RF_F1!K24</f>
        <v>6.49</v>
      </c>
      <c r="E4" s="48">
        <f>RF_F1!L24</f>
        <v>4.95</v>
      </c>
      <c r="F4" s="48">
        <f>RF_F1!M24</f>
        <v>20.13</v>
      </c>
      <c r="G4" s="48">
        <f>RF_F1!N24</f>
        <v>28.12</v>
      </c>
      <c r="H4" s="48">
        <f>RF_F1!O24</f>
        <v>28.05</v>
      </c>
      <c r="I4" s="48">
        <f>RF_F1!P24</f>
        <v>24.62</v>
      </c>
    </row>
    <row r="5">
      <c r="A5" s="31" t="s">
        <v>504</v>
      </c>
      <c r="B5" s="48" t="s">
        <v>371</v>
      </c>
      <c r="C5" s="24" t="s">
        <v>3433</v>
      </c>
      <c r="D5" s="48" t="str">
        <f>RF_F1!K32</f>
        <v>4/2/0</v>
      </c>
      <c r="E5" s="48" t="str">
        <f>RF_F1!L32</f>
        <v>6/0/0</v>
      </c>
      <c r="F5" s="48" t="str">
        <f>RF_F1!M32</f>
        <v>2/2/2</v>
      </c>
      <c r="G5" s="48" t="str">
        <f>RF_F1!N32</f>
        <v>2/2/2</v>
      </c>
      <c r="H5" s="48" t="str">
        <f>RF_F1!O32</f>
        <v>2/2/2</v>
      </c>
      <c r="I5" s="48" t="str">
        <f>RF_F1!P32</f>
        <v>3/2/1</v>
      </c>
    </row>
    <row r="6">
      <c r="B6" s="48" t="s">
        <v>3435</v>
      </c>
      <c r="C6" s="48">
        <f>RF_F1!J33</f>
        <v>58.52</v>
      </c>
      <c r="D6" s="48">
        <f>RF_F1!K33</f>
        <v>47.4</v>
      </c>
      <c r="E6" s="48">
        <f>RF_F1!L33</f>
        <v>36.07</v>
      </c>
      <c r="F6" s="48">
        <f>RF_F1!M33</f>
        <v>54.78</v>
      </c>
      <c r="G6" s="48">
        <f>RF_F1!N33</f>
        <v>59.86</v>
      </c>
      <c r="H6" s="48">
        <f>RF_F1!O33</f>
        <v>58.7</v>
      </c>
      <c r="I6" s="48">
        <f>RF_F1!P33</f>
        <v>52.69</v>
      </c>
    </row>
    <row r="7">
      <c r="A7" s="31" t="s">
        <v>659</v>
      </c>
      <c r="B7" s="48" t="s">
        <v>371</v>
      </c>
      <c r="C7" s="24" t="s">
        <v>3433</v>
      </c>
      <c r="D7" s="48" t="str">
        <f>RF_F1!K55</f>
        <v>10/0/10</v>
      </c>
      <c r="E7" s="48" t="str">
        <f>RF_F1!L55</f>
        <v>20/0/0</v>
      </c>
      <c r="F7" s="48" t="str">
        <f>RF_F1!M55</f>
        <v>8/0/12</v>
      </c>
      <c r="G7" s="48" t="str">
        <f>RF_F1!N55</f>
        <v>11/0/9</v>
      </c>
      <c r="H7" s="48" t="str">
        <f>RF_F1!O55</f>
        <v>13/0/7</v>
      </c>
      <c r="I7" s="48" t="str">
        <f>RF_F1!P55</f>
        <v>12/0/8</v>
      </c>
    </row>
    <row r="8">
      <c r="B8" s="48" t="s">
        <v>3435</v>
      </c>
      <c r="C8" s="48">
        <f>RF_F1!J56</f>
        <v>40.14</v>
      </c>
      <c r="D8" s="48">
        <f>RF_F1!K56</f>
        <v>33.54</v>
      </c>
      <c r="E8" s="48">
        <f>RF_F1!L56</f>
        <v>10.96</v>
      </c>
      <c r="F8" s="48">
        <f>RF_F1!M56</f>
        <v>38.74</v>
      </c>
      <c r="G8" s="48">
        <f>RF_F1!N56</f>
        <v>38.44</v>
      </c>
      <c r="H8" s="48">
        <f>RF_F1!O56</f>
        <v>39</v>
      </c>
      <c r="I8" s="48">
        <f>RF_F1!P56</f>
        <v>38.63</v>
      </c>
    </row>
    <row r="9">
      <c r="A9" s="31" t="s">
        <v>1013</v>
      </c>
      <c r="B9" s="48" t="s">
        <v>371</v>
      </c>
      <c r="C9" s="24" t="s">
        <v>3433</v>
      </c>
      <c r="D9" s="48" t="str">
        <f>RF_F1!K78</f>
        <v>15/0/5</v>
      </c>
      <c r="E9" s="48" t="str">
        <f>RF_F1!L78</f>
        <v>17/0/3</v>
      </c>
      <c r="F9" s="48" t="str">
        <f>RF_F1!M78</f>
        <v>18/0/2</v>
      </c>
      <c r="G9" s="48" t="str">
        <f>RF_F1!N78</f>
        <v>15/0/5</v>
      </c>
      <c r="H9" s="48" t="str">
        <f>RF_F1!O78</f>
        <v>15/0/5</v>
      </c>
      <c r="I9" s="48" t="str">
        <f>RF_F1!P78</f>
        <v>13/0/7</v>
      </c>
    </row>
    <row r="10">
      <c r="B10" s="48" t="s">
        <v>3435</v>
      </c>
      <c r="C10" s="48">
        <f>RF_F1!J79</f>
        <v>40.07</v>
      </c>
      <c r="D10" s="48">
        <f>RF_F1!K79</f>
        <v>27.63</v>
      </c>
      <c r="E10" s="48">
        <f>RF_F1!L79</f>
        <v>25.91</v>
      </c>
      <c r="F10" s="48">
        <f>RF_F1!M79</f>
        <v>33.15</v>
      </c>
      <c r="G10" s="48">
        <f>RF_F1!N79</f>
        <v>37.82</v>
      </c>
      <c r="H10" s="48">
        <f>RF_F1!O79</f>
        <v>38.46</v>
      </c>
      <c r="I10" s="48">
        <f>RF_F1!P79</f>
        <v>34.32</v>
      </c>
    </row>
    <row r="11">
      <c r="A11" s="47" t="s">
        <v>2370</v>
      </c>
    </row>
    <row r="12">
      <c r="A12" s="31" t="s">
        <v>371</v>
      </c>
      <c r="C12" s="14" t="s">
        <v>3433</v>
      </c>
      <c r="D12" s="32" t="str">
        <f>RF_F1!K80</f>
        <v>49/2/15</v>
      </c>
      <c r="E12" s="32" t="str">
        <f>RF_F1!L80</f>
        <v>63/0/3</v>
      </c>
      <c r="F12" s="32" t="str">
        <f>RF_F1!M80</f>
        <v>45/2/19</v>
      </c>
      <c r="G12" s="32" t="str">
        <f>RF_F1!N80</f>
        <v>39/2/25</v>
      </c>
      <c r="H12" s="32" t="str">
        <f>RF_F1!O80</f>
        <v>41/2/23</v>
      </c>
      <c r="I12" s="32" t="str">
        <f>RF_F1!P80</f>
        <v>41/2/23</v>
      </c>
    </row>
    <row r="13">
      <c r="A13" s="29" t="s">
        <v>3436</v>
      </c>
      <c r="C13" s="32">
        <f>RF_F1!J81</f>
        <v>38.4</v>
      </c>
      <c r="D13" s="32">
        <f>RF_F1!K81</f>
        <v>24.81</v>
      </c>
      <c r="E13" s="32">
        <f>RF_F1!L81</f>
        <v>15.95</v>
      </c>
      <c r="F13" s="32">
        <f>RF_F1!M81</f>
        <v>32.86</v>
      </c>
      <c r="G13" s="32">
        <f>RF_F1!N81</f>
        <v>37.07</v>
      </c>
      <c r="H13" s="32">
        <f>RF_F1!O81</f>
        <v>37.31</v>
      </c>
      <c r="I13" s="32">
        <f>RF_F1!P81</f>
        <v>34.36</v>
      </c>
    </row>
    <row r="14">
      <c r="A14" s="47" t="s">
        <v>3437</v>
      </c>
    </row>
    <row r="15">
      <c r="A15" s="11" t="s">
        <v>9</v>
      </c>
      <c r="B15" s="32" t="s">
        <v>371</v>
      </c>
      <c r="C15" s="14" t="s">
        <v>3433</v>
      </c>
      <c r="D15" s="32" t="str">
        <f>LR_F1!K23</f>
        <v>19/0/1</v>
      </c>
      <c r="E15" s="32" t="str">
        <f>LR_F1!L23</f>
        <v>17/0/3</v>
      </c>
      <c r="F15" s="32" t="str">
        <f>LR_F1!M23</f>
        <v>15/0/5</v>
      </c>
      <c r="G15" s="32" t="str">
        <f>LR_F1!N23</f>
        <v>16/0/4</v>
      </c>
      <c r="H15" s="32" t="str">
        <f>LR_F1!O23</f>
        <v>16/0/4</v>
      </c>
      <c r="I15" s="32" t="str">
        <f>LR_F1!P23</f>
        <v>14/0/6</v>
      </c>
    </row>
    <row r="16">
      <c r="B16" s="32" t="s">
        <v>489</v>
      </c>
      <c r="C16" s="32">
        <f>LR_F1!J24</f>
        <v>27.36</v>
      </c>
      <c r="D16" s="32">
        <f>LR_F1!K24</f>
        <v>16.91</v>
      </c>
      <c r="E16" s="32">
        <f>LR_F1!L24</f>
        <v>16.18</v>
      </c>
      <c r="F16" s="32">
        <f>LR_F1!M24</f>
        <v>25.51</v>
      </c>
      <c r="G16" s="32">
        <f>LR_F1!N24</f>
        <v>25.16</v>
      </c>
      <c r="H16" s="32">
        <f>LR_F1!O24</f>
        <v>25.3</v>
      </c>
      <c r="I16" s="32">
        <f>LR_F1!P24</f>
        <v>24.54</v>
      </c>
    </row>
    <row r="17">
      <c r="A17" s="11" t="s">
        <v>504</v>
      </c>
      <c r="B17" s="32" t="s">
        <v>371</v>
      </c>
      <c r="C17" s="14" t="s">
        <v>3433</v>
      </c>
      <c r="D17" s="32" t="str">
        <f>LR_F1!K32</f>
        <v>4/2/0</v>
      </c>
      <c r="E17" s="32" t="str">
        <f>LR_F1!L32</f>
        <v>2/0/4</v>
      </c>
      <c r="F17" s="32" t="str">
        <f>LR_F1!M32</f>
        <v>3/2/1</v>
      </c>
      <c r="G17" s="32" t="str">
        <f>LR_F1!N32</f>
        <v>3/2/1</v>
      </c>
      <c r="H17" s="32" t="str">
        <f>LR_F1!O32</f>
        <v>3/2/1</v>
      </c>
      <c r="I17" s="32" t="str">
        <f>LR_F1!P32</f>
        <v>4/2/0</v>
      </c>
    </row>
    <row r="18">
      <c r="B18" s="32" t="s">
        <v>489</v>
      </c>
      <c r="C18" s="32">
        <f>LR_F1!J33</f>
        <v>50.11</v>
      </c>
      <c r="D18" s="32">
        <f>LR_F1!K33</f>
        <v>40.85</v>
      </c>
      <c r="E18" s="32">
        <f>LR_F1!L33</f>
        <v>54.17</v>
      </c>
      <c r="F18" s="32">
        <f>LR_F1!M33</f>
        <v>49.07</v>
      </c>
      <c r="G18" s="32">
        <f>LR_F1!N33</f>
        <v>48.44</v>
      </c>
      <c r="H18" s="32">
        <f>LR_F1!O33</f>
        <v>48.65</v>
      </c>
      <c r="I18" s="32">
        <f>LR_F1!P33</f>
        <v>46.25</v>
      </c>
    </row>
    <row r="19">
      <c r="A19" s="11" t="s">
        <v>659</v>
      </c>
      <c r="B19" s="32" t="s">
        <v>371</v>
      </c>
      <c r="C19" s="14" t="s">
        <v>3433</v>
      </c>
      <c r="D19" s="32" t="str">
        <f>LR_F1!K55</f>
        <v>12/0/8</v>
      </c>
      <c r="E19" s="32" t="str">
        <f>LR_F1!L55</f>
        <v>15/0/5</v>
      </c>
      <c r="F19" s="32" t="str">
        <f>LR_F1!M55</f>
        <v>11/0/9</v>
      </c>
      <c r="G19" s="32" t="str">
        <f>LR_F1!N55</f>
        <v>11/0/9</v>
      </c>
      <c r="H19" s="32" t="str">
        <f>LR_F1!O55</f>
        <v>14/0/6</v>
      </c>
      <c r="I19" s="32" t="str">
        <f>LR_F1!P55</f>
        <v>16/0/4</v>
      </c>
    </row>
    <row r="20">
      <c r="B20" s="32" t="s">
        <v>489</v>
      </c>
      <c r="C20" s="32">
        <f>LR_F1!J56</f>
        <v>38.7</v>
      </c>
      <c r="D20" s="32">
        <f>LR_F1!K56</f>
        <v>31.42</v>
      </c>
      <c r="E20" s="32">
        <f>LR_F1!L56</f>
        <v>27.49</v>
      </c>
      <c r="F20" s="32">
        <f>LR_F1!M56</f>
        <v>37.73</v>
      </c>
      <c r="G20" s="32">
        <f>LR_F1!N56</f>
        <v>36.17</v>
      </c>
      <c r="H20" s="32">
        <f>LR_F1!O56</f>
        <v>37.29</v>
      </c>
      <c r="I20" s="32">
        <f>LR_F1!P56</f>
        <v>32.09</v>
      </c>
    </row>
    <row r="21">
      <c r="A21" s="11" t="s">
        <v>1013</v>
      </c>
      <c r="B21" s="32" t="s">
        <v>371</v>
      </c>
      <c r="C21" s="14" t="s">
        <v>3433</v>
      </c>
      <c r="D21" s="32" t="str">
        <f>LR_F1!K78</f>
        <v>15/0/5</v>
      </c>
      <c r="E21" s="32" t="str">
        <f>LR_F1!L78</f>
        <v>15/0/5</v>
      </c>
      <c r="F21" s="32" t="str">
        <f>LR_F1!M78</f>
        <v>16/0/4</v>
      </c>
      <c r="G21" s="32" t="str">
        <f>LR_F1!N78</f>
        <v>16/0/4</v>
      </c>
      <c r="H21" s="32" t="str">
        <f>LR_F1!O78</f>
        <v>16/0/4</v>
      </c>
      <c r="I21" s="32" t="str">
        <f>LR_F1!P78</f>
        <v>17/0/3</v>
      </c>
    </row>
    <row r="22">
      <c r="B22" s="32" t="s">
        <v>489</v>
      </c>
      <c r="C22" s="32">
        <f>LR_F1!J79</f>
        <v>38.03</v>
      </c>
      <c r="D22" s="32">
        <f>LR_F1!K79</f>
        <v>30.35</v>
      </c>
      <c r="E22" s="32">
        <f>LR_F1!L79</f>
        <v>28.85</v>
      </c>
      <c r="F22" s="32">
        <f>LR_F1!M79</f>
        <v>36.64</v>
      </c>
      <c r="G22" s="32">
        <f>LR_F1!N79</f>
        <v>35.17</v>
      </c>
      <c r="H22" s="32">
        <f>LR_F1!O79</f>
        <v>36.39</v>
      </c>
      <c r="I22" s="32">
        <f>LR_F1!P79</f>
        <v>33.57</v>
      </c>
    </row>
    <row r="23">
      <c r="A23" s="3" t="s">
        <v>2370</v>
      </c>
    </row>
    <row r="24">
      <c r="A24" s="31" t="s">
        <v>371</v>
      </c>
      <c r="C24" s="14" t="s">
        <v>3433</v>
      </c>
      <c r="D24" s="49" t="str">
        <f>LR_F1!K80</f>
        <v>50/2/14</v>
      </c>
      <c r="E24" s="49" t="str">
        <f>LR_F1!L80</f>
        <v>49/0/17</v>
      </c>
      <c r="F24" s="49" t="str">
        <f>LR_F1!M80</f>
        <v>45/2/19</v>
      </c>
      <c r="G24" s="49" t="str">
        <f>LR_F1!N80</f>
        <v>46/2/18</v>
      </c>
      <c r="H24" s="49" t="str">
        <f>LR_F1!O80</f>
        <v>49/2/15</v>
      </c>
      <c r="I24" s="49" t="str">
        <f>LR_F1!P80</f>
        <v>51/2/13</v>
      </c>
    </row>
    <row r="25">
      <c r="A25" s="29" t="s">
        <v>489</v>
      </c>
      <c r="C25" s="32">
        <f>LR_F1!J81</f>
        <v>36.1</v>
      </c>
      <c r="D25" s="32">
        <f>LR_F1!K81</f>
        <v>27.56</v>
      </c>
      <c r="E25" s="32">
        <f>LR_F1!L81</f>
        <v>26.9</v>
      </c>
      <c r="F25" s="32">
        <f>LR_F1!M81</f>
        <v>34.73</v>
      </c>
      <c r="G25" s="32">
        <f>LR_F1!N81</f>
        <v>33.65</v>
      </c>
      <c r="H25" s="32">
        <f>LR_F1!O81</f>
        <v>34.42</v>
      </c>
      <c r="I25" s="32">
        <f>LR_F1!P81</f>
        <v>31.54</v>
      </c>
    </row>
    <row r="26">
      <c r="A26" s="50"/>
    </row>
    <row r="27">
      <c r="A27" s="50"/>
    </row>
    <row r="28">
      <c r="A28" s="50"/>
    </row>
    <row r="29">
      <c r="A29" s="50"/>
    </row>
    <row r="30">
      <c r="A30" s="50"/>
    </row>
    <row r="31">
      <c r="A31" s="50"/>
    </row>
    <row r="32">
      <c r="A32" s="50"/>
    </row>
    <row r="33">
      <c r="A33" s="50"/>
    </row>
    <row r="34">
      <c r="A34" s="50"/>
    </row>
    <row r="35">
      <c r="A35" s="50"/>
    </row>
    <row r="36">
      <c r="A36" s="50"/>
    </row>
    <row r="37">
      <c r="A37" s="50"/>
    </row>
    <row r="38">
      <c r="A38" s="50"/>
    </row>
    <row r="39">
      <c r="A39" s="50"/>
    </row>
    <row r="40">
      <c r="A40" s="50"/>
    </row>
    <row r="41">
      <c r="A41" s="50"/>
    </row>
    <row r="42">
      <c r="A42" s="50"/>
    </row>
    <row r="43">
      <c r="A43" s="50"/>
    </row>
    <row r="44">
      <c r="A44" s="50"/>
    </row>
    <row r="45">
      <c r="A45" s="50"/>
    </row>
    <row r="46">
      <c r="A46" s="50"/>
    </row>
    <row r="47">
      <c r="A47" s="50"/>
    </row>
    <row r="48">
      <c r="A48" s="50"/>
    </row>
    <row r="49">
      <c r="A49" s="50"/>
    </row>
    <row r="50">
      <c r="A50" s="50"/>
    </row>
    <row r="51">
      <c r="A51" s="50"/>
    </row>
    <row r="52">
      <c r="A52" s="50"/>
    </row>
    <row r="53">
      <c r="A53" s="50"/>
    </row>
    <row r="54">
      <c r="A54" s="50"/>
    </row>
    <row r="55">
      <c r="A55" s="50"/>
    </row>
    <row r="56">
      <c r="A56" s="50"/>
    </row>
    <row r="57">
      <c r="A57" s="50"/>
    </row>
    <row r="58">
      <c r="A58" s="50"/>
    </row>
    <row r="59">
      <c r="A59" s="50"/>
    </row>
    <row r="60">
      <c r="A60" s="50"/>
    </row>
    <row r="61">
      <c r="A61" s="50"/>
    </row>
    <row r="62">
      <c r="A62" s="50"/>
    </row>
    <row r="63">
      <c r="A63" s="50"/>
    </row>
    <row r="64">
      <c r="A64" s="50"/>
    </row>
    <row r="65">
      <c r="A65" s="50"/>
    </row>
    <row r="66">
      <c r="A66" s="50"/>
    </row>
    <row r="67">
      <c r="A67" s="50"/>
    </row>
    <row r="68">
      <c r="A68" s="50"/>
    </row>
    <row r="69">
      <c r="A69" s="50"/>
    </row>
    <row r="70">
      <c r="A70" s="50"/>
    </row>
    <row r="71">
      <c r="A71" s="50"/>
    </row>
    <row r="72">
      <c r="A72" s="50"/>
    </row>
    <row r="73">
      <c r="A73" s="50"/>
    </row>
    <row r="74">
      <c r="A74" s="50"/>
    </row>
    <row r="75">
      <c r="A75" s="50"/>
    </row>
    <row r="76">
      <c r="A76" s="50"/>
    </row>
    <row r="77">
      <c r="A77" s="50"/>
    </row>
    <row r="78">
      <c r="A78" s="50"/>
    </row>
    <row r="79">
      <c r="A79" s="50"/>
    </row>
    <row r="80">
      <c r="A80" s="50"/>
    </row>
    <row r="81">
      <c r="A81" s="50"/>
    </row>
    <row r="82">
      <c r="A82" s="50"/>
    </row>
    <row r="83">
      <c r="A83" s="50"/>
    </row>
    <row r="84">
      <c r="A84" s="50"/>
    </row>
    <row r="85">
      <c r="A85" s="50"/>
    </row>
    <row r="86">
      <c r="A86" s="50"/>
    </row>
    <row r="87">
      <c r="A87" s="50"/>
    </row>
    <row r="88">
      <c r="A88" s="50"/>
    </row>
    <row r="89">
      <c r="A89" s="50"/>
    </row>
    <row r="90">
      <c r="A90" s="50"/>
    </row>
    <row r="91">
      <c r="A91" s="50"/>
    </row>
    <row r="92">
      <c r="A92" s="50"/>
    </row>
    <row r="93">
      <c r="A93" s="50"/>
    </row>
    <row r="94">
      <c r="A94" s="50"/>
    </row>
    <row r="95">
      <c r="A95" s="50"/>
    </row>
    <row r="96">
      <c r="A96" s="50"/>
    </row>
    <row r="97">
      <c r="A97" s="50"/>
    </row>
    <row r="98">
      <c r="A98" s="50"/>
    </row>
    <row r="99">
      <c r="A99" s="50"/>
    </row>
    <row r="100">
      <c r="A100" s="50"/>
    </row>
    <row r="101">
      <c r="A101" s="50"/>
    </row>
    <row r="102">
      <c r="A102" s="50"/>
    </row>
    <row r="103">
      <c r="A103" s="50"/>
    </row>
    <row r="104">
      <c r="A104" s="50"/>
    </row>
    <row r="105">
      <c r="A105" s="50"/>
    </row>
    <row r="106">
      <c r="A106" s="50"/>
    </row>
    <row r="107">
      <c r="A107" s="50"/>
    </row>
    <row r="108">
      <c r="A108" s="50"/>
    </row>
    <row r="109">
      <c r="A109" s="50"/>
    </row>
    <row r="110">
      <c r="A110" s="50"/>
    </row>
    <row r="111">
      <c r="A111" s="50"/>
    </row>
    <row r="112">
      <c r="A112" s="50"/>
    </row>
    <row r="113">
      <c r="A113" s="50"/>
    </row>
    <row r="114">
      <c r="A114" s="50"/>
    </row>
    <row r="115">
      <c r="A115" s="50"/>
    </row>
    <row r="116">
      <c r="A116" s="50"/>
    </row>
    <row r="117">
      <c r="A117" s="50"/>
    </row>
    <row r="118">
      <c r="A118" s="50"/>
    </row>
    <row r="119">
      <c r="A119" s="50"/>
    </row>
    <row r="120">
      <c r="A120" s="50"/>
    </row>
    <row r="121">
      <c r="A121" s="50"/>
    </row>
    <row r="122">
      <c r="A122" s="50"/>
    </row>
    <row r="123">
      <c r="A123" s="50"/>
    </row>
    <row r="124">
      <c r="A124" s="50"/>
    </row>
    <row r="125">
      <c r="A125" s="50"/>
    </row>
    <row r="126">
      <c r="A126" s="50"/>
    </row>
    <row r="127">
      <c r="A127" s="50"/>
    </row>
    <row r="128">
      <c r="A128" s="50"/>
    </row>
    <row r="129">
      <c r="A129" s="50"/>
    </row>
    <row r="130">
      <c r="A130" s="50"/>
    </row>
    <row r="131">
      <c r="A131" s="50"/>
    </row>
    <row r="132">
      <c r="A132" s="50"/>
    </row>
    <row r="133">
      <c r="A133" s="50"/>
    </row>
    <row r="134">
      <c r="A134" s="50"/>
    </row>
    <row r="135">
      <c r="A135" s="50"/>
    </row>
    <row r="136">
      <c r="A136" s="50"/>
    </row>
    <row r="137">
      <c r="A137" s="50"/>
    </row>
    <row r="138">
      <c r="A138" s="50"/>
    </row>
    <row r="139">
      <c r="A139" s="50"/>
    </row>
    <row r="140">
      <c r="A140" s="50"/>
    </row>
    <row r="141">
      <c r="A141" s="50"/>
    </row>
    <row r="142">
      <c r="A142" s="50"/>
    </row>
    <row r="143">
      <c r="A143" s="50"/>
    </row>
    <row r="144">
      <c r="A144" s="50"/>
    </row>
    <row r="145">
      <c r="A145" s="50"/>
    </row>
    <row r="146">
      <c r="A146" s="50"/>
    </row>
    <row r="147">
      <c r="A147" s="50"/>
    </row>
    <row r="148">
      <c r="A148" s="50"/>
    </row>
    <row r="149">
      <c r="A149" s="50"/>
    </row>
    <row r="150">
      <c r="A150" s="50"/>
    </row>
    <row r="151">
      <c r="A151" s="50"/>
    </row>
    <row r="152">
      <c r="A152" s="50"/>
    </row>
    <row r="153">
      <c r="A153" s="50"/>
    </row>
    <row r="154">
      <c r="A154" s="50"/>
    </row>
    <row r="155">
      <c r="A155" s="50"/>
    </row>
    <row r="156">
      <c r="A156" s="50"/>
    </row>
    <row r="157">
      <c r="A157" s="50"/>
    </row>
    <row r="158">
      <c r="A158" s="50"/>
    </row>
    <row r="159">
      <c r="A159" s="50"/>
    </row>
    <row r="160">
      <c r="A160" s="50"/>
    </row>
    <row r="161">
      <c r="A161" s="50"/>
    </row>
    <row r="162">
      <c r="A162" s="50"/>
    </row>
    <row r="163">
      <c r="A163" s="50"/>
    </row>
    <row r="164">
      <c r="A164" s="50"/>
    </row>
    <row r="165">
      <c r="A165" s="50"/>
    </row>
    <row r="166">
      <c r="A166" s="50"/>
    </row>
    <row r="167">
      <c r="A167" s="50"/>
    </row>
    <row r="168">
      <c r="A168" s="50"/>
    </row>
    <row r="169">
      <c r="A169" s="50"/>
    </row>
    <row r="170">
      <c r="A170" s="50"/>
    </row>
    <row r="171">
      <c r="A171" s="50"/>
    </row>
    <row r="172">
      <c r="A172" s="50"/>
    </row>
    <row r="173">
      <c r="A173" s="50"/>
    </row>
    <row r="174">
      <c r="A174" s="50"/>
    </row>
    <row r="175">
      <c r="A175" s="50"/>
    </row>
    <row r="176">
      <c r="A176" s="50"/>
    </row>
    <row r="177">
      <c r="A177" s="50"/>
    </row>
    <row r="178">
      <c r="A178" s="50"/>
    </row>
    <row r="179">
      <c r="A179" s="50"/>
    </row>
    <row r="180">
      <c r="A180" s="50"/>
    </row>
    <row r="181">
      <c r="A181" s="50"/>
    </row>
    <row r="182">
      <c r="A182" s="50"/>
    </row>
    <row r="183">
      <c r="A183" s="50"/>
    </row>
    <row r="184">
      <c r="A184" s="50"/>
    </row>
    <row r="185">
      <c r="A185" s="50"/>
    </row>
    <row r="186">
      <c r="A186" s="50"/>
    </row>
    <row r="187">
      <c r="A187" s="50"/>
    </row>
    <row r="188">
      <c r="A188" s="50"/>
    </row>
    <row r="189">
      <c r="A189" s="50"/>
    </row>
    <row r="190">
      <c r="A190" s="50"/>
    </row>
    <row r="191">
      <c r="A191" s="50"/>
    </row>
    <row r="192">
      <c r="A192" s="50"/>
    </row>
    <row r="193">
      <c r="A193" s="50"/>
    </row>
    <row r="194">
      <c r="A194" s="50"/>
    </row>
    <row r="195">
      <c r="A195" s="50"/>
    </row>
    <row r="196">
      <c r="A196" s="50"/>
    </row>
    <row r="197">
      <c r="A197" s="50"/>
    </row>
    <row r="198">
      <c r="A198" s="50"/>
    </row>
    <row r="199">
      <c r="A199" s="50"/>
    </row>
    <row r="200">
      <c r="A200" s="50"/>
    </row>
    <row r="201">
      <c r="A201" s="50"/>
    </row>
    <row r="202">
      <c r="A202" s="50"/>
    </row>
    <row r="203">
      <c r="A203" s="50"/>
    </row>
    <row r="204">
      <c r="A204" s="50"/>
    </row>
    <row r="205">
      <c r="A205" s="50"/>
    </row>
    <row r="206">
      <c r="A206" s="50"/>
    </row>
    <row r="207">
      <c r="A207" s="50"/>
    </row>
    <row r="208">
      <c r="A208" s="50"/>
    </row>
    <row r="209">
      <c r="A209" s="50"/>
    </row>
    <row r="210">
      <c r="A210" s="50"/>
    </row>
    <row r="211">
      <c r="A211" s="50"/>
    </row>
    <row r="212">
      <c r="A212" s="50"/>
    </row>
    <row r="213">
      <c r="A213" s="50"/>
    </row>
    <row r="214">
      <c r="A214" s="50"/>
    </row>
    <row r="215">
      <c r="A215" s="50"/>
    </row>
    <row r="216">
      <c r="A216" s="50"/>
    </row>
    <row r="217">
      <c r="A217" s="50"/>
    </row>
    <row r="218">
      <c r="A218" s="50"/>
    </row>
    <row r="219">
      <c r="A219" s="50"/>
    </row>
    <row r="220">
      <c r="A220" s="50"/>
    </row>
    <row r="221">
      <c r="A221" s="50"/>
    </row>
    <row r="222">
      <c r="A222" s="50"/>
    </row>
    <row r="223">
      <c r="A223" s="50"/>
    </row>
    <row r="224">
      <c r="A224" s="50"/>
    </row>
    <row r="225">
      <c r="A225" s="50"/>
    </row>
    <row r="226">
      <c r="A226" s="50"/>
    </row>
    <row r="227">
      <c r="A227" s="50"/>
    </row>
    <row r="228">
      <c r="A228" s="50"/>
    </row>
    <row r="229">
      <c r="A229" s="50"/>
    </row>
    <row r="230">
      <c r="A230" s="50"/>
    </row>
    <row r="231">
      <c r="A231" s="50"/>
    </row>
    <row r="232">
      <c r="A232" s="50"/>
    </row>
    <row r="233">
      <c r="A233" s="50"/>
    </row>
    <row r="234">
      <c r="A234" s="50"/>
    </row>
    <row r="235">
      <c r="A235" s="50"/>
    </row>
    <row r="236">
      <c r="A236" s="50"/>
    </row>
    <row r="237">
      <c r="A237" s="50"/>
    </row>
    <row r="238">
      <c r="A238" s="50"/>
    </row>
    <row r="239">
      <c r="A239" s="50"/>
    </row>
    <row r="240">
      <c r="A240" s="50"/>
    </row>
    <row r="241">
      <c r="A241" s="50"/>
    </row>
    <row r="242">
      <c r="A242" s="50"/>
    </row>
    <row r="243">
      <c r="A243" s="50"/>
    </row>
    <row r="244">
      <c r="A244" s="50"/>
    </row>
    <row r="245">
      <c r="A245" s="50"/>
    </row>
    <row r="246">
      <c r="A246" s="50"/>
    </row>
    <row r="247">
      <c r="A247" s="50"/>
    </row>
    <row r="248">
      <c r="A248" s="50"/>
    </row>
    <row r="249">
      <c r="A249" s="50"/>
    </row>
    <row r="250">
      <c r="A250" s="50"/>
    </row>
    <row r="251">
      <c r="A251" s="50"/>
    </row>
    <row r="252">
      <c r="A252" s="50"/>
    </row>
    <row r="253">
      <c r="A253" s="50"/>
    </row>
    <row r="254">
      <c r="A254" s="50"/>
    </row>
    <row r="255">
      <c r="A255" s="50"/>
    </row>
    <row r="256">
      <c r="A256" s="50"/>
    </row>
    <row r="257">
      <c r="A257" s="50"/>
    </row>
    <row r="258">
      <c r="A258" s="50"/>
    </row>
    <row r="259">
      <c r="A259" s="50"/>
    </row>
    <row r="260">
      <c r="A260" s="50"/>
    </row>
    <row r="261">
      <c r="A261" s="50"/>
    </row>
    <row r="262">
      <c r="A262" s="50"/>
    </row>
    <row r="263">
      <c r="A263" s="50"/>
    </row>
    <row r="264">
      <c r="A264" s="50"/>
    </row>
    <row r="265">
      <c r="A265" s="50"/>
    </row>
    <row r="266">
      <c r="A266" s="50"/>
    </row>
    <row r="267">
      <c r="A267" s="50"/>
    </row>
    <row r="268">
      <c r="A268" s="50"/>
    </row>
    <row r="269">
      <c r="A269" s="50"/>
    </row>
    <row r="270">
      <c r="A270" s="50"/>
    </row>
    <row r="271">
      <c r="A271" s="50"/>
    </row>
    <row r="272">
      <c r="A272" s="50"/>
    </row>
    <row r="273">
      <c r="A273" s="50"/>
    </row>
    <row r="274">
      <c r="A274" s="50"/>
    </row>
    <row r="275">
      <c r="A275" s="50"/>
    </row>
    <row r="276">
      <c r="A276" s="50"/>
    </row>
    <row r="277">
      <c r="A277" s="50"/>
    </row>
    <row r="278">
      <c r="A278" s="50"/>
    </row>
    <row r="279">
      <c r="A279" s="50"/>
    </row>
    <row r="280">
      <c r="A280" s="50"/>
    </row>
    <row r="281">
      <c r="A281" s="50"/>
    </row>
    <row r="282">
      <c r="A282" s="50"/>
    </row>
    <row r="283">
      <c r="A283" s="50"/>
    </row>
    <row r="284">
      <c r="A284" s="50"/>
    </row>
    <row r="285">
      <c r="A285" s="50"/>
    </row>
    <row r="286">
      <c r="A286" s="50"/>
    </row>
    <row r="287">
      <c r="A287" s="50"/>
    </row>
    <row r="288">
      <c r="A288" s="50"/>
    </row>
    <row r="289">
      <c r="A289" s="50"/>
    </row>
    <row r="290">
      <c r="A290" s="50"/>
    </row>
    <row r="291">
      <c r="A291" s="50"/>
    </row>
    <row r="292">
      <c r="A292" s="50"/>
    </row>
    <row r="293">
      <c r="A293" s="50"/>
    </row>
    <row r="294">
      <c r="A294" s="50"/>
    </row>
    <row r="295">
      <c r="A295" s="50"/>
    </row>
    <row r="296">
      <c r="A296" s="50"/>
    </row>
    <row r="297">
      <c r="A297" s="50"/>
    </row>
    <row r="298">
      <c r="A298" s="50"/>
    </row>
    <row r="299">
      <c r="A299" s="50"/>
    </row>
    <row r="300">
      <c r="A300" s="50"/>
    </row>
    <row r="301">
      <c r="A301" s="50"/>
    </row>
    <row r="302">
      <c r="A302" s="50"/>
    </row>
    <row r="303">
      <c r="A303" s="50"/>
    </row>
    <row r="304">
      <c r="A304" s="50"/>
    </row>
    <row r="305">
      <c r="A305" s="50"/>
    </row>
    <row r="306">
      <c r="A306" s="50"/>
    </row>
    <row r="307">
      <c r="A307" s="50"/>
    </row>
    <row r="308">
      <c r="A308" s="50"/>
    </row>
    <row r="309">
      <c r="A309" s="50"/>
    </row>
    <row r="310">
      <c r="A310" s="50"/>
    </row>
    <row r="311">
      <c r="A311" s="50"/>
    </row>
    <row r="312">
      <c r="A312" s="50"/>
    </row>
    <row r="313">
      <c r="A313" s="50"/>
    </row>
    <row r="314">
      <c r="A314" s="50"/>
    </row>
    <row r="315">
      <c r="A315" s="50"/>
    </row>
    <row r="316">
      <c r="A316" s="50"/>
    </row>
    <row r="317">
      <c r="A317" s="50"/>
    </row>
    <row r="318">
      <c r="A318" s="50"/>
    </row>
    <row r="319">
      <c r="A319" s="50"/>
    </row>
    <row r="320">
      <c r="A320" s="50"/>
    </row>
    <row r="321">
      <c r="A321" s="50"/>
    </row>
    <row r="322">
      <c r="A322" s="50"/>
    </row>
    <row r="323">
      <c r="A323" s="50"/>
    </row>
    <row r="324">
      <c r="A324" s="50"/>
    </row>
    <row r="325">
      <c r="A325" s="50"/>
    </row>
    <row r="326">
      <c r="A326" s="50"/>
    </row>
    <row r="327">
      <c r="A327" s="50"/>
    </row>
    <row r="328">
      <c r="A328" s="50"/>
    </row>
    <row r="329">
      <c r="A329" s="50"/>
    </row>
    <row r="330">
      <c r="A330" s="50"/>
    </row>
    <row r="331">
      <c r="A331" s="50"/>
    </row>
    <row r="332">
      <c r="A332" s="50"/>
    </row>
    <row r="333">
      <c r="A333" s="50"/>
    </row>
    <row r="334">
      <c r="A334" s="50"/>
    </row>
    <row r="335">
      <c r="A335" s="50"/>
    </row>
    <row r="336">
      <c r="A336" s="50"/>
    </row>
    <row r="337">
      <c r="A337" s="50"/>
    </row>
    <row r="338">
      <c r="A338" s="50"/>
    </row>
    <row r="339">
      <c r="A339" s="50"/>
    </row>
    <row r="340">
      <c r="A340" s="50"/>
    </row>
    <row r="341">
      <c r="A341" s="50"/>
    </row>
    <row r="342">
      <c r="A342" s="50"/>
    </row>
    <row r="343">
      <c r="A343" s="50"/>
    </row>
    <row r="344">
      <c r="A344" s="50"/>
    </row>
    <row r="345">
      <c r="A345" s="50"/>
    </row>
    <row r="346">
      <c r="A346" s="50"/>
    </row>
    <row r="347">
      <c r="A347" s="50"/>
    </row>
    <row r="348">
      <c r="A348" s="50"/>
    </row>
    <row r="349">
      <c r="A349" s="50"/>
    </row>
    <row r="350">
      <c r="A350" s="50"/>
    </row>
    <row r="351">
      <c r="A351" s="50"/>
    </row>
    <row r="352">
      <c r="A352" s="50"/>
    </row>
    <row r="353">
      <c r="A353" s="50"/>
    </row>
    <row r="354">
      <c r="A354" s="50"/>
    </row>
    <row r="355">
      <c r="A355" s="50"/>
    </row>
    <row r="356">
      <c r="A356" s="50"/>
    </row>
    <row r="357">
      <c r="A357" s="50"/>
    </row>
    <row r="358">
      <c r="A358" s="50"/>
    </row>
    <row r="359">
      <c r="A359" s="50"/>
    </row>
    <row r="360">
      <c r="A360" s="50"/>
    </row>
    <row r="361">
      <c r="A361" s="50"/>
    </row>
    <row r="362">
      <c r="A362" s="50"/>
    </row>
    <row r="363">
      <c r="A363" s="50"/>
    </row>
    <row r="364">
      <c r="A364" s="50"/>
    </row>
    <row r="365">
      <c r="A365" s="50"/>
    </row>
    <row r="366">
      <c r="A366" s="50"/>
    </row>
    <row r="367">
      <c r="A367" s="50"/>
    </row>
    <row r="368">
      <c r="A368" s="50"/>
    </row>
    <row r="369">
      <c r="A369" s="50"/>
    </row>
    <row r="370">
      <c r="A370" s="50"/>
    </row>
    <row r="371">
      <c r="A371" s="50"/>
    </row>
    <row r="372">
      <c r="A372" s="50"/>
    </row>
    <row r="373">
      <c r="A373" s="50"/>
    </row>
    <row r="374">
      <c r="A374" s="50"/>
    </row>
    <row r="375">
      <c r="A375" s="50"/>
    </row>
    <row r="376">
      <c r="A376" s="50"/>
    </row>
    <row r="377">
      <c r="A377" s="50"/>
    </row>
    <row r="378">
      <c r="A378" s="50"/>
    </row>
    <row r="379">
      <c r="A379" s="50"/>
    </row>
    <row r="380">
      <c r="A380" s="50"/>
    </row>
    <row r="381">
      <c r="A381" s="50"/>
    </row>
    <row r="382">
      <c r="A382" s="50"/>
    </row>
    <row r="383">
      <c r="A383" s="50"/>
    </row>
    <row r="384">
      <c r="A384" s="50"/>
    </row>
    <row r="385">
      <c r="A385" s="50"/>
    </row>
    <row r="386">
      <c r="A386" s="50"/>
    </row>
    <row r="387">
      <c r="A387" s="50"/>
    </row>
    <row r="388">
      <c r="A388" s="50"/>
    </row>
    <row r="389">
      <c r="A389" s="50"/>
    </row>
    <row r="390">
      <c r="A390" s="50"/>
    </row>
    <row r="391">
      <c r="A391" s="50"/>
    </row>
    <row r="392">
      <c r="A392" s="50"/>
    </row>
    <row r="393">
      <c r="A393" s="50"/>
    </row>
    <row r="394">
      <c r="A394" s="50"/>
    </row>
    <row r="395">
      <c r="A395" s="50"/>
    </row>
    <row r="396">
      <c r="A396" s="50"/>
    </row>
    <row r="397">
      <c r="A397" s="50"/>
    </row>
    <row r="398">
      <c r="A398" s="50"/>
    </row>
    <row r="399">
      <c r="A399" s="50"/>
    </row>
    <row r="400">
      <c r="A400" s="50"/>
    </row>
    <row r="401">
      <c r="A401" s="50"/>
    </row>
    <row r="402">
      <c r="A402" s="50"/>
    </row>
    <row r="403">
      <c r="A403" s="50"/>
    </row>
    <row r="404">
      <c r="A404" s="50"/>
    </row>
    <row r="405">
      <c r="A405" s="50"/>
    </row>
    <row r="406">
      <c r="A406" s="50"/>
    </row>
    <row r="407">
      <c r="A407" s="50"/>
    </row>
    <row r="408">
      <c r="A408" s="50"/>
    </row>
    <row r="409">
      <c r="A409" s="50"/>
    </row>
    <row r="410">
      <c r="A410" s="50"/>
    </row>
    <row r="411">
      <c r="A411" s="50"/>
    </row>
    <row r="412">
      <c r="A412" s="50"/>
    </row>
    <row r="413">
      <c r="A413" s="50"/>
    </row>
    <row r="414">
      <c r="A414" s="50"/>
    </row>
    <row r="415">
      <c r="A415" s="50"/>
    </row>
    <row r="416">
      <c r="A416" s="50"/>
    </row>
    <row r="417">
      <c r="A417" s="50"/>
    </row>
    <row r="418">
      <c r="A418" s="50"/>
    </row>
    <row r="419">
      <c r="A419" s="50"/>
    </row>
    <row r="420">
      <c r="A420" s="50"/>
    </row>
    <row r="421">
      <c r="A421" s="50"/>
    </row>
    <row r="422">
      <c r="A422" s="50"/>
    </row>
    <row r="423">
      <c r="A423" s="50"/>
    </row>
    <row r="424">
      <c r="A424" s="50"/>
    </row>
    <row r="425">
      <c r="A425" s="50"/>
    </row>
    <row r="426">
      <c r="A426" s="50"/>
    </row>
    <row r="427">
      <c r="A427" s="50"/>
    </row>
    <row r="428">
      <c r="A428" s="50"/>
    </row>
    <row r="429">
      <c r="A429" s="50"/>
    </row>
    <row r="430">
      <c r="A430" s="50"/>
    </row>
    <row r="431">
      <c r="A431" s="50"/>
    </row>
    <row r="432">
      <c r="A432" s="50"/>
    </row>
    <row r="433">
      <c r="A433" s="50"/>
    </row>
    <row r="434">
      <c r="A434" s="50"/>
    </row>
    <row r="435">
      <c r="A435" s="50"/>
    </row>
    <row r="436">
      <c r="A436" s="50"/>
    </row>
    <row r="437">
      <c r="A437" s="50"/>
    </row>
    <row r="438">
      <c r="A438" s="50"/>
    </row>
    <row r="439">
      <c r="A439" s="50"/>
    </row>
    <row r="440">
      <c r="A440" s="50"/>
    </row>
    <row r="441">
      <c r="A441" s="50"/>
    </row>
    <row r="442">
      <c r="A442" s="50"/>
    </row>
    <row r="443">
      <c r="A443" s="50"/>
    </row>
    <row r="444">
      <c r="A444" s="50"/>
    </row>
    <row r="445">
      <c r="A445" s="50"/>
    </row>
    <row r="446">
      <c r="A446" s="50"/>
    </row>
    <row r="447">
      <c r="A447" s="50"/>
    </row>
    <row r="448">
      <c r="A448" s="50"/>
    </row>
    <row r="449">
      <c r="A449" s="50"/>
    </row>
    <row r="450">
      <c r="A450" s="50"/>
    </row>
    <row r="451">
      <c r="A451" s="50"/>
    </row>
    <row r="452">
      <c r="A452" s="50"/>
    </row>
    <row r="453">
      <c r="A453" s="50"/>
    </row>
    <row r="454">
      <c r="A454" s="50"/>
    </row>
    <row r="455">
      <c r="A455" s="50"/>
    </row>
    <row r="456">
      <c r="A456" s="50"/>
    </row>
    <row r="457">
      <c r="A457" s="50"/>
    </row>
    <row r="458">
      <c r="A458" s="50"/>
    </row>
    <row r="459">
      <c r="A459" s="50"/>
    </row>
    <row r="460">
      <c r="A460" s="50"/>
    </row>
    <row r="461">
      <c r="A461" s="50"/>
    </row>
    <row r="462">
      <c r="A462" s="50"/>
    </row>
    <row r="463">
      <c r="A463" s="50"/>
    </row>
    <row r="464">
      <c r="A464" s="50"/>
    </row>
    <row r="465">
      <c r="A465" s="50"/>
    </row>
    <row r="466">
      <c r="A466" s="50"/>
    </row>
    <row r="467">
      <c r="A467" s="50"/>
    </row>
    <row r="468">
      <c r="A468" s="50"/>
    </row>
    <row r="469">
      <c r="A469" s="50"/>
    </row>
    <row r="470">
      <c r="A470" s="50"/>
    </row>
    <row r="471">
      <c r="A471" s="50"/>
    </row>
    <row r="472">
      <c r="A472" s="50"/>
    </row>
    <row r="473">
      <c r="A473" s="50"/>
    </row>
    <row r="474">
      <c r="A474" s="50"/>
    </row>
    <row r="475">
      <c r="A475" s="50"/>
    </row>
    <row r="476">
      <c r="A476" s="50"/>
    </row>
    <row r="477">
      <c r="A477" s="50"/>
    </row>
    <row r="478">
      <c r="A478" s="50"/>
    </row>
    <row r="479">
      <c r="A479" s="50"/>
    </row>
    <row r="480">
      <c r="A480" s="50"/>
    </row>
    <row r="481">
      <c r="A481" s="50"/>
    </row>
    <row r="482">
      <c r="A482" s="50"/>
    </row>
    <row r="483">
      <c r="A483" s="50"/>
    </row>
    <row r="484">
      <c r="A484" s="50"/>
    </row>
    <row r="485">
      <c r="A485" s="50"/>
    </row>
    <row r="486">
      <c r="A486" s="50"/>
    </row>
    <row r="487">
      <c r="A487" s="50"/>
    </row>
    <row r="488">
      <c r="A488" s="50"/>
    </row>
    <row r="489">
      <c r="A489" s="50"/>
    </row>
    <row r="490">
      <c r="A490" s="50"/>
    </row>
    <row r="491">
      <c r="A491" s="50"/>
    </row>
    <row r="492">
      <c r="A492" s="50"/>
    </row>
    <row r="493">
      <c r="A493" s="50"/>
    </row>
    <row r="494">
      <c r="A494" s="50"/>
    </row>
    <row r="495">
      <c r="A495" s="50"/>
    </row>
    <row r="496">
      <c r="A496" s="50"/>
    </row>
    <row r="497">
      <c r="A497" s="50"/>
    </row>
    <row r="498">
      <c r="A498" s="50"/>
    </row>
    <row r="499">
      <c r="A499" s="50"/>
    </row>
    <row r="500">
      <c r="A500" s="50"/>
    </row>
    <row r="501">
      <c r="A501" s="50"/>
    </row>
    <row r="502">
      <c r="A502" s="50"/>
    </row>
    <row r="503">
      <c r="A503" s="50"/>
    </row>
    <row r="504">
      <c r="A504" s="50"/>
    </row>
    <row r="505">
      <c r="A505" s="50"/>
    </row>
    <row r="506">
      <c r="A506" s="50"/>
    </row>
    <row r="507">
      <c r="A507" s="50"/>
    </row>
    <row r="508">
      <c r="A508" s="50"/>
    </row>
    <row r="509">
      <c r="A509" s="50"/>
    </row>
    <row r="510">
      <c r="A510" s="50"/>
    </row>
    <row r="511">
      <c r="A511" s="50"/>
    </row>
    <row r="512">
      <c r="A512" s="50"/>
    </row>
    <row r="513">
      <c r="A513" s="50"/>
    </row>
    <row r="514">
      <c r="A514" s="50"/>
    </row>
    <row r="515">
      <c r="A515" s="50"/>
    </row>
    <row r="516">
      <c r="A516" s="50"/>
    </row>
    <row r="517">
      <c r="A517" s="50"/>
    </row>
    <row r="518">
      <c r="A518" s="50"/>
    </row>
    <row r="519">
      <c r="A519" s="50"/>
    </row>
    <row r="520">
      <c r="A520" s="50"/>
    </row>
    <row r="521">
      <c r="A521" s="50"/>
    </row>
    <row r="522">
      <c r="A522" s="50"/>
    </row>
    <row r="523">
      <c r="A523" s="50"/>
    </row>
    <row r="524">
      <c r="A524" s="50"/>
    </row>
    <row r="525">
      <c r="A525" s="50"/>
    </row>
    <row r="526">
      <c r="A526" s="50"/>
    </row>
    <row r="527">
      <c r="A527" s="50"/>
    </row>
    <row r="528">
      <c r="A528" s="50"/>
    </row>
    <row r="529">
      <c r="A529" s="50"/>
    </row>
    <row r="530">
      <c r="A530" s="50"/>
    </row>
    <row r="531">
      <c r="A531" s="50"/>
    </row>
    <row r="532">
      <c r="A532" s="50"/>
    </row>
    <row r="533">
      <c r="A533" s="50"/>
    </row>
    <row r="534">
      <c r="A534" s="50"/>
    </row>
    <row r="535">
      <c r="A535" s="50"/>
    </row>
    <row r="536">
      <c r="A536" s="50"/>
    </row>
    <row r="537">
      <c r="A537" s="50"/>
    </row>
    <row r="538">
      <c r="A538" s="50"/>
    </row>
    <row r="539">
      <c r="A539" s="50"/>
    </row>
    <row r="540">
      <c r="A540" s="50"/>
    </row>
    <row r="541">
      <c r="A541" s="50"/>
    </row>
    <row r="542">
      <c r="A542" s="50"/>
    </row>
    <row r="543">
      <c r="A543" s="50"/>
    </row>
    <row r="544">
      <c r="A544" s="50"/>
    </row>
    <row r="545">
      <c r="A545" s="50"/>
    </row>
    <row r="546">
      <c r="A546" s="50"/>
    </row>
    <row r="547">
      <c r="A547" s="50"/>
    </row>
    <row r="548">
      <c r="A548" s="50"/>
    </row>
    <row r="549">
      <c r="A549" s="50"/>
    </row>
    <row r="550">
      <c r="A550" s="50"/>
    </row>
    <row r="551">
      <c r="A551" s="50"/>
    </row>
    <row r="552">
      <c r="A552" s="50"/>
    </row>
    <row r="553">
      <c r="A553" s="50"/>
    </row>
    <row r="554">
      <c r="A554" s="50"/>
    </row>
    <row r="555">
      <c r="A555" s="50"/>
    </row>
    <row r="556">
      <c r="A556" s="50"/>
    </row>
    <row r="557">
      <c r="A557" s="50"/>
    </row>
    <row r="558">
      <c r="A558" s="50"/>
    </row>
    <row r="559">
      <c r="A559" s="50"/>
    </row>
    <row r="560">
      <c r="A560" s="50"/>
    </row>
    <row r="561">
      <c r="A561" s="50"/>
    </row>
    <row r="562">
      <c r="A562" s="50"/>
    </row>
    <row r="563">
      <c r="A563" s="50"/>
    </row>
    <row r="564">
      <c r="A564" s="50"/>
    </row>
    <row r="565">
      <c r="A565" s="50"/>
    </row>
    <row r="566">
      <c r="A566" s="50"/>
    </row>
    <row r="567">
      <c r="A567" s="50"/>
    </row>
    <row r="568">
      <c r="A568" s="50"/>
    </row>
    <row r="569">
      <c r="A569" s="50"/>
    </row>
    <row r="570">
      <c r="A570" s="50"/>
    </row>
    <row r="571">
      <c r="A571" s="50"/>
    </row>
    <row r="572">
      <c r="A572" s="50"/>
    </row>
    <row r="573">
      <c r="A573" s="50"/>
    </row>
    <row r="574">
      <c r="A574" s="50"/>
    </row>
    <row r="575">
      <c r="A575" s="50"/>
    </row>
    <row r="576">
      <c r="A576" s="50"/>
    </row>
    <row r="577">
      <c r="A577" s="50"/>
    </row>
    <row r="578">
      <c r="A578" s="50"/>
    </row>
    <row r="579">
      <c r="A579" s="50"/>
    </row>
    <row r="580">
      <c r="A580" s="50"/>
    </row>
    <row r="581">
      <c r="A581" s="50"/>
    </row>
    <row r="582">
      <c r="A582" s="50"/>
    </row>
    <row r="583">
      <c r="A583" s="50"/>
    </row>
    <row r="584">
      <c r="A584" s="50"/>
    </row>
    <row r="585">
      <c r="A585" s="50"/>
    </row>
    <row r="586">
      <c r="A586" s="50"/>
    </row>
    <row r="587">
      <c r="A587" s="50"/>
    </row>
    <row r="588">
      <c r="A588" s="50"/>
    </row>
    <row r="589">
      <c r="A589" s="50"/>
    </row>
    <row r="590">
      <c r="A590" s="50"/>
    </row>
    <row r="591">
      <c r="A591" s="50"/>
    </row>
    <row r="592">
      <c r="A592" s="50"/>
    </row>
    <row r="593">
      <c r="A593" s="50"/>
    </row>
    <row r="594">
      <c r="A594" s="50"/>
    </row>
    <row r="595">
      <c r="A595" s="50"/>
    </row>
    <row r="596">
      <c r="A596" s="50"/>
    </row>
    <row r="597">
      <c r="A597" s="50"/>
    </row>
    <row r="598">
      <c r="A598" s="50"/>
    </row>
    <row r="599">
      <c r="A599" s="50"/>
    </row>
    <row r="600">
      <c r="A600" s="50"/>
    </row>
    <row r="601">
      <c r="A601" s="50"/>
    </row>
    <row r="602">
      <c r="A602" s="50"/>
    </row>
    <row r="603">
      <c r="A603" s="50"/>
    </row>
    <row r="604">
      <c r="A604" s="50"/>
    </row>
    <row r="605">
      <c r="A605" s="50"/>
    </row>
    <row r="606">
      <c r="A606" s="50"/>
    </row>
    <row r="607">
      <c r="A607" s="50"/>
    </row>
    <row r="608">
      <c r="A608" s="50"/>
    </row>
    <row r="609">
      <c r="A609" s="50"/>
    </row>
    <row r="610">
      <c r="A610" s="50"/>
    </row>
    <row r="611">
      <c r="A611" s="50"/>
    </row>
    <row r="612">
      <c r="A612" s="50"/>
    </row>
    <row r="613">
      <c r="A613" s="50"/>
    </row>
    <row r="614">
      <c r="A614" s="50"/>
    </row>
    <row r="615">
      <c r="A615" s="50"/>
    </row>
    <row r="616">
      <c r="A616" s="50"/>
    </row>
    <row r="617">
      <c r="A617" s="50"/>
    </row>
    <row r="618">
      <c r="A618" s="50"/>
    </row>
    <row r="619">
      <c r="A619" s="50"/>
    </row>
    <row r="620">
      <c r="A620" s="50"/>
    </row>
    <row r="621">
      <c r="A621" s="50"/>
    </row>
    <row r="622">
      <c r="A622" s="50"/>
    </row>
    <row r="623">
      <c r="A623" s="50"/>
    </row>
    <row r="624">
      <c r="A624" s="50"/>
    </row>
    <row r="625">
      <c r="A625" s="50"/>
    </row>
    <row r="626">
      <c r="A626" s="50"/>
    </row>
    <row r="627">
      <c r="A627" s="50"/>
    </row>
    <row r="628">
      <c r="A628" s="50"/>
    </row>
    <row r="629">
      <c r="A629" s="50"/>
    </row>
    <row r="630">
      <c r="A630" s="50"/>
    </row>
    <row r="631">
      <c r="A631" s="50"/>
    </row>
    <row r="632">
      <c r="A632" s="50"/>
    </row>
    <row r="633">
      <c r="A633" s="50"/>
    </row>
    <row r="634">
      <c r="A634" s="50"/>
    </row>
    <row r="635">
      <c r="A635" s="50"/>
    </row>
    <row r="636">
      <c r="A636" s="50"/>
    </row>
    <row r="637">
      <c r="A637" s="50"/>
    </row>
    <row r="638">
      <c r="A638" s="50"/>
    </row>
    <row r="639">
      <c r="A639" s="50"/>
    </row>
    <row r="640">
      <c r="A640" s="50"/>
    </row>
    <row r="641">
      <c r="A641" s="50"/>
    </row>
    <row r="642">
      <c r="A642" s="50"/>
    </row>
    <row r="643">
      <c r="A643" s="50"/>
    </row>
    <row r="644">
      <c r="A644" s="50"/>
    </row>
    <row r="645">
      <c r="A645" s="50"/>
    </row>
    <row r="646">
      <c r="A646" s="50"/>
    </row>
    <row r="647">
      <c r="A647" s="50"/>
    </row>
    <row r="648">
      <c r="A648" s="50"/>
    </row>
    <row r="649">
      <c r="A649" s="50"/>
    </row>
    <row r="650">
      <c r="A650" s="50"/>
    </row>
    <row r="651">
      <c r="A651" s="50"/>
    </row>
    <row r="652">
      <c r="A652" s="50"/>
    </row>
    <row r="653">
      <c r="A653" s="50"/>
    </row>
    <row r="654">
      <c r="A654" s="50"/>
    </row>
    <row r="655">
      <c r="A655" s="50"/>
    </row>
    <row r="656">
      <c r="A656" s="50"/>
    </row>
    <row r="657">
      <c r="A657" s="50"/>
    </row>
    <row r="658">
      <c r="A658" s="50"/>
    </row>
    <row r="659">
      <c r="A659" s="50"/>
    </row>
    <row r="660">
      <c r="A660" s="50"/>
    </row>
    <row r="661">
      <c r="A661" s="50"/>
    </row>
    <row r="662">
      <c r="A662" s="50"/>
    </row>
    <row r="663">
      <c r="A663" s="50"/>
    </row>
    <row r="664">
      <c r="A664" s="50"/>
    </row>
    <row r="665">
      <c r="A665" s="50"/>
    </row>
    <row r="666">
      <c r="A666" s="50"/>
    </row>
    <row r="667">
      <c r="A667" s="50"/>
    </row>
    <row r="668">
      <c r="A668" s="50"/>
    </row>
    <row r="669">
      <c r="A669" s="50"/>
    </row>
    <row r="670">
      <c r="A670" s="50"/>
    </row>
    <row r="671">
      <c r="A671" s="50"/>
    </row>
    <row r="672">
      <c r="A672" s="50"/>
    </row>
    <row r="673">
      <c r="A673" s="50"/>
    </row>
    <row r="674">
      <c r="A674" s="50"/>
    </row>
    <row r="675">
      <c r="A675" s="50"/>
    </row>
    <row r="676">
      <c r="A676" s="50"/>
    </row>
    <row r="677">
      <c r="A677" s="50"/>
    </row>
    <row r="678">
      <c r="A678" s="50"/>
    </row>
    <row r="679">
      <c r="A679" s="50"/>
    </row>
    <row r="680">
      <c r="A680" s="50"/>
    </row>
    <row r="681">
      <c r="A681" s="50"/>
    </row>
    <row r="682">
      <c r="A682" s="50"/>
    </row>
    <row r="683">
      <c r="A683" s="50"/>
    </row>
    <row r="684">
      <c r="A684" s="50"/>
    </row>
    <row r="685">
      <c r="A685" s="50"/>
    </row>
    <row r="686">
      <c r="A686" s="50"/>
    </row>
    <row r="687">
      <c r="A687" s="50"/>
    </row>
    <row r="688">
      <c r="A688" s="50"/>
    </row>
    <row r="689">
      <c r="A689" s="50"/>
    </row>
    <row r="690">
      <c r="A690" s="50"/>
    </row>
    <row r="691">
      <c r="A691" s="50"/>
    </row>
    <row r="692">
      <c r="A692" s="50"/>
    </row>
    <row r="693">
      <c r="A693" s="50"/>
    </row>
    <row r="694">
      <c r="A694" s="50"/>
    </row>
    <row r="695">
      <c r="A695" s="50"/>
    </row>
    <row r="696">
      <c r="A696" s="50"/>
    </row>
    <row r="697">
      <c r="A697" s="50"/>
    </row>
    <row r="698">
      <c r="A698" s="50"/>
    </row>
    <row r="699">
      <c r="A699" s="50"/>
    </row>
    <row r="700">
      <c r="A700" s="50"/>
    </row>
    <row r="701">
      <c r="A701" s="50"/>
    </row>
    <row r="702">
      <c r="A702" s="50"/>
    </row>
    <row r="703">
      <c r="A703" s="50"/>
    </row>
    <row r="704">
      <c r="A704" s="50"/>
    </row>
    <row r="705">
      <c r="A705" s="50"/>
    </row>
    <row r="706">
      <c r="A706" s="50"/>
    </row>
    <row r="707">
      <c r="A707" s="50"/>
    </row>
    <row r="708">
      <c r="A708" s="50"/>
    </row>
    <row r="709">
      <c r="A709" s="50"/>
    </row>
    <row r="710">
      <c r="A710" s="50"/>
    </row>
    <row r="711">
      <c r="A711" s="50"/>
    </row>
    <row r="712">
      <c r="A712" s="50"/>
    </row>
    <row r="713">
      <c r="A713" s="50"/>
    </row>
    <row r="714">
      <c r="A714" s="50"/>
    </row>
    <row r="715">
      <c r="A715" s="50"/>
    </row>
    <row r="716">
      <c r="A716" s="50"/>
    </row>
    <row r="717">
      <c r="A717" s="50"/>
    </row>
    <row r="718">
      <c r="A718" s="50"/>
    </row>
    <row r="719">
      <c r="A719" s="50"/>
    </row>
    <row r="720">
      <c r="A720" s="50"/>
    </row>
    <row r="721">
      <c r="A721" s="50"/>
    </row>
    <row r="722">
      <c r="A722" s="50"/>
    </row>
    <row r="723">
      <c r="A723" s="50"/>
    </row>
    <row r="724">
      <c r="A724" s="50"/>
    </row>
    <row r="725">
      <c r="A725" s="50"/>
    </row>
    <row r="726">
      <c r="A726" s="50"/>
    </row>
    <row r="727">
      <c r="A727" s="50"/>
    </row>
    <row r="728">
      <c r="A728" s="50"/>
    </row>
    <row r="729">
      <c r="A729" s="50"/>
    </row>
    <row r="730">
      <c r="A730" s="50"/>
    </row>
    <row r="731">
      <c r="A731" s="50"/>
    </row>
    <row r="732">
      <c r="A732" s="50"/>
    </row>
    <row r="733">
      <c r="A733" s="50"/>
    </row>
    <row r="734">
      <c r="A734" s="50"/>
    </row>
    <row r="735">
      <c r="A735" s="50"/>
    </row>
    <row r="736">
      <c r="A736" s="50"/>
    </row>
    <row r="737">
      <c r="A737" s="50"/>
    </row>
    <row r="738">
      <c r="A738" s="50"/>
    </row>
    <row r="739">
      <c r="A739" s="50"/>
    </row>
    <row r="740">
      <c r="A740" s="50"/>
    </row>
    <row r="741">
      <c r="A741" s="50"/>
    </row>
    <row r="742">
      <c r="A742" s="50"/>
    </row>
    <row r="743">
      <c r="A743" s="50"/>
    </row>
    <row r="744">
      <c r="A744" s="50"/>
    </row>
    <row r="745">
      <c r="A745" s="50"/>
    </row>
    <row r="746">
      <c r="A746" s="50"/>
    </row>
    <row r="747">
      <c r="A747" s="50"/>
    </row>
    <row r="748">
      <c r="A748" s="50"/>
    </row>
    <row r="749">
      <c r="A749" s="50"/>
    </row>
    <row r="750">
      <c r="A750" s="50"/>
    </row>
    <row r="751">
      <c r="A751" s="50"/>
    </row>
    <row r="752">
      <c r="A752" s="50"/>
    </row>
    <row r="753">
      <c r="A753" s="50"/>
    </row>
    <row r="754">
      <c r="A754" s="50"/>
    </row>
    <row r="755">
      <c r="A755" s="50"/>
    </row>
    <row r="756">
      <c r="A756" s="50"/>
    </row>
    <row r="757">
      <c r="A757" s="50"/>
    </row>
    <row r="758">
      <c r="A758" s="50"/>
    </row>
    <row r="759">
      <c r="A759" s="50"/>
    </row>
    <row r="760">
      <c r="A760" s="50"/>
    </row>
    <row r="761">
      <c r="A761" s="50"/>
    </row>
    <row r="762">
      <c r="A762" s="50"/>
    </row>
    <row r="763">
      <c r="A763" s="50"/>
    </row>
    <row r="764">
      <c r="A764" s="50"/>
    </row>
    <row r="765">
      <c r="A765" s="50"/>
    </row>
    <row r="766">
      <c r="A766" s="50"/>
    </row>
    <row r="767">
      <c r="A767" s="50"/>
    </row>
    <row r="768">
      <c r="A768" s="50"/>
    </row>
    <row r="769">
      <c r="A769" s="50"/>
    </row>
    <row r="770">
      <c r="A770" s="50"/>
    </row>
    <row r="771">
      <c r="A771" s="50"/>
    </row>
    <row r="772">
      <c r="A772" s="50"/>
    </row>
    <row r="773">
      <c r="A773" s="50"/>
    </row>
    <row r="774">
      <c r="A774" s="50"/>
    </row>
    <row r="775">
      <c r="A775" s="50"/>
    </row>
    <row r="776">
      <c r="A776" s="50"/>
    </row>
    <row r="777">
      <c r="A777" s="50"/>
    </row>
    <row r="778">
      <c r="A778" s="50"/>
    </row>
    <row r="779">
      <c r="A779" s="50"/>
    </row>
    <row r="780">
      <c r="A780" s="50"/>
    </row>
    <row r="781">
      <c r="A781" s="50"/>
    </row>
    <row r="782">
      <c r="A782" s="50"/>
    </row>
    <row r="783">
      <c r="A783" s="50"/>
    </row>
    <row r="784">
      <c r="A784" s="50"/>
    </row>
    <row r="785">
      <c r="A785" s="50"/>
    </row>
    <row r="786">
      <c r="A786" s="50"/>
    </row>
    <row r="787">
      <c r="A787" s="50"/>
    </row>
    <row r="788">
      <c r="A788" s="50"/>
    </row>
    <row r="789">
      <c r="A789" s="50"/>
    </row>
    <row r="790">
      <c r="A790" s="50"/>
    </row>
    <row r="791">
      <c r="A791" s="50"/>
    </row>
    <row r="792">
      <c r="A792" s="50"/>
    </row>
    <row r="793">
      <c r="A793" s="50"/>
    </row>
    <row r="794">
      <c r="A794" s="50"/>
    </row>
    <row r="795">
      <c r="A795" s="50"/>
    </row>
    <row r="796">
      <c r="A796" s="50"/>
    </row>
    <row r="797">
      <c r="A797" s="50"/>
    </row>
    <row r="798">
      <c r="A798" s="50"/>
    </row>
    <row r="799">
      <c r="A799" s="50"/>
    </row>
    <row r="800">
      <c r="A800" s="50"/>
    </row>
    <row r="801">
      <c r="A801" s="50"/>
    </row>
    <row r="802">
      <c r="A802" s="50"/>
    </row>
    <row r="803">
      <c r="A803" s="50"/>
    </row>
    <row r="804">
      <c r="A804" s="50"/>
    </row>
    <row r="805">
      <c r="A805" s="50"/>
    </row>
    <row r="806">
      <c r="A806" s="50"/>
    </row>
    <row r="807">
      <c r="A807" s="50"/>
    </row>
    <row r="808">
      <c r="A808" s="50"/>
    </row>
    <row r="809">
      <c r="A809" s="50"/>
    </row>
    <row r="810">
      <c r="A810" s="50"/>
    </row>
    <row r="811">
      <c r="A811" s="50"/>
    </row>
    <row r="812">
      <c r="A812" s="50"/>
    </row>
    <row r="813">
      <c r="A813" s="50"/>
    </row>
    <row r="814">
      <c r="A814" s="50"/>
    </row>
    <row r="815">
      <c r="A815" s="50"/>
    </row>
    <row r="816">
      <c r="A816" s="50"/>
    </row>
    <row r="817">
      <c r="A817" s="50"/>
    </row>
    <row r="818">
      <c r="A818" s="50"/>
    </row>
    <row r="819">
      <c r="A819" s="50"/>
    </row>
    <row r="820">
      <c r="A820" s="50"/>
    </row>
    <row r="821">
      <c r="A821" s="50"/>
    </row>
    <row r="822">
      <c r="A822" s="50"/>
    </row>
    <row r="823">
      <c r="A823" s="50"/>
    </row>
    <row r="824">
      <c r="A824" s="50"/>
    </row>
    <row r="825">
      <c r="A825" s="50"/>
    </row>
    <row r="826">
      <c r="A826" s="50"/>
    </row>
    <row r="827">
      <c r="A827" s="50"/>
    </row>
    <row r="828">
      <c r="A828" s="50"/>
    </row>
    <row r="829">
      <c r="A829" s="50"/>
    </row>
    <row r="830">
      <c r="A830" s="50"/>
    </row>
    <row r="831">
      <c r="A831" s="50"/>
    </row>
    <row r="832">
      <c r="A832" s="50"/>
    </row>
    <row r="833">
      <c r="A833" s="50"/>
    </row>
    <row r="834">
      <c r="A834" s="50"/>
    </row>
    <row r="835">
      <c r="A835" s="50"/>
    </row>
    <row r="836">
      <c r="A836" s="50"/>
    </row>
    <row r="837">
      <c r="A837" s="50"/>
    </row>
    <row r="838">
      <c r="A838" s="50"/>
    </row>
    <row r="839">
      <c r="A839" s="50"/>
    </row>
    <row r="840">
      <c r="A840" s="50"/>
    </row>
    <row r="841">
      <c r="A841" s="50"/>
    </row>
    <row r="842">
      <c r="A842" s="50"/>
    </row>
    <row r="843">
      <c r="A843" s="50"/>
    </row>
    <row r="844">
      <c r="A844" s="50"/>
    </row>
    <row r="845">
      <c r="A845" s="50"/>
    </row>
    <row r="846">
      <c r="A846" s="50"/>
    </row>
    <row r="847">
      <c r="A847" s="50"/>
    </row>
    <row r="848">
      <c r="A848" s="50"/>
    </row>
    <row r="849">
      <c r="A849" s="50"/>
    </row>
    <row r="850">
      <c r="A850" s="50"/>
    </row>
    <row r="851">
      <c r="A851" s="50"/>
    </row>
    <row r="852">
      <c r="A852" s="50"/>
    </row>
    <row r="853">
      <c r="A853" s="50"/>
    </row>
    <row r="854">
      <c r="A854" s="50"/>
    </row>
    <row r="855">
      <c r="A855" s="50"/>
    </row>
    <row r="856">
      <c r="A856" s="50"/>
    </row>
    <row r="857">
      <c r="A857" s="50"/>
    </row>
    <row r="858">
      <c r="A858" s="50"/>
    </row>
    <row r="859">
      <c r="A859" s="50"/>
    </row>
    <row r="860">
      <c r="A860" s="50"/>
    </row>
    <row r="861">
      <c r="A861" s="50"/>
    </row>
    <row r="862">
      <c r="A862" s="50"/>
    </row>
    <row r="863">
      <c r="A863" s="50"/>
    </row>
    <row r="864">
      <c r="A864" s="50"/>
    </row>
    <row r="865">
      <c r="A865" s="50"/>
    </row>
    <row r="866">
      <c r="A866" s="50"/>
    </row>
    <row r="867">
      <c r="A867" s="50"/>
    </row>
    <row r="868">
      <c r="A868" s="50"/>
    </row>
    <row r="869">
      <c r="A869" s="50"/>
    </row>
    <row r="870">
      <c r="A870" s="50"/>
    </row>
    <row r="871">
      <c r="A871" s="50"/>
    </row>
    <row r="872">
      <c r="A872" s="50"/>
    </row>
    <row r="873">
      <c r="A873" s="50"/>
    </row>
    <row r="874">
      <c r="A874" s="50"/>
    </row>
    <row r="875">
      <c r="A875" s="50"/>
    </row>
    <row r="876">
      <c r="A876" s="50"/>
    </row>
    <row r="877">
      <c r="A877" s="50"/>
    </row>
    <row r="878">
      <c r="A878" s="50"/>
    </row>
    <row r="879">
      <c r="A879" s="50"/>
    </row>
    <row r="880">
      <c r="A880" s="50"/>
    </row>
    <row r="881">
      <c r="A881" s="50"/>
    </row>
    <row r="882">
      <c r="A882" s="50"/>
    </row>
    <row r="883">
      <c r="A883" s="50"/>
    </row>
    <row r="884">
      <c r="A884" s="50"/>
    </row>
    <row r="885">
      <c r="A885" s="50"/>
    </row>
    <row r="886">
      <c r="A886" s="50"/>
    </row>
    <row r="887">
      <c r="A887" s="50"/>
    </row>
    <row r="888">
      <c r="A888" s="50"/>
    </row>
    <row r="889">
      <c r="A889" s="50"/>
    </row>
    <row r="890">
      <c r="A890" s="50"/>
    </row>
    <row r="891">
      <c r="A891" s="50"/>
    </row>
    <row r="892">
      <c r="A892" s="50"/>
    </row>
    <row r="893">
      <c r="A893" s="50"/>
    </row>
    <row r="894">
      <c r="A894" s="50"/>
    </row>
    <row r="895">
      <c r="A895" s="50"/>
    </row>
    <row r="896">
      <c r="A896" s="50"/>
    </row>
    <row r="897">
      <c r="A897" s="50"/>
    </row>
    <row r="898">
      <c r="A898" s="50"/>
    </row>
    <row r="899">
      <c r="A899" s="50"/>
    </row>
    <row r="900">
      <c r="A900" s="50"/>
    </row>
    <row r="901">
      <c r="A901" s="50"/>
    </row>
    <row r="902">
      <c r="A902" s="50"/>
    </row>
    <row r="903">
      <c r="A903" s="50"/>
    </row>
    <row r="904">
      <c r="A904" s="50"/>
    </row>
    <row r="905">
      <c r="A905" s="50"/>
    </row>
    <row r="906">
      <c r="A906" s="50"/>
    </row>
    <row r="907">
      <c r="A907" s="50"/>
    </row>
    <row r="908">
      <c r="A908" s="50"/>
    </row>
    <row r="909">
      <c r="A909" s="50"/>
    </row>
    <row r="910">
      <c r="A910" s="50"/>
    </row>
    <row r="911">
      <c r="A911" s="50"/>
    </row>
    <row r="912">
      <c r="A912" s="50"/>
    </row>
    <row r="913">
      <c r="A913" s="50"/>
    </row>
    <row r="914">
      <c r="A914" s="50"/>
    </row>
    <row r="915">
      <c r="A915" s="50"/>
    </row>
    <row r="916">
      <c r="A916" s="50"/>
    </row>
    <row r="917">
      <c r="A917" s="50"/>
    </row>
    <row r="918">
      <c r="A918" s="50"/>
    </row>
    <row r="919">
      <c r="A919" s="50"/>
    </row>
    <row r="920">
      <c r="A920" s="50"/>
    </row>
    <row r="921">
      <c r="A921" s="50"/>
    </row>
    <row r="922">
      <c r="A922" s="50"/>
    </row>
    <row r="923">
      <c r="A923" s="50"/>
    </row>
    <row r="924">
      <c r="A924" s="50"/>
    </row>
    <row r="925">
      <c r="A925" s="50"/>
    </row>
    <row r="926">
      <c r="A926" s="50"/>
    </row>
    <row r="927">
      <c r="A927" s="50"/>
    </row>
    <row r="928">
      <c r="A928" s="50"/>
    </row>
    <row r="929">
      <c r="A929" s="50"/>
    </row>
    <row r="930">
      <c r="A930" s="50"/>
    </row>
    <row r="931">
      <c r="A931" s="50"/>
    </row>
    <row r="932">
      <c r="A932" s="50"/>
    </row>
    <row r="933">
      <c r="A933" s="50"/>
    </row>
    <row r="934">
      <c r="A934" s="50"/>
    </row>
    <row r="935">
      <c r="A935" s="50"/>
    </row>
    <row r="936">
      <c r="A936" s="50"/>
    </row>
    <row r="937">
      <c r="A937" s="50"/>
    </row>
    <row r="938">
      <c r="A938" s="50"/>
    </row>
    <row r="939">
      <c r="A939" s="50"/>
    </row>
    <row r="940">
      <c r="A940" s="50"/>
    </row>
    <row r="941">
      <c r="A941" s="50"/>
    </row>
    <row r="942">
      <c r="A942" s="50"/>
    </row>
    <row r="943">
      <c r="A943" s="50"/>
    </row>
    <row r="944">
      <c r="A944" s="50"/>
    </row>
    <row r="945">
      <c r="A945" s="50"/>
    </row>
    <row r="946">
      <c r="A946" s="50"/>
    </row>
    <row r="947">
      <c r="A947" s="50"/>
    </row>
    <row r="948">
      <c r="A948" s="50"/>
    </row>
    <row r="949">
      <c r="A949" s="50"/>
    </row>
    <row r="950">
      <c r="A950" s="50"/>
    </row>
    <row r="951">
      <c r="A951" s="50"/>
    </row>
    <row r="952">
      <c r="A952" s="50"/>
    </row>
    <row r="953">
      <c r="A953" s="50"/>
    </row>
    <row r="954">
      <c r="A954" s="50"/>
    </row>
    <row r="955">
      <c r="A955" s="50"/>
    </row>
    <row r="956">
      <c r="A956" s="50"/>
    </row>
    <row r="957">
      <c r="A957" s="50"/>
    </row>
    <row r="958">
      <c r="A958" s="50"/>
    </row>
    <row r="959">
      <c r="A959" s="50"/>
    </row>
    <row r="960">
      <c r="A960" s="50"/>
    </row>
    <row r="961">
      <c r="A961" s="50"/>
    </row>
    <row r="962">
      <c r="A962" s="50"/>
    </row>
    <row r="963">
      <c r="A963" s="50"/>
    </row>
    <row r="964">
      <c r="A964" s="50"/>
    </row>
    <row r="965">
      <c r="A965" s="50"/>
    </row>
    <row r="966">
      <c r="A966" s="50"/>
    </row>
    <row r="967">
      <c r="A967" s="50"/>
    </row>
    <row r="968">
      <c r="A968" s="50"/>
    </row>
    <row r="969">
      <c r="A969" s="50"/>
    </row>
    <row r="970">
      <c r="A970" s="50"/>
    </row>
    <row r="971">
      <c r="A971" s="50"/>
    </row>
    <row r="972">
      <c r="A972" s="50"/>
    </row>
    <row r="973">
      <c r="A973" s="50"/>
    </row>
    <row r="974">
      <c r="A974" s="50"/>
    </row>
    <row r="975">
      <c r="A975" s="50"/>
    </row>
    <row r="976">
      <c r="A976" s="50"/>
    </row>
    <row r="977">
      <c r="A977" s="50"/>
    </row>
    <row r="978">
      <c r="A978" s="50"/>
    </row>
    <row r="979">
      <c r="A979" s="50"/>
    </row>
    <row r="980">
      <c r="A980" s="50"/>
    </row>
    <row r="981">
      <c r="A981" s="50"/>
    </row>
    <row r="982">
      <c r="A982" s="50"/>
    </row>
    <row r="983">
      <c r="A983" s="50"/>
    </row>
    <row r="984">
      <c r="A984" s="50"/>
    </row>
    <row r="985">
      <c r="A985" s="50"/>
    </row>
    <row r="986">
      <c r="A986" s="50"/>
    </row>
    <row r="987">
      <c r="A987" s="50"/>
    </row>
    <row r="988">
      <c r="A988" s="50"/>
    </row>
    <row r="989">
      <c r="A989" s="50"/>
    </row>
    <row r="990">
      <c r="A990" s="50"/>
    </row>
    <row r="991">
      <c r="A991" s="50"/>
    </row>
    <row r="992">
      <c r="A992" s="50"/>
    </row>
    <row r="993">
      <c r="A993" s="50"/>
    </row>
    <row r="994">
      <c r="A994" s="50"/>
    </row>
    <row r="995">
      <c r="A995" s="50"/>
    </row>
    <row r="996">
      <c r="A996" s="50"/>
    </row>
    <row r="997">
      <c r="A997" s="50"/>
    </row>
    <row r="998">
      <c r="A998" s="50"/>
    </row>
    <row r="999">
      <c r="A999" s="50"/>
    </row>
    <row r="1000">
      <c r="A1000" s="50"/>
    </row>
    <row r="1001">
      <c r="A1001" s="50"/>
    </row>
    <row r="1002">
      <c r="A1002" s="50"/>
    </row>
  </sheetData>
  <mergeCells count="16">
    <mergeCell ref="A2:I2"/>
    <mergeCell ref="A3:A4"/>
    <mergeCell ref="A5:A6"/>
    <mergeCell ref="A7:A8"/>
    <mergeCell ref="A9:A10"/>
    <mergeCell ref="A11:I11"/>
    <mergeCell ref="A12:B12"/>
    <mergeCell ref="A21:A22"/>
    <mergeCell ref="A23:I23"/>
    <mergeCell ref="A24:B24"/>
    <mergeCell ref="A25:B25"/>
    <mergeCell ref="A13:B13"/>
    <mergeCell ref="A14:I14"/>
    <mergeCell ref="A15:A16"/>
    <mergeCell ref="A17:A18"/>
    <mergeCell ref="A19:A2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1" t="s">
        <v>3430</v>
      </c>
      <c r="B1" s="11" t="s">
        <v>3431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</row>
    <row r="2">
      <c r="A2" s="47" t="s">
        <v>3432</v>
      </c>
    </row>
    <row r="3">
      <c r="A3" s="11" t="s">
        <v>9</v>
      </c>
      <c r="B3" s="48" t="s">
        <v>371</v>
      </c>
      <c r="C3" s="48" t="s">
        <v>2359</v>
      </c>
      <c r="D3" s="48" t="str">
        <f>RF_MCC!K23</f>
        <v>18/0/2</v>
      </c>
      <c r="E3" s="48" t="str">
        <f>RF_MCC!L23</f>
        <v>19/0/1</v>
      </c>
      <c r="F3" s="48" t="str">
        <f>RF_MCC!M23</f>
        <v>18/0/2</v>
      </c>
      <c r="G3" s="48" t="str">
        <f>RF_MCC!N23</f>
        <v>11/0/9</v>
      </c>
      <c r="H3" s="48" t="str">
        <f>RF_MCC!O23</f>
        <v>11/0/9</v>
      </c>
      <c r="I3" s="48" t="str">
        <f>RF_MCC!P23</f>
        <v>14/0/6</v>
      </c>
    </row>
    <row r="4">
      <c r="A4" s="45"/>
      <c r="B4" s="51" t="s">
        <v>489</v>
      </c>
      <c r="C4" s="48">
        <f>RF_MCC!J24</f>
        <v>19.84</v>
      </c>
      <c r="D4" s="48">
        <f>RF_MCC!K24</f>
        <v>6.01</v>
      </c>
      <c r="E4" s="48">
        <f>RF_MCC!L24</f>
        <v>5.67</v>
      </c>
      <c r="F4" s="48">
        <f>RF_MCC!M24</f>
        <v>14.93</v>
      </c>
      <c r="G4" s="48">
        <f>RF_MCC!N24</f>
        <v>18.04</v>
      </c>
      <c r="H4" s="48">
        <f>RF_MCC!O24</f>
        <v>18.32</v>
      </c>
      <c r="I4" s="48">
        <f>RF_MCC!P24</f>
        <v>10.96</v>
      </c>
    </row>
    <row r="5">
      <c r="A5" s="11" t="s">
        <v>504</v>
      </c>
      <c r="B5" s="48" t="s">
        <v>371</v>
      </c>
      <c r="C5" s="48" t="s">
        <v>2359</v>
      </c>
      <c r="D5" s="48" t="str">
        <f>RF_MCC!K32</f>
        <v>3/2/1</v>
      </c>
      <c r="E5" s="48" t="str">
        <f>RF_MCC!L32</f>
        <v>6/0/0</v>
      </c>
      <c r="F5" s="48" t="str">
        <f>RF_MCC!M32</f>
        <v>3/2/1</v>
      </c>
      <c r="G5" s="48" t="str">
        <f>RF_MCC!N32</f>
        <v>2/2/2</v>
      </c>
      <c r="H5" s="48" t="str">
        <f>RF_MCC!O32</f>
        <v>2/2/2</v>
      </c>
      <c r="I5" s="48" t="str">
        <f>RF_MCC!P32</f>
        <v>3/2/1</v>
      </c>
    </row>
    <row r="6">
      <c r="A6" s="45"/>
      <c r="B6" s="51" t="s">
        <v>489</v>
      </c>
      <c r="C6" s="51">
        <f>RF_MCC!J33</f>
        <v>34.92</v>
      </c>
      <c r="D6" s="51">
        <f>RF_MCC!K33</f>
        <v>26.82</v>
      </c>
      <c r="E6" s="51">
        <f>RF_MCC!L33</f>
        <v>12.78</v>
      </c>
      <c r="F6" s="51">
        <f>RF_MCC!M33</f>
        <v>31.59</v>
      </c>
      <c r="G6" s="51">
        <f>RF_MCC!N33</f>
        <v>34.52</v>
      </c>
      <c r="H6" s="51">
        <f>RF_MCC!O33</f>
        <v>33.84</v>
      </c>
      <c r="I6" s="51">
        <f>RF_MCC!P33</f>
        <v>17.4</v>
      </c>
    </row>
    <row r="7">
      <c r="A7" s="11" t="s">
        <v>659</v>
      </c>
      <c r="B7" s="48" t="s">
        <v>371</v>
      </c>
      <c r="C7" s="48" t="s">
        <v>2359</v>
      </c>
      <c r="D7" s="49" t="str">
        <f>RF_MCC!K55</f>
        <v>6/0/14</v>
      </c>
      <c r="E7" s="49" t="str">
        <f>RF_MCC!L55</f>
        <v>17/0/3</v>
      </c>
      <c r="F7" s="49" t="str">
        <f>RF_MCC!M55</f>
        <v>7/1/12</v>
      </c>
      <c r="G7" s="49" t="str">
        <f>RF_MCC!N55</f>
        <v>11/0/9</v>
      </c>
      <c r="H7" s="49" t="str">
        <f>RF_MCC!O55</f>
        <v>12/0/8</v>
      </c>
      <c r="I7" s="49" t="str">
        <f>RF_MCC!P55</f>
        <v>11/0/9</v>
      </c>
    </row>
    <row r="8">
      <c r="A8" s="45"/>
      <c r="B8" s="51" t="s">
        <v>489</v>
      </c>
      <c r="C8" s="51">
        <f>RF_MCC!J56</f>
        <v>29.72</v>
      </c>
      <c r="D8" s="51">
        <f>RF_MCC!K56</f>
        <v>30.6</v>
      </c>
      <c r="E8" s="51">
        <f>RF_MCC!L56</f>
        <v>9.85</v>
      </c>
      <c r="F8" s="51">
        <f>RF_MCC!M56</f>
        <v>29.89</v>
      </c>
      <c r="G8" s="51">
        <f>RF_MCC!N56</f>
        <v>27.63</v>
      </c>
      <c r="H8" s="51">
        <f>RF_MCC!O56</f>
        <v>28.47</v>
      </c>
      <c r="I8" s="51">
        <f>RF_MCC!P56</f>
        <v>27.17</v>
      </c>
    </row>
    <row r="9">
      <c r="A9" s="11" t="s">
        <v>1013</v>
      </c>
      <c r="B9" s="48" t="s">
        <v>371</v>
      </c>
      <c r="C9" s="48" t="s">
        <v>2359</v>
      </c>
      <c r="D9" s="48" t="str">
        <f>RF_MCC!K78</f>
        <v>13/0/7</v>
      </c>
      <c r="E9" s="48" t="str">
        <f>RF_MCC!L78</f>
        <v>14/0/6</v>
      </c>
      <c r="F9" s="48" t="str">
        <f>RF_MCC!M78</f>
        <v>15/0/5</v>
      </c>
      <c r="G9" s="48" t="str">
        <f>RF_MCC!N78</f>
        <v>16/0/4</v>
      </c>
      <c r="H9" s="48" t="str">
        <f>RF_MCC!O78</f>
        <v>15/0/5</v>
      </c>
      <c r="I9" s="48" t="str">
        <f>RF_MCC!P78</f>
        <v>17/0/3</v>
      </c>
    </row>
    <row r="10">
      <c r="A10" s="45"/>
      <c r="B10" s="51" t="s">
        <v>489</v>
      </c>
      <c r="C10" s="48">
        <f>RF_MCC!J79</f>
        <v>30.12</v>
      </c>
      <c r="D10" s="48">
        <f>RF_MCC!K79</f>
        <v>27.45</v>
      </c>
      <c r="E10" s="48">
        <f>RF_MCC!L79</f>
        <v>23.43</v>
      </c>
      <c r="F10" s="48">
        <f>RF_MCC!M79</f>
        <v>27.76</v>
      </c>
      <c r="G10" s="48">
        <f>RF_MCC!N79</f>
        <v>25.89</v>
      </c>
      <c r="H10" s="48">
        <f>RF_MCC!O79</f>
        <v>27.75</v>
      </c>
      <c r="I10" s="48">
        <f>RF_MCC!P79</f>
        <v>9.69</v>
      </c>
    </row>
    <row r="11">
      <c r="A11" s="3" t="s">
        <v>2370</v>
      </c>
    </row>
    <row r="12">
      <c r="A12" s="29" t="s">
        <v>371</v>
      </c>
      <c r="C12" s="48" t="s">
        <v>2359</v>
      </c>
      <c r="D12" s="52" t="str">
        <f>RF_MCC!K80</f>
        <v>40/2/24</v>
      </c>
      <c r="E12" s="52" t="str">
        <f>RF_MCC!L80</f>
        <v>56/0/10</v>
      </c>
      <c r="F12" s="52" t="str">
        <f>RF_MCC!M80</f>
        <v>43/3/20</v>
      </c>
      <c r="G12" s="52" t="str">
        <f>RF_MCC!N80</f>
        <v>40/2/24</v>
      </c>
      <c r="H12" s="52" t="str">
        <f>RF_MCC!O80</f>
        <v>40/2/24</v>
      </c>
      <c r="I12" s="52" t="str">
        <f>RF_MCC!P80</f>
        <v>45/2/19</v>
      </c>
    </row>
    <row r="13">
      <c r="A13" s="53" t="s">
        <v>489</v>
      </c>
      <c r="C13" s="11">
        <f>RF_MCC!J81</f>
        <v>27.32</v>
      </c>
      <c r="D13" s="11">
        <f>RF_MCC!K81</f>
        <v>21.85</v>
      </c>
      <c r="E13" s="11">
        <f>RF_MCC!L81</f>
        <v>12.96</v>
      </c>
      <c r="F13" s="11">
        <f>RF_MCC!M81</f>
        <v>24.87</v>
      </c>
      <c r="G13" s="11">
        <f>RF_MCC!N81</f>
        <v>24.82</v>
      </c>
      <c r="H13" s="11">
        <f>RF_MCC!O81</f>
        <v>25.66</v>
      </c>
      <c r="I13" s="11">
        <f>RF_MCC!P81</f>
        <v>16.07</v>
      </c>
    </row>
    <row r="14">
      <c r="A14" s="29" t="s">
        <v>2015</v>
      </c>
      <c r="C14" s="11" t="str">
        <f>RF_MCC!J82</f>
        <v/>
      </c>
      <c r="D14" s="11" t="str">
        <f>RF_MCC!K82</f>
        <v/>
      </c>
      <c r="E14" s="11" t="str">
        <f>RF_MCC!L82</f>
        <v/>
      </c>
      <c r="F14" s="11" t="str">
        <f>RF_MCC!M82</f>
        <v/>
      </c>
      <c r="G14" s="11" t="str">
        <f>RF_MCC!N82</f>
        <v/>
      </c>
      <c r="H14" s="11" t="str">
        <f>RF_MCC!O82</f>
        <v/>
      </c>
      <c r="I14" s="11" t="str">
        <f>RF_MCC!P82</f>
        <v/>
      </c>
    </row>
    <row r="15">
      <c r="A15" s="11" t="s">
        <v>2016</v>
      </c>
      <c r="C15" s="11" t="str">
        <f>RF_MCC!K83</f>
        <v/>
      </c>
      <c r="D15" s="11" t="str">
        <f>RF_MCC!L83</f>
        <v/>
      </c>
      <c r="E15" s="11" t="str">
        <f>RF_MCC!M83</f>
        <v/>
      </c>
      <c r="F15" s="11" t="str">
        <f>RF_MCC!N83</f>
        <v/>
      </c>
      <c r="G15" s="11" t="str">
        <f>RF_MCC!O83</f>
        <v/>
      </c>
      <c r="H15" s="11" t="str">
        <f>RF_MCC!P83</f>
        <v/>
      </c>
      <c r="I15" s="11" t="str">
        <f>RF_MCC!Q83</f>
        <v/>
      </c>
    </row>
    <row r="16">
      <c r="A16" s="47" t="s">
        <v>3437</v>
      </c>
    </row>
    <row r="17">
      <c r="A17" s="11" t="s">
        <v>9</v>
      </c>
      <c r="B17" s="48" t="s">
        <v>371</v>
      </c>
      <c r="C17" s="48" t="s">
        <v>2359</v>
      </c>
      <c r="D17" s="48" t="str">
        <f>LR_MCC!K23</f>
        <v>19/0/1</v>
      </c>
      <c r="E17" s="48" t="str">
        <f>LR_MCC!L23</f>
        <v>16/0/4</v>
      </c>
      <c r="F17" s="48" t="str">
        <f>LR_MCC!M23</f>
        <v>16/0/4</v>
      </c>
      <c r="G17" s="48" t="str">
        <f>LR_MCC!N23</f>
        <v>17/0/3</v>
      </c>
      <c r="H17" s="48" t="str">
        <f>LR_MCC!O23</f>
        <v>17/0/3</v>
      </c>
      <c r="I17" s="48" t="str">
        <f>LR_MCC!P23</f>
        <v>16/0/4</v>
      </c>
    </row>
    <row r="18">
      <c r="A18" s="45"/>
      <c r="B18" s="51" t="s">
        <v>489</v>
      </c>
      <c r="C18" s="48">
        <f>LR_MCC!J24</f>
        <v>16.28</v>
      </c>
      <c r="D18" s="48">
        <f>LR_MCC!K24</f>
        <v>8.79</v>
      </c>
      <c r="E18" s="48">
        <f>LR_MCC!L24</f>
        <v>7.94</v>
      </c>
      <c r="F18" s="48">
        <f>LR_MCC!M24</f>
        <v>13.24</v>
      </c>
      <c r="G18" s="48">
        <f>LR_MCC!N24</f>
        <v>12.69</v>
      </c>
      <c r="H18" s="48">
        <f>LR_MCC!O24</f>
        <v>13.04</v>
      </c>
      <c r="I18" s="48">
        <f>LR_MCC!P24</f>
        <v>11.57</v>
      </c>
    </row>
    <row r="19">
      <c r="A19" s="11" t="s">
        <v>504</v>
      </c>
      <c r="B19" s="48" t="s">
        <v>371</v>
      </c>
      <c r="C19" s="48" t="s">
        <v>2359</v>
      </c>
      <c r="D19" s="48" t="str">
        <f>LR_MCC!K32</f>
        <v>4/2/0</v>
      </c>
      <c r="E19" s="48" t="str">
        <f>LR_MCC!L32</f>
        <v>3/0/3</v>
      </c>
      <c r="F19" s="48" t="str">
        <f>LR_MCC!M32</f>
        <v>4/2/0</v>
      </c>
      <c r="G19" s="48" t="str">
        <f>LR_MCC!N32</f>
        <v>4/2/0</v>
      </c>
      <c r="H19" s="48" t="str">
        <f>LR_MCC!O32</f>
        <v>4/2/0</v>
      </c>
      <c r="I19" s="48" t="str">
        <f>LR_MCC!P32</f>
        <v>4/2/0</v>
      </c>
    </row>
    <row r="20">
      <c r="A20" s="45"/>
      <c r="B20" s="51" t="s">
        <v>489</v>
      </c>
      <c r="C20" s="51">
        <f>LR_MCC!J33</f>
        <v>22.52</v>
      </c>
      <c r="D20" s="51">
        <f>LR_MCC!K33</f>
        <v>15.72</v>
      </c>
      <c r="E20" s="51">
        <f>LR_MCC!L33</f>
        <v>30.65</v>
      </c>
      <c r="F20" s="51">
        <f>LR_MCC!M33</f>
        <v>18.27</v>
      </c>
      <c r="G20" s="51">
        <f>LR_MCC!N33</f>
        <v>16.61</v>
      </c>
      <c r="H20" s="51">
        <f>LR_MCC!O33</f>
        <v>17.4</v>
      </c>
      <c r="I20" s="51">
        <f>LR_MCC!P33</f>
        <v>15.1</v>
      </c>
    </row>
    <row r="21">
      <c r="A21" s="11" t="s">
        <v>659</v>
      </c>
      <c r="B21" s="48" t="s">
        <v>371</v>
      </c>
      <c r="C21" s="48" t="s">
        <v>2359</v>
      </c>
      <c r="D21" s="48" t="str">
        <f>LR_MCC!K55</f>
        <v>11/0/9</v>
      </c>
      <c r="E21" s="48" t="str">
        <f>LR_MCC!L55</f>
        <v>15/0/5</v>
      </c>
      <c r="F21" s="48" t="str">
        <f>LR_MCC!M55</f>
        <v>11/0/9</v>
      </c>
      <c r="G21" s="48" t="str">
        <f>LR_MCC!N55</f>
        <v>12/0/8</v>
      </c>
      <c r="H21" s="48" t="str">
        <f>LR_MCC!O55</f>
        <v>14/0/6</v>
      </c>
      <c r="I21" s="48" t="str">
        <f>LR_MCC!P55</f>
        <v>16/0/4</v>
      </c>
    </row>
    <row r="22">
      <c r="A22" s="45"/>
      <c r="B22" s="51" t="s">
        <v>489</v>
      </c>
      <c r="C22" s="51">
        <f>LR_MCC!J56</f>
        <v>27.29</v>
      </c>
      <c r="D22" s="51">
        <f>LR_MCC!K56</f>
        <v>21.7</v>
      </c>
      <c r="E22" s="51">
        <f>LR_MCC!L56</f>
        <v>14.41</v>
      </c>
      <c r="F22" s="51">
        <f>LR_MCC!M56</f>
        <v>25.99</v>
      </c>
      <c r="G22" s="51">
        <f>LR_MCC!N56</f>
        <v>23.83</v>
      </c>
      <c r="H22" s="51">
        <f>LR_MCC!O56</f>
        <v>25.38</v>
      </c>
      <c r="I22" s="51">
        <f>LR_MCC!P56</f>
        <v>18.71</v>
      </c>
    </row>
    <row r="23">
      <c r="A23" s="11" t="s">
        <v>1013</v>
      </c>
      <c r="B23" s="48" t="s">
        <v>371</v>
      </c>
      <c r="C23" s="48" t="s">
        <v>2359</v>
      </c>
      <c r="D23" s="48" t="str">
        <f>LR_MCC!K78</f>
        <v>12/0/8</v>
      </c>
      <c r="E23" s="48" t="str">
        <f>LR_MCC!L78</f>
        <v>11/0/9</v>
      </c>
      <c r="F23" s="48" t="str">
        <f>LR_MCC!M78</f>
        <v>18/0/2</v>
      </c>
      <c r="G23" s="48" t="str">
        <f>LR_MCC!N78</f>
        <v>18/0/2</v>
      </c>
      <c r="H23" s="48" t="str">
        <f>LR_MCC!O78</f>
        <v>18/0/2</v>
      </c>
      <c r="I23" s="48" t="str">
        <f>LR_MCC!P78</f>
        <v>18/0/2</v>
      </c>
    </row>
    <row r="24">
      <c r="A24" s="45"/>
      <c r="B24" s="51" t="s">
        <v>489</v>
      </c>
      <c r="C24" s="48">
        <f>LR_MCC!J79</f>
        <v>25.99</v>
      </c>
      <c r="D24" s="48">
        <f>LR_MCC!K79</f>
        <v>23.98</v>
      </c>
      <c r="E24" s="48">
        <f>LR_MCC!L79</f>
        <v>19.22</v>
      </c>
      <c r="F24" s="48">
        <f>LR_MCC!M79</f>
        <v>22.3</v>
      </c>
      <c r="G24" s="48">
        <f>LR_MCC!N79</f>
        <v>19.77</v>
      </c>
      <c r="H24" s="48">
        <f>LR_MCC!O79</f>
        <v>22.01</v>
      </c>
      <c r="I24" s="48">
        <f>LR_MCC!P79</f>
        <v>17.55</v>
      </c>
    </row>
    <row r="25">
      <c r="A25" s="3" t="s">
        <v>2370</v>
      </c>
    </row>
    <row r="26">
      <c r="A26" s="11" t="s">
        <v>371</v>
      </c>
      <c r="C26" s="48" t="s">
        <v>2359</v>
      </c>
      <c r="D26" s="48" t="str">
        <f>LR_MCC!K80</f>
        <v>46/2/18</v>
      </c>
      <c r="E26" s="48" t="str">
        <f>LR_MCC!L80</f>
        <v>45/0/21</v>
      </c>
      <c r="F26" s="48" t="str">
        <f>LR_MCC!M80</f>
        <v>49/2/15</v>
      </c>
      <c r="G26" s="48" t="str">
        <f>LR_MCC!N80</f>
        <v>51/2/13</v>
      </c>
      <c r="H26" s="48" t="str">
        <f>LR_MCC!O80</f>
        <v>53/2/11</v>
      </c>
      <c r="I26" s="48" t="str">
        <f>LR_MCC!P80</f>
        <v>54/2/10</v>
      </c>
    </row>
    <row r="27">
      <c r="A27" s="53" t="s">
        <v>489</v>
      </c>
      <c r="C27" s="48">
        <f>LR_MCC!J81</f>
        <v>23.12</v>
      </c>
      <c r="D27" s="48">
        <f>LR_MCC!K81</f>
        <v>17.93</v>
      </c>
      <c r="E27" s="48">
        <f>LR_MCC!L81</f>
        <v>15.38</v>
      </c>
      <c r="F27" s="48">
        <f>LR_MCC!M81</f>
        <v>20.3</v>
      </c>
      <c r="G27" s="48">
        <f>LR_MCC!N81</f>
        <v>18.56</v>
      </c>
      <c r="H27" s="48">
        <f>LR_MCC!O81</f>
        <v>19.89</v>
      </c>
      <c r="I27" s="48">
        <f>LR_MCC!P81</f>
        <v>15.87</v>
      </c>
    </row>
    <row r="28">
      <c r="A28" s="29" t="s">
        <v>2015</v>
      </c>
      <c r="C28" s="48" t="str">
        <f>LR_MCC!J82</f>
        <v/>
      </c>
      <c r="D28" s="48" t="str">
        <f>LR_MCC!K82</f>
        <v/>
      </c>
      <c r="E28" s="48" t="str">
        <f>LR_MCC!L82</f>
        <v/>
      </c>
      <c r="F28" s="48" t="str">
        <f>LR_MCC!M82</f>
        <v/>
      </c>
      <c r="G28" s="48" t="str">
        <f>LR_MCC!N82</f>
        <v/>
      </c>
      <c r="H28" s="48" t="str">
        <f>LR_MCC!O82</f>
        <v/>
      </c>
      <c r="I28" s="48" t="str">
        <f>LR_MCC!P82</f>
        <v/>
      </c>
    </row>
    <row r="29">
      <c r="A29" s="11" t="s">
        <v>2016</v>
      </c>
      <c r="C29" s="48"/>
      <c r="D29" s="48" t="str">
        <f>LR_MCC!K83</f>
        <v/>
      </c>
      <c r="E29" s="48" t="str">
        <f>LR_MCC!L83</f>
        <v/>
      </c>
      <c r="F29" s="48" t="str">
        <f>LR_MCC!M83</f>
        <v/>
      </c>
      <c r="G29" s="48" t="str">
        <f>LR_MCC!N83</f>
        <v/>
      </c>
      <c r="H29" s="48" t="str">
        <f>LR_MCC!O83</f>
        <v/>
      </c>
      <c r="I29" s="48" t="str">
        <f>LR_MCC!P83</f>
        <v/>
      </c>
    </row>
  </sheetData>
  <mergeCells count="12">
    <mergeCell ref="A25:I25"/>
    <mergeCell ref="A26:B26"/>
    <mergeCell ref="A27:B27"/>
    <mergeCell ref="A28:B28"/>
    <mergeCell ref="A29:B29"/>
    <mergeCell ref="A2:I2"/>
    <mergeCell ref="A11:I11"/>
    <mergeCell ref="A12:B12"/>
    <mergeCell ref="A13:B13"/>
    <mergeCell ref="A14:B14"/>
    <mergeCell ref="A15:B15"/>
    <mergeCell ref="A16:I1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4" t="s">
        <v>3751</v>
      </c>
      <c r="B1" s="55" t="s">
        <v>3752</v>
      </c>
      <c r="C1" s="55" t="s">
        <v>3753</v>
      </c>
      <c r="D1" s="55" t="s">
        <v>3754</v>
      </c>
      <c r="E1" s="55" t="s">
        <v>3755</v>
      </c>
    </row>
    <row r="2">
      <c r="A2" s="56" t="s">
        <v>9</v>
      </c>
      <c r="B2" s="56" t="s">
        <v>3756</v>
      </c>
      <c r="C2" s="57" t="s">
        <v>3757</v>
      </c>
      <c r="D2" s="57" t="s">
        <v>3758</v>
      </c>
      <c r="E2" s="57" t="s">
        <v>3759</v>
      </c>
    </row>
    <row r="3">
      <c r="B3" s="56" t="s">
        <v>3760</v>
      </c>
      <c r="C3" s="58" t="s">
        <v>3762</v>
      </c>
      <c r="D3" s="59" t="s">
        <v>3765</v>
      </c>
      <c r="E3" s="58" t="s">
        <v>3769</v>
      </c>
    </row>
    <row r="4">
      <c r="B4" s="56" t="s">
        <v>3771</v>
      </c>
      <c r="C4" s="58" t="s">
        <v>3772</v>
      </c>
      <c r="D4" s="59" t="s">
        <v>3773</v>
      </c>
      <c r="E4" s="58" t="s">
        <v>3774</v>
      </c>
    </row>
    <row r="5">
      <c r="B5" s="56" t="s">
        <v>3775</v>
      </c>
      <c r="C5" s="58" t="s">
        <v>3776</v>
      </c>
      <c r="D5" s="59" t="s">
        <v>3777</v>
      </c>
      <c r="E5" s="58" t="s">
        <v>3778</v>
      </c>
    </row>
    <row r="6">
      <c r="B6" s="56" t="s">
        <v>3779</v>
      </c>
      <c r="C6" s="58" t="s">
        <v>3780</v>
      </c>
      <c r="D6" s="59" t="s">
        <v>3781</v>
      </c>
      <c r="E6" s="58" t="s">
        <v>3782</v>
      </c>
    </row>
    <row r="7">
      <c r="A7" s="56" t="s">
        <v>504</v>
      </c>
      <c r="B7" s="56" t="s">
        <v>3783</v>
      </c>
      <c r="C7" s="58" t="s">
        <v>3784</v>
      </c>
      <c r="D7" s="58" t="s">
        <v>3785</v>
      </c>
      <c r="E7" s="57" t="s">
        <v>3786</v>
      </c>
    </row>
    <row r="8">
      <c r="B8" s="56" t="s">
        <v>3787</v>
      </c>
      <c r="C8" s="57" t="s">
        <v>3788</v>
      </c>
      <c r="D8" s="58" t="s">
        <v>3789</v>
      </c>
      <c r="E8" s="58" t="s">
        <v>3790</v>
      </c>
    </row>
    <row r="9">
      <c r="B9" s="56" t="s">
        <v>3791</v>
      </c>
      <c r="C9" s="58" t="s">
        <v>3792</v>
      </c>
      <c r="D9" s="57" t="s">
        <v>3793</v>
      </c>
      <c r="E9" s="58" t="s">
        <v>3794</v>
      </c>
    </row>
    <row r="10">
      <c r="A10" s="56" t="s">
        <v>659</v>
      </c>
      <c r="B10" s="56" t="s">
        <v>3795</v>
      </c>
      <c r="C10" s="57" t="s">
        <v>3796</v>
      </c>
      <c r="D10" s="57" t="s">
        <v>3797</v>
      </c>
      <c r="E10" s="57" t="s">
        <v>3798</v>
      </c>
    </row>
    <row r="11">
      <c r="B11" s="56" t="s">
        <v>3799</v>
      </c>
      <c r="C11" s="58" t="s">
        <v>3800</v>
      </c>
      <c r="D11" s="58" t="s">
        <v>3801</v>
      </c>
      <c r="E11" s="58" t="s">
        <v>3802</v>
      </c>
    </row>
    <row r="12">
      <c r="B12" s="56" t="s">
        <v>3803</v>
      </c>
      <c r="C12" s="58" t="s">
        <v>3804</v>
      </c>
      <c r="D12" s="58" t="s">
        <v>3805</v>
      </c>
      <c r="E12" s="58" t="s">
        <v>3806</v>
      </c>
    </row>
    <row r="13">
      <c r="B13" s="56" t="s">
        <v>3807</v>
      </c>
      <c r="C13" s="58" t="s">
        <v>3808</v>
      </c>
      <c r="D13" s="58" t="s">
        <v>3809</v>
      </c>
      <c r="E13" s="58" t="s">
        <v>3810</v>
      </c>
    </row>
    <row r="14">
      <c r="B14" s="56" t="s">
        <v>3811</v>
      </c>
      <c r="C14" s="58" t="s">
        <v>3812</v>
      </c>
      <c r="D14" s="58" t="s">
        <v>3813</v>
      </c>
      <c r="E14" s="58" t="s">
        <v>3814</v>
      </c>
    </row>
    <row r="15">
      <c r="A15" s="56" t="s">
        <v>1013</v>
      </c>
      <c r="B15" s="56" t="s">
        <v>3815</v>
      </c>
      <c r="C15" s="57" t="s">
        <v>3816</v>
      </c>
      <c r="D15" s="57" t="s">
        <v>3817</v>
      </c>
      <c r="E15" s="57" t="s">
        <v>3818</v>
      </c>
    </row>
    <row r="16">
      <c r="B16" s="56" t="s">
        <v>3819</v>
      </c>
      <c r="C16" s="58" t="s">
        <v>3820</v>
      </c>
      <c r="D16" s="58" t="s">
        <v>3821</v>
      </c>
      <c r="E16" s="58" t="s">
        <v>3822</v>
      </c>
    </row>
    <row r="17">
      <c r="B17" s="59" t="s">
        <v>3823</v>
      </c>
      <c r="C17" s="58" t="s">
        <v>3824</v>
      </c>
      <c r="D17" s="58" t="s">
        <v>3825</v>
      </c>
      <c r="E17" s="58" t="s">
        <v>3826</v>
      </c>
    </row>
    <row r="18">
      <c r="B18" s="59" t="s">
        <v>3827</v>
      </c>
      <c r="C18" s="58" t="s">
        <v>3828</v>
      </c>
      <c r="D18" s="58" t="s">
        <v>3829</v>
      </c>
      <c r="E18" s="58" t="s">
        <v>3830</v>
      </c>
    </row>
    <row r="19">
      <c r="B19" s="56" t="s">
        <v>3831</v>
      </c>
      <c r="C19" s="58" t="s">
        <v>3832</v>
      </c>
      <c r="D19" s="58" t="s">
        <v>3833</v>
      </c>
      <c r="E19" s="58" t="s">
        <v>3834</v>
      </c>
    </row>
  </sheetData>
  <mergeCells count="4">
    <mergeCell ref="A2:A6"/>
    <mergeCell ref="A7:A9"/>
    <mergeCell ref="A10:A14"/>
    <mergeCell ref="A15:A19"/>
  </mergeCells>
  <drawing r:id="rId1"/>
</worksheet>
</file>